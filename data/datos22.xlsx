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chael\Documents\analisisElectoral\analisisElectoral\data\"/>
    </mc:Choice>
  </mc:AlternateContent>
  <xr:revisionPtr revIDLastSave="0" documentId="13_ncr:1_{7EACB152-6DDF-4C3B-88F6-81A1B582A86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testing" sheetId="4" r:id="rId2"/>
    <sheet name="index" sheetId="3" r:id="rId3"/>
    <sheet name="orden" sheetId="2" r:id="rId4"/>
  </sheets>
  <definedNames>
    <definedName name="_xlnm._FilterDatabase" localSheetId="0" hidden="1">data!$A$1:$R$1042</definedName>
    <definedName name="_xlnm._FilterDatabase" localSheetId="2" hidden="1">index!$A$1:$J$433</definedName>
    <definedName name="_xlnm._FilterDatabase" localSheetId="3" hidden="1">orden!$A$1:$D$433</definedName>
    <definedName name="_xlnm._FilterDatabase" localSheetId="1" hidden="1">testing!$A$1:$R$1042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9" i="4" l="1"/>
  <c r="S63" i="4"/>
  <c r="S91" i="4"/>
  <c r="S95" i="4"/>
  <c r="S123" i="4"/>
  <c r="S127" i="4"/>
  <c r="S155" i="4"/>
  <c r="S159" i="4"/>
  <c r="S187" i="4"/>
  <c r="S191" i="4"/>
  <c r="S219" i="4"/>
  <c r="S223" i="4"/>
  <c r="S242" i="4"/>
  <c r="S243" i="4"/>
  <c r="S263" i="4"/>
  <c r="S266" i="4"/>
  <c r="S283" i="4"/>
  <c r="S287" i="4"/>
  <c r="S306" i="4"/>
  <c r="S307" i="4"/>
  <c r="S327" i="4"/>
  <c r="S330" i="4"/>
  <c r="S347" i="4"/>
  <c r="S351" i="4"/>
  <c r="S370" i="4"/>
  <c r="S371" i="4"/>
  <c r="S386" i="4"/>
  <c r="S387" i="4"/>
  <c r="S402" i="4"/>
  <c r="S403" i="4"/>
  <c r="S418" i="4"/>
  <c r="S419" i="4"/>
  <c r="S434" i="4"/>
  <c r="S435" i="4"/>
  <c r="S450" i="4"/>
  <c r="S451" i="4"/>
  <c r="S33" i="4"/>
  <c r="S35" i="4"/>
  <c r="S36" i="4"/>
  <c r="S37" i="4"/>
  <c r="S39" i="4"/>
  <c r="S41" i="4"/>
  <c r="S44" i="4"/>
  <c r="S45" i="4"/>
  <c r="S49" i="4"/>
  <c r="S51" i="4"/>
  <c r="S52" i="4"/>
  <c r="S53" i="4"/>
  <c r="S55" i="4"/>
  <c r="S57" i="4"/>
  <c r="S60" i="4"/>
  <c r="S61" i="4"/>
  <c r="S65" i="4"/>
  <c r="S67" i="4"/>
  <c r="S68" i="4"/>
  <c r="S69" i="4"/>
  <c r="S71" i="4"/>
  <c r="S73" i="4"/>
  <c r="S76" i="4"/>
  <c r="S77" i="4"/>
  <c r="S81" i="4"/>
  <c r="S83" i="4"/>
  <c r="S84" i="4"/>
  <c r="S85" i="4"/>
  <c r="S87" i="4"/>
  <c r="S89" i="4"/>
  <c r="S92" i="4"/>
  <c r="S93" i="4"/>
  <c r="S97" i="4"/>
  <c r="S99" i="4"/>
  <c r="S100" i="4"/>
  <c r="S101" i="4"/>
  <c r="S103" i="4"/>
  <c r="S105" i="4"/>
  <c r="S108" i="4"/>
  <c r="S109" i="4"/>
  <c r="S113" i="4"/>
  <c r="S115" i="4"/>
  <c r="S116" i="4"/>
  <c r="S117" i="4"/>
  <c r="S119" i="4"/>
  <c r="S121" i="4"/>
  <c r="S124" i="4"/>
  <c r="S125" i="4"/>
  <c r="S129" i="4"/>
  <c r="S131" i="4"/>
  <c r="S132" i="4"/>
  <c r="S133" i="4"/>
  <c r="S135" i="4"/>
  <c r="S137" i="4"/>
  <c r="S140" i="4"/>
  <c r="S141" i="4"/>
  <c r="S145" i="4"/>
  <c r="S147" i="4"/>
  <c r="S148" i="4"/>
  <c r="S149" i="4"/>
  <c r="S151" i="4"/>
  <c r="S153" i="4"/>
  <c r="S156" i="4"/>
  <c r="S157" i="4"/>
  <c r="S161" i="4"/>
  <c r="S163" i="4"/>
  <c r="S164" i="4"/>
  <c r="S165" i="4"/>
  <c r="S167" i="4"/>
  <c r="S169" i="4"/>
  <c r="S171" i="4"/>
  <c r="S172" i="4"/>
  <c r="S173" i="4"/>
  <c r="S177" i="4"/>
  <c r="S179" i="4"/>
  <c r="S180" i="4"/>
  <c r="S181" i="4"/>
  <c r="S183" i="4"/>
  <c r="S185" i="4"/>
  <c r="S188" i="4"/>
  <c r="S189" i="4"/>
  <c r="S193" i="4"/>
  <c r="S195" i="4"/>
  <c r="S196" i="4"/>
  <c r="S197" i="4"/>
  <c r="S199" i="4"/>
  <c r="S201" i="4"/>
  <c r="S203" i="4"/>
  <c r="S204" i="4"/>
  <c r="S205" i="4"/>
  <c r="S209" i="4"/>
  <c r="S211" i="4"/>
  <c r="S212" i="4"/>
  <c r="S213" i="4"/>
  <c r="S215" i="4"/>
  <c r="S217" i="4"/>
  <c r="S220" i="4"/>
  <c r="S221" i="4"/>
  <c r="S225" i="4"/>
  <c r="S226" i="4"/>
  <c r="S227" i="4"/>
  <c r="S228" i="4"/>
  <c r="S229" i="4"/>
  <c r="S231" i="4"/>
  <c r="S233" i="4"/>
  <c r="S235" i="4"/>
  <c r="S236" i="4"/>
  <c r="S237" i="4"/>
  <c r="S239" i="4"/>
  <c r="S241" i="4"/>
  <c r="S244" i="4"/>
  <c r="S245" i="4"/>
  <c r="S247" i="4"/>
  <c r="S249" i="4"/>
  <c r="S250" i="4"/>
  <c r="S251" i="4"/>
  <c r="S252" i="4"/>
  <c r="S253" i="4"/>
  <c r="S257" i="4"/>
  <c r="S258" i="4"/>
  <c r="S259" i="4"/>
  <c r="S260" i="4"/>
  <c r="S261" i="4"/>
  <c r="S265" i="4"/>
  <c r="S267" i="4"/>
  <c r="S268" i="4"/>
  <c r="S269" i="4"/>
  <c r="S271" i="4"/>
  <c r="S273" i="4"/>
  <c r="S274" i="4"/>
  <c r="S276" i="4"/>
  <c r="S277" i="4"/>
  <c r="S279" i="4"/>
  <c r="S281" i="4"/>
  <c r="S282" i="4"/>
  <c r="S284" i="4"/>
  <c r="S285" i="4"/>
  <c r="S289" i="4"/>
  <c r="S290" i="4"/>
  <c r="S291" i="4"/>
  <c r="S292" i="4"/>
  <c r="S293" i="4"/>
  <c r="S295" i="4"/>
  <c r="S297" i="4"/>
  <c r="S299" i="4"/>
  <c r="S300" i="4"/>
  <c r="S301" i="4"/>
  <c r="S303" i="4"/>
  <c r="S305" i="4"/>
  <c r="S308" i="4"/>
  <c r="S309" i="4"/>
  <c r="S311" i="4"/>
  <c r="S313" i="4"/>
  <c r="S314" i="4"/>
  <c r="S315" i="4"/>
  <c r="S316" i="4"/>
  <c r="S317" i="4"/>
  <c r="S321" i="4"/>
  <c r="S322" i="4"/>
  <c r="S323" i="4"/>
  <c r="S324" i="4"/>
  <c r="S325" i="4"/>
  <c r="S329" i="4"/>
  <c r="S331" i="4"/>
  <c r="S332" i="4"/>
  <c r="S333" i="4"/>
  <c r="S335" i="4"/>
  <c r="S337" i="4"/>
  <c r="S338" i="4"/>
  <c r="S340" i="4"/>
  <c r="S341" i="4"/>
  <c r="S343" i="4"/>
  <c r="S345" i="4"/>
  <c r="S346" i="4"/>
  <c r="S348" i="4"/>
  <c r="S349" i="4"/>
  <c r="S353" i="4"/>
  <c r="S354" i="4"/>
  <c r="S355" i="4"/>
  <c r="S356" i="4"/>
  <c r="S357" i="4"/>
  <c r="S359" i="4"/>
  <c r="S361" i="4"/>
  <c r="S363" i="4"/>
  <c r="S364" i="4"/>
  <c r="S365" i="4"/>
  <c r="S367" i="4"/>
  <c r="S369" i="4"/>
  <c r="S372" i="4"/>
  <c r="S373" i="4"/>
  <c r="S374" i="4"/>
  <c r="S375" i="4"/>
  <c r="S377" i="4"/>
  <c r="S378" i="4"/>
  <c r="S380" i="4"/>
  <c r="S381" i="4"/>
  <c r="S382" i="4"/>
  <c r="S383" i="4"/>
  <c r="S385" i="4"/>
  <c r="S388" i="4"/>
  <c r="S389" i="4"/>
  <c r="S390" i="4"/>
  <c r="S391" i="4"/>
  <c r="S393" i="4"/>
  <c r="S394" i="4"/>
  <c r="S396" i="4"/>
  <c r="S397" i="4"/>
  <c r="S398" i="4"/>
  <c r="S399" i="4"/>
  <c r="S401" i="4"/>
  <c r="S404" i="4"/>
  <c r="S405" i="4"/>
  <c r="S406" i="4"/>
  <c r="S407" i="4"/>
  <c r="S409" i="4"/>
  <c r="S410" i="4"/>
  <c r="S412" i="4"/>
  <c r="S413" i="4"/>
  <c r="S414" i="4"/>
  <c r="S415" i="4"/>
  <c r="S417" i="4"/>
  <c r="S420" i="4"/>
  <c r="S421" i="4"/>
  <c r="S422" i="4"/>
  <c r="S423" i="4"/>
  <c r="S425" i="4"/>
  <c r="S426" i="4"/>
  <c r="S428" i="4"/>
  <c r="S429" i="4"/>
  <c r="S430" i="4"/>
  <c r="S431" i="4"/>
  <c r="S433" i="4"/>
  <c r="S436" i="4"/>
  <c r="S437" i="4"/>
  <c r="S438" i="4"/>
  <c r="S439" i="4"/>
  <c r="S441" i="4"/>
  <c r="S442" i="4"/>
  <c r="S444" i="4"/>
  <c r="S445" i="4"/>
  <c r="S446" i="4"/>
  <c r="S447" i="4"/>
  <c r="S449" i="4"/>
  <c r="S452" i="4"/>
  <c r="S453" i="4"/>
  <c r="S454" i="4"/>
  <c r="S455" i="4"/>
  <c r="S457" i="4"/>
  <c r="S458" i="4"/>
  <c r="S460" i="4"/>
  <c r="S461" i="4"/>
  <c r="S462" i="4"/>
  <c r="S43" i="4"/>
  <c r="S47" i="4"/>
  <c r="S75" i="4"/>
  <c r="S79" i="4"/>
  <c r="S107" i="4"/>
  <c r="S111" i="4"/>
  <c r="S139" i="4"/>
  <c r="S143" i="4"/>
  <c r="S175" i="4"/>
  <c r="S207" i="4"/>
  <c r="S234" i="4"/>
  <c r="S255" i="4"/>
  <c r="S275" i="4"/>
  <c r="S298" i="4"/>
  <c r="S319" i="4"/>
  <c r="S339" i="4"/>
  <c r="S362" i="4"/>
  <c r="S379" i="4"/>
  <c r="S395" i="4"/>
  <c r="S411" i="4"/>
  <c r="S427" i="4"/>
  <c r="S443" i="4"/>
  <c r="S459" i="4"/>
  <c r="I436" i="3"/>
  <c r="H437" i="3"/>
  <c r="H436" i="3"/>
  <c r="G436" i="3"/>
  <c r="G437" i="3"/>
  <c r="D437" i="3"/>
  <c r="D436" i="3"/>
  <c r="D438" i="3"/>
  <c r="I401" i="3"/>
  <c r="L401" i="3" s="1"/>
  <c r="I166" i="3"/>
  <c r="K418" i="3"/>
  <c r="K401" i="3"/>
  <c r="L418" i="3"/>
  <c r="L166" i="3"/>
  <c r="K166" i="3"/>
  <c r="J166" i="3"/>
  <c r="J40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2" i="3"/>
  <c r="S432" i="4" l="1"/>
  <c r="S392" i="4"/>
  <c r="S368" i="4"/>
  <c r="S360" i="4"/>
  <c r="S336" i="4"/>
  <c r="S312" i="4"/>
  <c r="S280" i="4"/>
  <c r="S256" i="4"/>
  <c r="S232" i="4"/>
  <c r="S224" i="4"/>
  <c r="S192" i="4"/>
  <c r="S184" i="4"/>
  <c r="S168" i="4"/>
  <c r="S144" i="4"/>
  <c r="S136" i="4"/>
  <c r="S128" i="4"/>
  <c r="S104" i="4"/>
  <c r="S88" i="4"/>
  <c r="S72" i="4"/>
  <c r="S56" i="4"/>
  <c r="S40" i="4"/>
  <c r="S31" i="4"/>
  <c r="S456" i="4"/>
  <c r="S400" i="4"/>
  <c r="S304" i="4"/>
  <c r="S208" i="4"/>
  <c r="S366" i="4"/>
  <c r="S358" i="4"/>
  <c r="S350" i="4"/>
  <c r="S342" i="4"/>
  <c r="S334" i="4"/>
  <c r="S326" i="4"/>
  <c r="S318" i="4"/>
  <c r="S310" i="4"/>
  <c r="S302" i="4"/>
  <c r="S294" i="4"/>
  <c r="S286" i="4"/>
  <c r="S278" i="4"/>
  <c r="S270" i="4"/>
  <c r="S262" i="4"/>
  <c r="S254" i="4"/>
  <c r="S246" i="4"/>
  <c r="S238" i="4"/>
  <c r="S230" i="4"/>
  <c r="S222" i="4"/>
  <c r="S214" i="4"/>
  <c r="S206" i="4"/>
  <c r="S198" i="4"/>
  <c r="S190" i="4"/>
  <c r="S182" i="4"/>
  <c r="S174" i="4"/>
  <c r="S166" i="4"/>
  <c r="S158" i="4"/>
  <c r="S150" i="4"/>
  <c r="S142" i="4"/>
  <c r="S134" i="4"/>
  <c r="S126" i="4"/>
  <c r="S118" i="4"/>
  <c r="S110" i="4"/>
  <c r="S102" i="4"/>
  <c r="S94" i="4"/>
  <c r="S86" i="4"/>
  <c r="S78" i="4"/>
  <c r="S70" i="4"/>
  <c r="S62" i="4"/>
  <c r="S54" i="4"/>
  <c r="S46" i="4"/>
  <c r="S38" i="4"/>
  <c r="S448" i="4"/>
  <c r="S424" i="4"/>
  <c r="S408" i="4"/>
  <c r="S376" i="4"/>
  <c r="S352" i="4"/>
  <c r="S320" i="4"/>
  <c r="S296" i="4"/>
  <c r="S272" i="4"/>
  <c r="S248" i="4"/>
  <c r="S200" i="4"/>
  <c r="S160" i="4"/>
  <c r="S112" i="4"/>
  <c r="S96" i="4"/>
  <c r="S64" i="4"/>
  <c r="S32" i="4"/>
  <c r="S440" i="4"/>
  <c r="S416" i="4"/>
  <c r="S384" i="4"/>
  <c r="S344" i="4"/>
  <c r="S328" i="4"/>
  <c r="S288" i="4"/>
  <c r="S264" i="4"/>
  <c r="S240" i="4"/>
  <c r="S216" i="4"/>
  <c r="S176" i="4"/>
  <c r="S152" i="4"/>
  <c r="S120" i="4"/>
  <c r="S80" i="4"/>
  <c r="S48" i="4"/>
  <c r="S218" i="4"/>
  <c r="S210" i="4"/>
  <c r="S202" i="4"/>
  <c r="S194" i="4"/>
  <c r="S186" i="4"/>
  <c r="S178" i="4"/>
  <c r="S170" i="4"/>
  <c r="S162" i="4"/>
  <c r="S154" i="4"/>
  <c r="S146" i="4"/>
  <c r="S138" i="4"/>
  <c r="S130" i="4"/>
  <c r="S122" i="4"/>
  <c r="S114" i="4"/>
  <c r="S106" i="4"/>
  <c r="S98" i="4"/>
  <c r="S90" i="4"/>
  <c r="S82" i="4"/>
  <c r="S74" i="4"/>
  <c r="S66" i="4"/>
  <c r="S58" i="4"/>
  <c r="S50" i="4"/>
  <c r="S42" i="4"/>
  <c r="S34" i="4"/>
  <c r="J444" i="3"/>
</calcChain>
</file>

<file path=xl/sharedStrings.xml><?xml version="1.0" encoding="utf-8"?>
<sst xmlns="http://schemas.openxmlformats.org/spreadsheetml/2006/main" count="10983" uniqueCount="2063">
  <si>
    <t>ADM3_PCODE</t>
  </si>
  <si>
    <t>Año</t>
  </si>
  <si>
    <t>viirs</t>
  </si>
  <si>
    <t>pop</t>
  </si>
  <si>
    <t>m2_auo</t>
  </si>
  <si>
    <t>edi</t>
  </si>
  <si>
    <t>crts</t>
  </si>
  <si>
    <t>dt</t>
  </si>
  <si>
    <t>ct</t>
  </si>
  <si>
    <t>edu</t>
  </si>
  <si>
    <t>ndvi</t>
  </si>
  <si>
    <t>mndwi</t>
  </si>
  <si>
    <t>area</t>
  </si>
  <si>
    <t>icl</t>
  </si>
  <si>
    <t>Provincia</t>
  </si>
  <si>
    <t>Cantón</t>
  </si>
  <si>
    <t>Parroquia</t>
  </si>
  <si>
    <t>Personas</t>
  </si>
  <si>
    <t>No pobres</t>
  </si>
  <si>
    <t>Pobres</t>
  </si>
  <si>
    <t>Azuay</t>
  </si>
  <si>
    <t>Cuenca</t>
  </si>
  <si>
    <t>Baños</t>
  </si>
  <si>
    <t>Cumbe</t>
  </si>
  <si>
    <t>Chaucha</t>
  </si>
  <si>
    <t>Checa</t>
  </si>
  <si>
    <t>Chiquintad</t>
  </si>
  <si>
    <t>Llacao</t>
  </si>
  <si>
    <t>Molleturo</t>
  </si>
  <si>
    <t>Nulti</t>
  </si>
  <si>
    <t>Octavio Cordero Palacios</t>
  </si>
  <si>
    <t>Paccha</t>
  </si>
  <si>
    <t>Quingeo</t>
  </si>
  <si>
    <t>Ricaurte</t>
  </si>
  <si>
    <t>San Joaquín</t>
  </si>
  <si>
    <t>Santa Ana</t>
  </si>
  <si>
    <t>Sayausí</t>
  </si>
  <si>
    <t>Sidcay</t>
  </si>
  <si>
    <t>Sinincay</t>
  </si>
  <si>
    <t>Tarqui</t>
  </si>
  <si>
    <t>Turi</t>
  </si>
  <si>
    <t>Valle</t>
  </si>
  <si>
    <t>Victoria del Portete</t>
  </si>
  <si>
    <t>Girón</t>
  </si>
  <si>
    <t>La Asunción</t>
  </si>
  <si>
    <t>San Gerardo</t>
  </si>
  <si>
    <t>Gualaceo</t>
  </si>
  <si>
    <t>Daniel Córdova Toral</t>
  </si>
  <si>
    <t>Jadán</t>
  </si>
  <si>
    <t>Mariano Moreno</t>
  </si>
  <si>
    <t>Remigio Crespo Toral</t>
  </si>
  <si>
    <t>San Juan</t>
  </si>
  <si>
    <t>Zhidmad</t>
  </si>
  <si>
    <t>Luis Cordero Vega</t>
  </si>
  <si>
    <t>Simón Bolívar</t>
  </si>
  <si>
    <t>Nabón</t>
  </si>
  <si>
    <t>Cochapata</t>
  </si>
  <si>
    <t>El Progreso</t>
  </si>
  <si>
    <t>Las Nieves</t>
  </si>
  <si>
    <t>Paute</t>
  </si>
  <si>
    <t>Bulán</t>
  </si>
  <si>
    <t>Chicán</t>
  </si>
  <si>
    <t>El Cabo</t>
  </si>
  <si>
    <t>Guarainag</t>
  </si>
  <si>
    <t>San Cristóbal</t>
  </si>
  <si>
    <t>Tomebamba</t>
  </si>
  <si>
    <t>Dug Dug</t>
  </si>
  <si>
    <t>Pucará</t>
  </si>
  <si>
    <t>San Rafael de Sharug</t>
  </si>
  <si>
    <t>San Fernando</t>
  </si>
  <si>
    <t>Chumblín</t>
  </si>
  <si>
    <t>Santa Isabel</t>
  </si>
  <si>
    <t>Abdón Calderón</t>
  </si>
  <si>
    <t>El Carmen de Pijilí</t>
  </si>
  <si>
    <t>Shaglli</t>
  </si>
  <si>
    <t>San Salvador de Cañaribamba</t>
  </si>
  <si>
    <t>Sígsig</t>
  </si>
  <si>
    <t>Jima</t>
  </si>
  <si>
    <t>Güel</t>
  </si>
  <si>
    <t>Ludo</t>
  </si>
  <si>
    <t>San Bartolomé</t>
  </si>
  <si>
    <t>San José de Raranga</t>
  </si>
  <si>
    <t>Oña</t>
  </si>
  <si>
    <t>San Felipe de Oña</t>
  </si>
  <si>
    <t>Susudel</t>
  </si>
  <si>
    <t>Chordeleg</t>
  </si>
  <si>
    <t>Principal</t>
  </si>
  <si>
    <t>La Unión</t>
  </si>
  <si>
    <t>Luis Galarza Orellana</t>
  </si>
  <si>
    <t>San Martín de Puzhio</t>
  </si>
  <si>
    <t>El Pan</t>
  </si>
  <si>
    <t>San Vicente</t>
  </si>
  <si>
    <t>Sevilla de Oro</t>
  </si>
  <si>
    <t>Amaluza</t>
  </si>
  <si>
    <t>Palmas</t>
  </si>
  <si>
    <t>Guachapala</t>
  </si>
  <si>
    <t>Camilo Ponce Enríquez</t>
  </si>
  <si>
    <t>Bolívar</t>
  </si>
  <si>
    <t>Guaranda</t>
  </si>
  <si>
    <t>Facundo Vela</t>
  </si>
  <si>
    <t>Julio E. Moreno</t>
  </si>
  <si>
    <t>Salinas</t>
  </si>
  <si>
    <t>San Lorenzo</t>
  </si>
  <si>
    <t>San Simón</t>
  </si>
  <si>
    <t>Santa Fe</t>
  </si>
  <si>
    <t>Simiátug</t>
  </si>
  <si>
    <t>San Luis de Pambil</t>
  </si>
  <si>
    <t>Chillanes</t>
  </si>
  <si>
    <t>San José del Tambo</t>
  </si>
  <si>
    <t>Chimbo</t>
  </si>
  <si>
    <t>San José de Chimbo</t>
  </si>
  <si>
    <t>Asunción</t>
  </si>
  <si>
    <t>La Magdalena</t>
  </si>
  <si>
    <t>San Sebastián</t>
  </si>
  <si>
    <t>Telimbela</t>
  </si>
  <si>
    <t>Echeandía</t>
  </si>
  <si>
    <t>San Miguel</t>
  </si>
  <si>
    <t>Balsapamba</t>
  </si>
  <si>
    <t>Bilován</t>
  </si>
  <si>
    <t>Régulo de Mora</t>
  </si>
  <si>
    <t>San Pablo</t>
  </si>
  <si>
    <t>Santiago</t>
  </si>
  <si>
    <t>Caluma</t>
  </si>
  <si>
    <t>Las Naves</t>
  </si>
  <si>
    <t>Cañar</t>
  </si>
  <si>
    <t>Azogues</t>
  </si>
  <si>
    <t>Cojitambo</t>
  </si>
  <si>
    <t>Guapán</t>
  </si>
  <si>
    <t>Javier Loyola</t>
  </si>
  <si>
    <t>Luis Cordero</t>
  </si>
  <si>
    <t>Pindilig</t>
  </si>
  <si>
    <t>Rivera</t>
  </si>
  <si>
    <t>Taday</t>
  </si>
  <si>
    <t>Biblián</t>
  </si>
  <si>
    <t>Nazón</t>
  </si>
  <si>
    <t>San Francisco de Sageo</t>
  </si>
  <si>
    <t>Turupamba</t>
  </si>
  <si>
    <t>Jerusalén</t>
  </si>
  <si>
    <t>Chontamarca</t>
  </si>
  <si>
    <t>Chorocopte</t>
  </si>
  <si>
    <t>General Morales</t>
  </si>
  <si>
    <t>Gualleturo</t>
  </si>
  <si>
    <t>Honorato Vásquez</t>
  </si>
  <si>
    <t>Ingapirca</t>
  </si>
  <si>
    <t>Juncal</t>
  </si>
  <si>
    <t>San Antonio</t>
  </si>
  <si>
    <t>Zhud</t>
  </si>
  <si>
    <t>Ventura</t>
  </si>
  <si>
    <t>Ducur</t>
  </si>
  <si>
    <t>La Troncal</t>
  </si>
  <si>
    <t>Manuel J. Calle</t>
  </si>
  <si>
    <t>Pancho Negro</t>
  </si>
  <si>
    <t>El Tambo</t>
  </si>
  <si>
    <t>Déleg</t>
  </si>
  <si>
    <t>Solano</t>
  </si>
  <si>
    <t>Suscal</t>
  </si>
  <si>
    <t>Carchi</t>
  </si>
  <si>
    <t>Tulcán</t>
  </si>
  <si>
    <t>El Carmelo</t>
  </si>
  <si>
    <t>Julio Andrade</t>
  </si>
  <si>
    <t>Maldonado</t>
  </si>
  <si>
    <t>Pioter</t>
  </si>
  <si>
    <t>Tobar Donoso</t>
  </si>
  <si>
    <t>Tufiño</t>
  </si>
  <si>
    <t>Urbina</t>
  </si>
  <si>
    <t>El Chical</t>
  </si>
  <si>
    <t>Santa Martha de Cuba</t>
  </si>
  <si>
    <t>García Moreno</t>
  </si>
  <si>
    <t>Los Andes</t>
  </si>
  <si>
    <t>Monte Olivo</t>
  </si>
  <si>
    <t>San Vicente de Pusir</t>
  </si>
  <si>
    <t>San Rafael</t>
  </si>
  <si>
    <t>Espejo</t>
  </si>
  <si>
    <t>El Ángel</t>
  </si>
  <si>
    <t>El Goaltal</t>
  </si>
  <si>
    <t>La Libertad</t>
  </si>
  <si>
    <t>San Isidro</t>
  </si>
  <si>
    <t>Mira</t>
  </si>
  <si>
    <t>Concepción</t>
  </si>
  <si>
    <t>Jijón y Caamaño</t>
  </si>
  <si>
    <t>Juan Montalvo</t>
  </si>
  <si>
    <t>Montúfar</t>
  </si>
  <si>
    <t>San Gabriel</t>
  </si>
  <si>
    <t>Cristóbal Colón</t>
  </si>
  <si>
    <t>Chitán de Navarrete</t>
  </si>
  <si>
    <t>Fernández Salvador</t>
  </si>
  <si>
    <t>La Paz</t>
  </si>
  <si>
    <t>Piartal</t>
  </si>
  <si>
    <t>San Pedro de Huaca</t>
  </si>
  <si>
    <t>Huaca</t>
  </si>
  <si>
    <t>Mariscal Sucre</t>
  </si>
  <si>
    <t>Cotopaxi</t>
  </si>
  <si>
    <t>Latacunga</t>
  </si>
  <si>
    <t>Aláquez</t>
  </si>
  <si>
    <t>Belisario Quevedo</t>
  </si>
  <si>
    <t>Guaytacama</t>
  </si>
  <si>
    <t>Joseguango Bajo</t>
  </si>
  <si>
    <t>Mulaló</t>
  </si>
  <si>
    <t>Once de Noviembre</t>
  </si>
  <si>
    <t>Poaló</t>
  </si>
  <si>
    <t>San Juan de Pastocalle</t>
  </si>
  <si>
    <t>Tanicuchí</t>
  </si>
  <si>
    <t>Toacaso</t>
  </si>
  <si>
    <t>La Maná</t>
  </si>
  <si>
    <t>Guasaganda</t>
  </si>
  <si>
    <t>Pucayacu</t>
  </si>
  <si>
    <t>Pangua</t>
  </si>
  <si>
    <t>El Corazón</t>
  </si>
  <si>
    <t>Moraspungo</t>
  </si>
  <si>
    <t>Pinllopata</t>
  </si>
  <si>
    <t>Ramón Campaña</t>
  </si>
  <si>
    <t>Pujilí</t>
  </si>
  <si>
    <t>Angamarca</t>
  </si>
  <si>
    <t>Guangaje</t>
  </si>
  <si>
    <t>La Victoria</t>
  </si>
  <si>
    <t>Pilaló</t>
  </si>
  <si>
    <t>Tingo</t>
  </si>
  <si>
    <t>Zumbahua</t>
  </si>
  <si>
    <t>Salcedo</t>
  </si>
  <si>
    <t>Antonio José Holguín</t>
  </si>
  <si>
    <t>Cusubamba</t>
  </si>
  <si>
    <t>Mulalillo</t>
  </si>
  <si>
    <t>Mulliquindil</t>
  </si>
  <si>
    <t>Pansaleo</t>
  </si>
  <si>
    <t>Saquisilí</t>
  </si>
  <si>
    <t>Chantilín</t>
  </si>
  <si>
    <t>Cochapamba</t>
  </si>
  <si>
    <t>Sigchos</t>
  </si>
  <si>
    <t>Chugchillán</t>
  </si>
  <si>
    <t>Isinliví</t>
  </si>
  <si>
    <t>Las Pampas</t>
  </si>
  <si>
    <t>Palo Quemado</t>
  </si>
  <si>
    <t>Chimborazo</t>
  </si>
  <si>
    <t>Riobamba</t>
  </si>
  <si>
    <t>Cacha</t>
  </si>
  <si>
    <t>Calpi</t>
  </si>
  <si>
    <t>Cubijíes</t>
  </si>
  <si>
    <t>Flores</t>
  </si>
  <si>
    <t>Licán</t>
  </si>
  <si>
    <t>Licto</t>
  </si>
  <si>
    <t>Pungalá</t>
  </si>
  <si>
    <t>Punín</t>
  </si>
  <si>
    <t>Quimiag</t>
  </si>
  <si>
    <t>San Luis</t>
  </si>
  <si>
    <t>Alausí</t>
  </si>
  <si>
    <t>Achupallas</t>
  </si>
  <si>
    <t>Guasuntos</t>
  </si>
  <si>
    <t>Huigra</t>
  </si>
  <si>
    <t>Multitud</t>
  </si>
  <si>
    <t>Pistishi</t>
  </si>
  <si>
    <t>Pumallacta</t>
  </si>
  <si>
    <t>Sevilla</t>
  </si>
  <si>
    <t>Sibambe</t>
  </si>
  <si>
    <t>Tixán</t>
  </si>
  <si>
    <t>Colta</t>
  </si>
  <si>
    <t>Villa la Unión</t>
  </si>
  <si>
    <t>Cañi</t>
  </si>
  <si>
    <t>Columbe</t>
  </si>
  <si>
    <t>Juan de Velasco</t>
  </si>
  <si>
    <t>Santiago de Quito</t>
  </si>
  <si>
    <t>Chambo</t>
  </si>
  <si>
    <t>Chunchi</t>
  </si>
  <si>
    <t>Capzol</t>
  </si>
  <si>
    <t>Compud</t>
  </si>
  <si>
    <t>Gonzol</t>
  </si>
  <si>
    <t>Llagos</t>
  </si>
  <si>
    <t>Guamote</t>
  </si>
  <si>
    <t>Cebadas</t>
  </si>
  <si>
    <t>Palmira</t>
  </si>
  <si>
    <t>Guano</t>
  </si>
  <si>
    <t>Guanando</t>
  </si>
  <si>
    <t>Ilapo</t>
  </si>
  <si>
    <t>La Providencia</t>
  </si>
  <si>
    <t>San Andrés</t>
  </si>
  <si>
    <t>San Isidro De Patulú</t>
  </si>
  <si>
    <t>San José del Chazo</t>
  </si>
  <si>
    <t>Santa Fé de Galán</t>
  </si>
  <si>
    <t>Valparaíso</t>
  </si>
  <si>
    <t>Pallatanga</t>
  </si>
  <si>
    <t>Penipe</t>
  </si>
  <si>
    <t>El Altar</t>
  </si>
  <si>
    <t>Matus</t>
  </si>
  <si>
    <t>Puela</t>
  </si>
  <si>
    <t>San Antonio de Bayushig</t>
  </si>
  <si>
    <t>La Candelaria</t>
  </si>
  <si>
    <t>Bilbao</t>
  </si>
  <si>
    <t>Cumandá</t>
  </si>
  <si>
    <t>El Oro</t>
  </si>
  <si>
    <t>Machala</t>
  </si>
  <si>
    <t>El Retiro</t>
  </si>
  <si>
    <t>Arenillas</t>
  </si>
  <si>
    <t>Chacras</t>
  </si>
  <si>
    <t>Palmales</t>
  </si>
  <si>
    <t>Carcabón</t>
  </si>
  <si>
    <t>La Cuca</t>
  </si>
  <si>
    <t>Atahualpa</t>
  </si>
  <si>
    <t>Ayapamba</t>
  </si>
  <si>
    <t>Cordoncillo</t>
  </si>
  <si>
    <t>Milagro</t>
  </si>
  <si>
    <t>San José</t>
  </si>
  <si>
    <t>San Juan de Cerro Azul</t>
  </si>
  <si>
    <t>Balsas</t>
  </si>
  <si>
    <t>Bellamaría</t>
  </si>
  <si>
    <t>Chilla</t>
  </si>
  <si>
    <t>El Guabo</t>
  </si>
  <si>
    <t>Barbones</t>
  </si>
  <si>
    <t>La Iberia</t>
  </si>
  <si>
    <t>Tendales</t>
  </si>
  <si>
    <t>Río Bonito</t>
  </si>
  <si>
    <t>Huaquillas</t>
  </si>
  <si>
    <t>Marcabelí</t>
  </si>
  <si>
    <t>El Ingenio</t>
  </si>
  <si>
    <t>Pasaje</t>
  </si>
  <si>
    <t>Buenavista</t>
  </si>
  <si>
    <t>Casacay</t>
  </si>
  <si>
    <t>La Peaña</t>
  </si>
  <si>
    <t>Progreso</t>
  </si>
  <si>
    <t>Uzhcurrumi</t>
  </si>
  <si>
    <t>Cañaquemada</t>
  </si>
  <si>
    <t>Piñas</t>
  </si>
  <si>
    <t>Capiro</t>
  </si>
  <si>
    <t>La Bocana</t>
  </si>
  <si>
    <t>Moromoro</t>
  </si>
  <si>
    <t>Piedras</t>
  </si>
  <si>
    <t>San Roque</t>
  </si>
  <si>
    <t>Saracay</t>
  </si>
  <si>
    <t>Portovelo</t>
  </si>
  <si>
    <t>Curtincapa</t>
  </si>
  <si>
    <t>Morales</t>
  </si>
  <si>
    <t>Salatí</t>
  </si>
  <si>
    <t>Santa Rosa</t>
  </si>
  <si>
    <t>Bellavista</t>
  </si>
  <si>
    <t>Jambelí</t>
  </si>
  <si>
    <t>La Avanzada</t>
  </si>
  <si>
    <t>Torata</t>
  </si>
  <si>
    <t>Victoria</t>
  </si>
  <si>
    <t>Zaruma</t>
  </si>
  <si>
    <t>Abañín</t>
  </si>
  <si>
    <t>Arcapamba</t>
  </si>
  <si>
    <t>Guanazán</t>
  </si>
  <si>
    <t>Guizhaguiña</t>
  </si>
  <si>
    <t>Huertas</t>
  </si>
  <si>
    <t>Malvas</t>
  </si>
  <si>
    <t>Muluncay Grande</t>
  </si>
  <si>
    <t>Sinsao</t>
  </si>
  <si>
    <t>Salvias</t>
  </si>
  <si>
    <t>Las Lajas</t>
  </si>
  <si>
    <t>El Paraíso</t>
  </si>
  <si>
    <t>Esmeraldas</t>
  </si>
  <si>
    <t>Camarones</t>
  </si>
  <si>
    <t>Coronel Carlos Concha Torres</t>
  </si>
  <si>
    <t>Chinca</t>
  </si>
  <si>
    <t>Majua</t>
  </si>
  <si>
    <t>San Mateo</t>
  </si>
  <si>
    <t>Tabiazo</t>
  </si>
  <si>
    <t>Tachina</t>
  </si>
  <si>
    <t>Vuelta Larga</t>
  </si>
  <si>
    <t>Eloy Alfaro</t>
  </si>
  <si>
    <t>Valdez</t>
  </si>
  <si>
    <t>Anchayacu</t>
  </si>
  <si>
    <t>Borbón</t>
  </si>
  <si>
    <t>La Tola</t>
  </si>
  <si>
    <t>Luis Vargas Torres</t>
  </si>
  <si>
    <t>Pampanal de Bolívar</t>
  </si>
  <si>
    <t>San Francisco de Onzole</t>
  </si>
  <si>
    <t>Santo Domingo de Onzole</t>
  </si>
  <si>
    <t>Selva Alegre</t>
  </si>
  <si>
    <t>Telembí</t>
  </si>
  <si>
    <t>Colón Eloy del María</t>
  </si>
  <si>
    <t>San José de Cayapas</t>
  </si>
  <si>
    <t>Timbiré</t>
  </si>
  <si>
    <t>Santa Lucía de las Peñas</t>
  </si>
  <si>
    <t>Muisne</t>
  </si>
  <si>
    <t>Daule</t>
  </si>
  <si>
    <t>Galera</t>
  </si>
  <si>
    <t>Quingue</t>
  </si>
  <si>
    <t>Sálima</t>
  </si>
  <si>
    <t>San Francisco</t>
  </si>
  <si>
    <t>San Gregorio</t>
  </si>
  <si>
    <t>San José de Chamanga</t>
  </si>
  <si>
    <t>Quinindé</t>
  </si>
  <si>
    <t>Rosa Zárate</t>
  </si>
  <si>
    <t>Cube</t>
  </si>
  <si>
    <t>Chura</t>
  </si>
  <si>
    <t>Malimpia</t>
  </si>
  <si>
    <t>Viche</t>
  </si>
  <si>
    <t>Alto Tambo</t>
  </si>
  <si>
    <t>Ancón</t>
  </si>
  <si>
    <t>Calderón</t>
  </si>
  <si>
    <t>Carondelet</t>
  </si>
  <si>
    <t>5 de Junio</t>
  </si>
  <si>
    <t>Mataje</t>
  </si>
  <si>
    <t>San Javier de Cachaví</t>
  </si>
  <si>
    <t>Santa Rita</t>
  </si>
  <si>
    <t>Tambillo</t>
  </si>
  <si>
    <t>Tululbí</t>
  </si>
  <si>
    <t>Atacames</t>
  </si>
  <si>
    <t>Súa</t>
  </si>
  <si>
    <t>Tonchigüe</t>
  </si>
  <si>
    <t>Tonsupa</t>
  </si>
  <si>
    <t>Rioverde</t>
  </si>
  <si>
    <t>Chontaduro</t>
  </si>
  <si>
    <t>Chumundé</t>
  </si>
  <si>
    <t>Lagarto</t>
  </si>
  <si>
    <t>Montalvo</t>
  </si>
  <si>
    <t>Rocafuerte</t>
  </si>
  <si>
    <t>Guayas</t>
  </si>
  <si>
    <t>Guayaquil</t>
  </si>
  <si>
    <t>Juan Gómez Rendón</t>
  </si>
  <si>
    <t>Morro</t>
  </si>
  <si>
    <t>Posorja</t>
  </si>
  <si>
    <t>Puná</t>
  </si>
  <si>
    <t>Tenguel</t>
  </si>
  <si>
    <t>Alfredo Baquerizo Moreno (Juján)</t>
  </si>
  <si>
    <t>Balao</t>
  </si>
  <si>
    <t>Balzar</t>
  </si>
  <si>
    <t>Colimes</t>
  </si>
  <si>
    <t>San Jacinto</t>
  </si>
  <si>
    <t>Juan Bautista Aguirre</t>
  </si>
  <si>
    <t>Laurel</t>
  </si>
  <si>
    <t>Limonal</t>
  </si>
  <si>
    <t>Los Lojas</t>
  </si>
  <si>
    <t>Durán</t>
  </si>
  <si>
    <t>El Empalme</t>
  </si>
  <si>
    <t>Velasco Ibarra</t>
  </si>
  <si>
    <t>El Rosario</t>
  </si>
  <si>
    <t>El Triunfo</t>
  </si>
  <si>
    <t>Chobo</t>
  </si>
  <si>
    <t>Roberto Astudillo</t>
  </si>
  <si>
    <t>Naranjal</t>
  </si>
  <si>
    <t>Jesús María</t>
  </si>
  <si>
    <t>San Carlos</t>
  </si>
  <si>
    <t>Santa Rosa de Flandes</t>
  </si>
  <si>
    <t>Taura</t>
  </si>
  <si>
    <t>Naranjito</t>
  </si>
  <si>
    <t>Palestina</t>
  </si>
  <si>
    <t>Pedro Carbo</t>
  </si>
  <si>
    <t>Valle de la Virgen</t>
  </si>
  <si>
    <t>Sabanilla</t>
  </si>
  <si>
    <t>Samborondón</t>
  </si>
  <si>
    <t>Tarifa</t>
  </si>
  <si>
    <t>Santa Lucía</t>
  </si>
  <si>
    <t>Salitre</t>
  </si>
  <si>
    <t>El Salitre</t>
  </si>
  <si>
    <t>General Vernaza</t>
  </si>
  <si>
    <t>Junquillal</t>
  </si>
  <si>
    <t>San Jacinto de Yaguachi</t>
  </si>
  <si>
    <t>General Pedro J. Montero</t>
  </si>
  <si>
    <t>Yaguachi Viejo</t>
  </si>
  <si>
    <t>Virgen de Fátima</t>
  </si>
  <si>
    <t>Playas</t>
  </si>
  <si>
    <t>General Villamil</t>
  </si>
  <si>
    <t>Coronel Lorenzo de Garaycoa</t>
  </si>
  <si>
    <t>Coronel Marcelino Maridueña</t>
  </si>
  <si>
    <t>Lomas de Sargentillo</t>
  </si>
  <si>
    <t>Nobol</t>
  </si>
  <si>
    <t>Narcisa de Jesús</t>
  </si>
  <si>
    <t>General  Antonio Elizalde</t>
  </si>
  <si>
    <t>General Antonio Elizalde</t>
  </si>
  <si>
    <t>Isidro Ayora</t>
  </si>
  <si>
    <t>Imbabura</t>
  </si>
  <si>
    <t>Ibarra</t>
  </si>
  <si>
    <t>San Miguel de Ibarra</t>
  </si>
  <si>
    <t>Ambuquí</t>
  </si>
  <si>
    <t>Angochagua</t>
  </si>
  <si>
    <t>Carolina</t>
  </si>
  <si>
    <t>La Esperanza</t>
  </si>
  <si>
    <t>Lita</t>
  </si>
  <si>
    <t>Antonio Ante</t>
  </si>
  <si>
    <t>Atuntaqui</t>
  </si>
  <si>
    <t>Imbaya</t>
  </si>
  <si>
    <t>San Francisco de Natabuela</t>
  </si>
  <si>
    <t>San José de Chaltura</t>
  </si>
  <si>
    <t>Cotacachi</t>
  </si>
  <si>
    <t>Apuela</t>
  </si>
  <si>
    <t>Imantag</t>
  </si>
  <si>
    <t>Peñaherrera</t>
  </si>
  <si>
    <t>Plaza Gutiérrez</t>
  </si>
  <si>
    <t>Quiroga</t>
  </si>
  <si>
    <t>Seis De Julio de Cuellaje</t>
  </si>
  <si>
    <t>Vacas Galindo</t>
  </si>
  <si>
    <t>Otavalo</t>
  </si>
  <si>
    <t>Dr. Miguel Egas Cabezas</t>
  </si>
  <si>
    <t>Eugenio Espejo</t>
  </si>
  <si>
    <t>González Suárez</t>
  </si>
  <si>
    <t>Pataquí</t>
  </si>
  <si>
    <t>San José de Quichinche</t>
  </si>
  <si>
    <t>San Juan de Ilumán</t>
  </si>
  <si>
    <t>Pimampiro</t>
  </si>
  <si>
    <t>Chugá</t>
  </si>
  <si>
    <t>Mariano Acosta</t>
  </si>
  <si>
    <t>San Francisco de Sigsipamba</t>
  </si>
  <si>
    <t>San Miguel de Urcuquí</t>
  </si>
  <si>
    <t>Urcuquí</t>
  </si>
  <si>
    <t>Cahuasquí</t>
  </si>
  <si>
    <t>La Merced de Buenos Aires</t>
  </si>
  <si>
    <t>Pablo Arenas</t>
  </si>
  <si>
    <t>San Blas</t>
  </si>
  <si>
    <t>Tumbabiro</t>
  </si>
  <si>
    <t>Loja</t>
  </si>
  <si>
    <t>Chantaco</t>
  </si>
  <si>
    <t>Chuquiribamba</t>
  </si>
  <si>
    <t>El Cisne</t>
  </si>
  <si>
    <t>Gualel</t>
  </si>
  <si>
    <t>Jimbilla</t>
  </si>
  <si>
    <t>Malacatos</t>
  </si>
  <si>
    <t>San Lucas</t>
  </si>
  <si>
    <t>San Pedro de Vilcabamba</t>
  </si>
  <si>
    <t>Taquil</t>
  </si>
  <si>
    <t>Vilcabamba</t>
  </si>
  <si>
    <t>Yangana</t>
  </si>
  <si>
    <t>Quinara</t>
  </si>
  <si>
    <t>Calvas</t>
  </si>
  <si>
    <t>Cariamanga</t>
  </si>
  <si>
    <t>Colaisaca</t>
  </si>
  <si>
    <t>El Lucero</t>
  </si>
  <si>
    <t>Utuana</t>
  </si>
  <si>
    <t>Sanguillín</t>
  </si>
  <si>
    <t>Catamayo</t>
  </si>
  <si>
    <t>Guayquichuma</t>
  </si>
  <si>
    <t>San Pedro de la Bendita</t>
  </si>
  <si>
    <t>Zambi</t>
  </si>
  <si>
    <t>Celica</t>
  </si>
  <si>
    <t>Cruzpamba</t>
  </si>
  <si>
    <t>Pózul</t>
  </si>
  <si>
    <t>Teniente Maximiliano Rodríguez Loaiza</t>
  </si>
  <si>
    <t>Chaguarpamba</t>
  </si>
  <si>
    <t>Santa Rufina</t>
  </si>
  <si>
    <t>Amarillos</t>
  </si>
  <si>
    <t>Espíndola</t>
  </si>
  <si>
    <t>Jimbura</t>
  </si>
  <si>
    <t>Santa Teresita</t>
  </si>
  <si>
    <t>27 de Abril</t>
  </si>
  <si>
    <t>El Airo</t>
  </si>
  <si>
    <t>Gonzanamá</t>
  </si>
  <si>
    <t>Changaimina</t>
  </si>
  <si>
    <t>Nambacola</t>
  </si>
  <si>
    <t>Purunuma</t>
  </si>
  <si>
    <t>Sacapalca</t>
  </si>
  <si>
    <t>Macará</t>
  </si>
  <si>
    <t>Larama</t>
  </si>
  <si>
    <t>Sabiango</t>
  </si>
  <si>
    <t>Paltas</t>
  </si>
  <si>
    <t>Catacocha</t>
  </si>
  <si>
    <t>Cangonamá</t>
  </si>
  <si>
    <t>Guachanamá</t>
  </si>
  <si>
    <t>Lauro Guerrero</t>
  </si>
  <si>
    <t>Orianga</t>
  </si>
  <si>
    <t>Casanga</t>
  </si>
  <si>
    <t>Yamana</t>
  </si>
  <si>
    <t>Puyango</t>
  </si>
  <si>
    <t>Alamor</t>
  </si>
  <si>
    <t>Ciano</t>
  </si>
  <si>
    <t>El Arenal</t>
  </si>
  <si>
    <t>El Limo</t>
  </si>
  <si>
    <t>Mercadillo</t>
  </si>
  <si>
    <t>Vicentino</t>
  </si>
  <si>
    <t>Saraguro</t>
  </si>
  <si>
    <t>El Paraíso de Celen</t>
  </si>
  <si>
    <t>El Tablón</t>
  </si>
  <si>
    <t>Lluzhapa</t>
  </si>
  <si>
    <t>Manú</t>
  </si>
  <si>
    <t>San Antonio de Qumbe</t>
  </si>
  <si>
    <t>San Pablo de Tenta</t>
  </si>
  <si>
    <t>San Sebastián de Yúluc</t>
  </si>
  <si>
    <t>Urdaneta</t>
  </si>
  <si>
    <t>Sumaypamba</t>
  </si>
  <si>
    <t>Sozoranga</t>
  </si>
  <si>
    <t>Nueva Fátima</t>
  </si>
  <si>
    <t>Tacamoros</t>
  </si>
  <si>
    <t>Zapotillo</t>
  </si>
  <si>
    <t>Mangahurco</t>
  </si>
  <si>
    <t>Garzareal</t>
  </si>
  <si>
    <t>Limones</t>
  </si>
  <si>
    <t>Paletillas</t>
  </si>
  <si>
    <t>Bolaspamba</t>
  </si>
  <si>
    <t>Cazaderos</t>
  </si>
  <si>
    <t>Pindal</t>
  </si>
  <si>
    <t>Chaquinal</t>
  </si>
  <si>
    <t>12 de Diciembre</t>
  </si>
  <si>
    <t>Milagros</t>
  </si>
  <si>
    <t>Quilanga</t>
  </si>
  <si>
    <t>Fundochamba</t>
  </si>
  <si>
    <t>San Antonio de las Aradas</t>
  </si>
  <si>
    <t>Olmedo</t>
  </si>
  <si>
    <t>La Tingue</t>
  </si>
  <si>
    <t>Los Ríos</t>
  </si>
  <si>
    <t>Babahoyo</t>
  </si>
  <si>
    <t>Caracol</t>
  </si>
  <si>
    <t>Febres Cordero</t>
  </si>
  <si>
    <t>Pimocha</t>
  </si>
  <si>
    <t>Baba</t>
  </si>
  <si>
    <t>Guare</t>
  </si>
  <si>
    <t>Isla de Bejucal</t>
  </si>
  <si>
    <t>La Esmeralda</t>
  </si>
  <si>
    <t>Puebloviejo</t>
  </si>
  <si>
    <t>Puerto Pechiche</t>
  </si>
  <si>
    <t>Quevedo</t>
  </si>
  <si>
    <t>Catarama</t>
  </si>
  <si>
    <t>Ventanas</t>
  </si>
  <si>
    <t>Zapotal</t>
  </si>
  <si>
    <t>Chacarita</t>
  </si>
  <si>
    <t>Los Ángeles</t>
  </si>
  <si>
    <t>Vinces</t>
  </si>
  <si>
    <t>Antonio Sotomayor</t>
  </si>
  <si>
    <t>Palenque</t>
  </si>
  <si>
    <t>Buena Fe</t>
  </si>
  <si>
    <t>San Jacinto de Buena Fe</t>
  </si>
  <si>
    <t>Patricia Pilar</t>
  </si>
  <si>
    <t>Valencia</t>
  </si>
  <si>
    <t>Mocache</t>
  </si>
  <si>
    <t>Quinsaloma</t>
  </si>
  <si>
    <t>Manabí</t>
  </si>
  <si>
    <t>Portoviejo</t>
  </si>
  <si>
    <t>Alhajuela</t>
  </si>
  <si>
    <t>Crucita</t>
  </si>
  <si>
    <t>Pueblo Nuevo</t>
  </si>
  <si>
    <t>Riochico</t>
  </si>
  <si>
    <t>San Plácido</t>
  </si>
  <si>
    <t>Chirijos</t>
  </si>
  <si>
    <t>Calceta</t>
  </si>
  <si>
    <t>Membrillo</t>
  </si>
  <si>
    <t>Chone</t>
  </si>
  <si>
    <t>Boyacá</t>
  </si>
  <si>
    <t>Canuto</t>
  </si>
  <si>
    <t>Convento</t>
  </si>
  <si>
    <t>Chibunga</t>
  </si>
  <si>
    <t>El Carmen</t>
  </si>
  <si>
    <t>Wilfrido Loor Moreira</t>
  </si>
  <si>
    <t>San Pedro de Suma</t>
  </si>
  <si>
    <t>Santa María</t>
  </si>
  <si>
    <t>El Paraíso la 14</t>
  </si>
  <si>
    <t>Flavio Alfaro</t>
  </si>
  <si>
    <t>San Francisco de Novillo</t>
  </si>
  <si>
    <t>Zapallo</t>
  </si>
  <si>
    <t>Jipijapa</t>
  </si>
  <si>
    <t>América</t>
  </si>
  <si>
    <t>El Anegado</t>
  </si>
  <si>
    <t>Julcuy</t>
  </si>
  <si>
    <t>Membrillal</t>
  </si>
  <si>
    <t>Pedro Pablo Gómez</t>
  </si>
  <si>
    <t>Puerto Cayo</t>
  </si>
  <si>
    <t>Junín</t>
  </si>
  <si>
    <t>Manta</t>
  </si>
  <si>
    <t>Santa Marianita</t>
  </si>
  <si>
    <t>Montecristi</t>
  </si>
  <si>
    <t>La Pila</t>
  </si>
  <si>
    <t>Paján</t>
  </si>
  <si>
    <t>Campozano</t>
  </si>
  <si>
    <t>Cascol</t>
  </si>
  <si>
    <t>Guale</t>
  </si>
  <si>
    <t>Lascano</t>
  </si>
  <si>
    <t>Pichincha</t>
  </si>
  <si>
    <t>Barraganete</t>
  </si>
  <si>
    <t>Santa Ana de Vuelta Larga</t>
  </si>
  <si>
    <t>Ayacucho</t>
  </si>
  <si>
    <t>Sucre</t>
  </si>
  <si>
    <t>Bahía de Caráquez</t>
  </si>
  <si>
    <t>Charapotó</t>
  </si>
  <si>
    <t>Tosagua</t>
  </si>
  <si>
    <t>Bachillero</t>
  </si>
  <si>
    <t>Ángel Pedro Giler</t>
  </si>
  <si>
    <t>24 de Mayo</t>
  </si>
  <si>
    <t>Noboa</t>
  </si>
  <si>
    <t>Arquitecto Sixto Durán Ballén</t>
  </si>
  <si>
    <t>Pedernales</t>
  </si>
  <si>
    <t>Cojimíes</t>
  </si>
  <si>
    <t>Diez de Agosto</t>
  </si>
  <si>
    <t>Puerto López</t>
  </si>
  <si>
    <t>Machalilla</t>
  </si>
  <si>
    <t>Salango</t>
  </si>
  <si>
    <t>Jama</t>
  </si>
  <si>
    <t>Jaramijó</t>
  </si>
  <si>
    <t>Canoa</t>
  </si>
  <si>
    <t>Morona Santiago</t>
  </si>
  <si>
    <t>Morona</t>
  </si>
  <si>
    <t>Macas</t>
  </si>
  <si>
    <t>Alshi</t>
  </si>
  <si>
    <t>General Proaño</t>
  </si>
  <si>
    <t>Sevilla Don Bosco</t>
  </si>
  <si>
    <t>Sinaí</t>
  </si>
  <si>
    <t>Zuña</t>
  </si>
  <si>
    <t>Cuchaentza</t>
  </si>
  <si>
    <t>Río Blanco</t>
  </si>
  <si>
    <t>Gualaquiza</t>
  </si>
  <si>
    <t>Amazonas</t>
  </si>
  <si>
    <t>Bermejos</t>
  </si>
  <si>
    <t>Bomboíza</t>
  </si>
  <si>
    <t>Chigüinda</t>
  </si>
  <si>
    <t>Nueva Tarqui</t>
  </si>
  <si>
    <t>San Miguel de Cuyes</t>
  </si>
  <si>
    <t>El Ideal</t>
  </si>
  <si>
    <t>Limón Indanza</t>
  </si>
  <si>
    <t>General Leonidas Plaza Gutiérrez</t>
  </si>
  <si>
    <t>Indanza</t>
  </si>
  <si>
    <t>San Miguel de Conchay</t>
  </si>
  <si>
    <t>Santa Susana de Chiviaza</t>
  </si>
  <si>
    <t>Yunganza</t>
  </si>
  <si>
    <t>Palora</t>
  </si>
  <si>
    <t>Arapicos</t>
  </si>
  <si>
    <t>Sangay</t>
  </si>
  <si>
    <t>16 de Agosto</t>
  </si>
  <si>
    <t>Santiago de Méndez</t>
  </si>
  <si>
    <t>Copal</t>
  </si>
  <si>
    <t>Chupianza</t>
  </si>
  <si>
    <t>Patuca</t>
  </si>
  <si>
    <t>San Luis de el Acho</t>
  </si>
  <si>
    <t>Tayuza</t>
  </si>
  <si>
    <t>San Francisco de Chinimbimi</t>
  </si>
  <si>
    <t>Sucúa</t>
  </si>
  <si>
    <t>Huambi</t>
  </si>
  <si>
    <t>Santa Marianita de Jesús</t>
  </si>
  <si>
    <t>Huamboya</t>
  </si>
  <si>
    <t>Chiguaza</t>
  </si>
  <si>
    <t>San Juan Bosco</t>
  </si>
  <si>
    <t>Pan de Azúcar</t>
  </si>
  <si>
    <t>San Carlos de Limón</t>
  </si>
  <si>
    <t>San Jacinto de Wakambeis</t>
  </si>
  <si>
    <t>Santiago de Pananza</t>
  </si>
  <si>
    <t>Taisha</t>
  </si>
  <si>
    <t>Huasaga</t>
  </si>
  <si>
    <t>Macuma</t>
  </si>
  <si>
    <t>Tuutinentsa</t>
  </si>
  <si>
    <t>Pumpuentsa</t>
  </si>
  <si>
    <t>Logroño</t>
  </si>
  <si>
    <t>Yaupi</t>
  </si>
  <si>
    <t>Shimpis</t>
  </si>
  <si>
    <t>Pablo Sexto</t>
  </si>
  <si>
    <t>Tiwintza</t>
  </si>
  <si>
    <t>San José de Morona</t>
  </si>
  <si>
    <t>Napo</t>
  </si>
  <si>
    <t>Tena</t>
  </si>
  <si>
    <t>Ahuano</t>
  </si>
  <si>
    <t>Chontapunta</t>
  </si>
  <si>
    <t>Pano</t>
  </si>
  <si>
    <t>Puerto Misahuallí</t>
  </si>
  <si>
    <t>Puerto Napo</t>
  </si>
  <si>
    <t>Tálag</t>
  </si>
  <si>
    <t>San Juan de Muyuna</t>
  </si>
  <si>
    <t>Archidona</t>
  </si>
  <si>
    <t>Cotundo</t>
  </si>
  <si>
    <t>San Pablo de Ushpayacu</t>
  </si>
  <si>
    <t>Hatun Sumaku</t>
  </si>
  <si>
    <t>El Chaco</t>
  </si>
  <si>
    <t>Gonzalo Díaz de Pineda</t>
  </si>
  <si>
    <t>Linares</t>
  </si>
  <si>
    <t>Oyacachi</t>
  </si>
  <si>
    <t>Sardinas</t>
  </si>
  <si>
    <t>Quijos</t>
  </si>
  <si>
    <t>Baeza</t>
  </si>
  <si>
    <t>Cosanga</t>
  </si>
  <si>
    <t>Cuyuja</t>
  </si>
  <si>
    <t>Papallacta</t>
  </si>
  <si>
    <t>San Francisco de Borja</t>
  </si>
  <si>
    <t>Sumaco</t>
  </si>
  <si>
    <t>Carlos Julio Arosemena Tola</t>
  </si>
  <si>
    <t>Pastaza</t>
  </si>
  <si>
    <t>Puyo</t>
  </si>
  <si>
    <t>Canelos</t>
  </si>
  <si>
    <t>Fátima</t>
  </si>
  <si>
    <t>Pomona</t>
  </si>
  <si>
    <t>Río Corrientes</t>
  </si>
  <si>
    <t>Río Tigre</t>
  </si>
  <si>
    <t>Sarayacu</t>
  </si>
  <si>
    <t>Teniente Hugo Ortiz</t>
  </si>
  <si>
    <t>Veracruz</t>
  </si>
  <si>
    <t>Mera</t>
  </si>
  <si>
    <t>Madre Tierra</t>
  </si>
  <si>
    <t>Shell</t>
  </si>
  <si>
    <t>Santa Clara</t>
  </si>
  <si>
    <t>Arajuno</t>
  </si>
  <si>
    <t>Curaray</t>
  </si>
  <si>
    <t>Distrito Metropolitano de Quito</t>
  </si>
  <si>
    <t>Quito</t>
  </si>
  <si>
    <t>Alangasí</t>
  </si>
  <si>
    <t>Amaguaña</t>
  </si>
  <si>
    <t>Calacalí</t>
  </si>
  <si>
    <t>Conocoto</t>
  </si>
  <si>
    <t>Cumbayá</t>
  </si>
  <si>
    <t>Chavezpamba</t>
  </si>
  <si>
    <t>El Quinche</t>
  </si>
  <si>
    <t>Gualea</t>
  </si>
  <si>
    <t>Guangopolo</t>
  </si>
  <si>
    <t>Guayllabamba</t>
  </si>
  <si>
    <t>La Merced</t>
  </si>
  <si>
    <t>Llano Chico</t>
  </si>
  <si>
    <t>Lloa</t>
  </si>
  <si>
    <t>Nanegal</t>
  </si>
  <si>
    <t>Nanegalito</t>
  </si>
  <si>
    <t>Nayón</t>
  </si>
  <si>
    <t>Nono</t>
  </si>
  <si>
    <t>Pacto</t>
  </si>
  <si>
    <t>Perucho</t>
  </si>
  <si>
    <t>Pifo</t>
  </si>
  <si>
    <t>Píntag</t>
  </si>
  <si>
    <t>Pomasqui</t>
  </si>
  <si>
    <t>Puéllaro</t>
  </si>
  <si>
    <t>Puembo</t>
  </si>
  <si>
    <t>San José de Minas</t>
  </si>
  <si>
    <t>Tababela</t>
  </si>
  <si>
    <t>Tumbaco</t>
  </si>
  <si>
    <t>Yaruquí</t>
  </si>
  <si>
    <t>Zámbiza</t>
  </si>
  <si>
    <t>Cayambe</t>
  </si>
  <si>
    <t>Ascázubi</t>
  </si>
  <si>
    <t>Cangahua</t>
  </si>
  <si>
    <t>Otón</t>
  </si>
  <si>
    <t>Santa Rosa de Cuzubamba</t>
  </si>
  <si>
    <t>San José de Ayora</t>
  </si>
  <si>
    <t>Mejía</t>
  </si>
  <si>
    <t>Machachi</t>
  </si>
  <si>
    <t>Aloag</t>
  </si>
  <si>
    <t>Aloasí</t>
  </si>
  <si>
    <t>Cutuglahua</t>
  </si>
  <si>
    <t>El Chaupi</t>
  </si>
  <si>
    <t>Manuel Cornejo Astorga</t>
  </si>
  <si>
    <t>Uyumbicho</t>
  </si>
  <si>
    <t>Pedro Moncayo</t>
  </si>
  <si>
    <t>Tabacundo</t>
  </si>
  <si>
    <t>Malchinguí</t>
  </si>
  <si>
    <t>Tocachi</t>
  </si>
  <si>
    <t>Tupigachi</t>
  </si>
  <si>
    <t>Rumiñahui</t>
  </si>
  <si>
    <t>Sangolquí</t>
  </si>
  <si>
    <t>Cotogchoa</t>
  </si>
  <si>
    <t>Rumipamba</t>
  </si>
  <si>
    <t>San Miguel de los Bancos</t>
  </si>
  <si>
    <t>Mindo</t>
  </si>
  <si>
    <t>Pedro Vicente Maldonado</t>
  </si>
  <si>
    <t>Puerto Quito</t>
  </si>
  <si>
    <t>Tungurahua</t>
  </si>
  <si>
    <t>Ambato</t>
  </si>
  <si>
    <t>Ambatillo</t>
  </si>
  <si>
    <t>Augusto N. Martínez</t>
  </si>
  <si>
    <t>Constantino Fernández</t>
  </si>
  <si>
    <t>Huachi Grande</t>
  </si>
  <si>
    <t>Izamba</t>
  </si>
  <si>
    <t>Juan Benigno Vela</t>
  </si>
  <si>
    <t>Pasa</t>
  </si>
  <si>
    <t>Picaihua</t>
  </si>
  <si>
    <t>Pilagüín (PILAHUÍN)</t>
  </si>
  <si>
    <t>Quisapincha</t>
  </si>
  <si>
    <t>San Bartolomé de Pinllo</t>
  </si>
  <si>
    <t>Totoras</t>
  </si>
  <si>
    <t>Cunchibamba</t>
  </si>
  <si>
    <t>Unamuncho</t>
  </si>
  <si>
    <t>Baños de Agua Santa</t>
  </si>
  <si>
    <t>Lligua</t>
  </si>
  <si>
    <t>Río Negro</t>
  </si>
  <si>
    <t>Río Verde</t>
  </si>
  <si>
    <t>Ulba</t>
  </si>
  <si>
    <t>Cevallos</t>
  </si>
  <si>
    <t>Mocha</t>
  </si>
  <si>
    <t>Pinguilí</t>
  </si>
  <si>
    <t>Patate</t>
  </si>
  <si>
    <t>Quero</t>
  </si>
  <si>
    <t>Yanayacu-Mochapata</t>
  </si>
  <si>
    <t>San Pedro de Pelileo</t>
  </si>
  <si>
    <t>Pelileo</t>
  </si>
  <si>
    <t>Benítez</t>
  </si>
  <si>
    <t>Cotaló</t>
  </si>
  <si>
    <t>Chiquicha</t>
  </si>
  <si>
    <t>Guambaló</t>
  </si>
  <si>
    <t>Salasaca</t>
  </si>
  <si>
    <t>Santiago de Píllaro</t>
  </si>
  <si>
    <t>Píllaro</t>
  </si>
  <si>
    <t>Baquerizo Moreno</t>
  </si>
  <si>
    <t>Emilio María Terán</t>
  </si>
  <si>
    <t>Marcos Espinel</t>
  </si>
  <si>
    <t>Presidente Urbina</t>
  </si>
  <si>
    <t>San José de Poaló</t>
  </si>
  <si>
    <t>San Miguelito</t>
  </si>
  <si>
    <t>Tisaleo</t>
  </si>
  <si>
    <t>Quinchicoto</t>
  </si>
  <si>
    <t>Zamora Chinchipe</t>
  </si>
  <si>
    <t>Zamora</t>
  </si>
  <si>
    <t>Cumbaratza</t>
  </si>
  <si>
    <t>Guadalupe</t>
  </si>
  <si>
    <t>Imbana</t>
  </si>
  <si>
    <t>Timbara</t>
  </si>
  <si>
    <t>San Carlos de las Minas</t>
  </si>
  <si>
    <t>Chinchipe</t>
  </si>
  <si>
    <t>Zumba</t>
  </si>
  <si>
    <t>Chito</t>
  </si>
  <si>
    <t>El Chorro</t>
  </si>
  <si>
    <t>La Chonta</t>
  </si>
  <si>
    <t>Pucapamba</t>
  </si>
  <si>
    <t>Nangaritza</t>
  </si>
  <si>
    <t>Guayzimi</t>
  </si>
  <si>
    <t>Zurmi</t>
  </si>
  <si>
    <t>Nuevo Paraíso</t>
  </si>
  <si>
    <t>Nankais</t>
  </si>
  <si>
    <t>Yacuambi</t>
  </si>
  <si>
    <t>28 de Mayo</t>
  </si>
  <si>
    <t>Tutupali</t>
  </si>
  <si>
    <t>Yantzaza</t>
  </si>
  <si>
    <t>Chicaña</t>
  </si>
  <si>
    <t>Los Encuentros</t>
  </si>
  <si>
    <t>El Pangui</t>
  </si>
  <si>
    <t>El Guisme</t>
  </si>
  <si>
    <t>Pachicutza</t>
  </si>
  <si>
    <t>Tundayme</t>
  </si>
  <si>
    <t>Centinela del Cóndor</t>
  </si>
  <si>
    <t>Zumbi</t>
  </si>
  <si>
    <t>Triunfo Dorado</t>
  </si>
  <si>
    <t>Panguintza</t>
  </si>
  <si>
    <t>Palanda</t>
  </si>
  <si>
    <t>El Porvenir del Carmen</t>
  </si>
  <si>
    <t>San Francisco del Vergel</t>
  </si>
  <si>
    <t>Valladolid</t>
  </si>
  <si>
    <t>La Canela</t>
  </si>
  <si>
    <t>Paquisha</t>
  </si>
  <si>
    <t>Nuevo Quito</t>
  </si>
  <si>
    <t>Galápagos</t>
  </si>
  <si>
    <t>Puerto Baquerizo Moreno</t>
  </si>
  <si>
    <t>Isla Santa María Floreana</t>
  </si>
  <si>
    <t>Isabela</t>
  </si>
  <si>
    <t>Puerto Villamil</t>
  </si>
  <si>
    <t>Tomás de Berlanga</t>
  </si>
  <si>
    <t>Santa Cruz</t>
  </si>
  <si>
    <t>Puerto Ayora</t>
  </si>
  <si>
    <t>Bella Vista</t>
  </si>
  <si>
    <t>Sucumbíos</t>
  </si>
  <si>
    <t>Lago Agrio</t>
  </si>
  <si>
    <t>Nueva Loja</t>
  </si>
  <si>
    <t>Dureno</t>
  </si>
  <si>
    <t>General Farfán</t>
  </si>
  <si>
    <t>El Eno</t>
  </si>
  <si>
    <t>Pacayacu</t>
  </si>
  <si>
    <t>Santa Cecilia</t>
  </si>
  <si>
    <t>10 de Agosto</t>
  </si>
  <si>
    <t>Gonzalo Pizarro</t>
  </si>
  <si>
    <t>Lumbaquí</t>
  </si>
  <si>
    <t>El Reventador</t>
  </si>
  <si>
    <t>Puerto Libre</t>
  </si>
  <si>
    <t>Putumayo</t>
  </si>
  <si>
    <t>Puerto el Carmen de Putumayo</t>
  </si>
  <si>
    <t>Palma Roja</t>
  </si>
  <si>
    <t>Puerto Bolívar</t>
  </si>
  <si>
    <t>Puerto Rodríguez</t>
  </si>
  <si>
    <t>Santa Elena</t>
  </si>
  <si>
    <t>Sansahuari</t>
  </si>
  <si>
    <t>Shushufindi</t>
  </si>
  <si>
    <t>Limoncocha</t>
  </si>
  <si>
    <t>Pañacocha</t>
  </si>
  <si>
    <t>San Pedro de los Cofánes</t>
  </si>
  <si>
    <t>Siete de Julio</t>
  </si>
  <si>
    <t>La Bonita</t>
  </si>
  <si>
    <t>El Playón de San Francisco</t>
  </si>
  <si>
    <t>La Sofía</t>
  </si>
  <si>
    <t>Rosa Florida</t>
  </si>
  <si>
    <t>Santa Bárbara</t>
  </si>
  <si>
    <t>Cascales</t>
  </si>
  <si>
    <t>El Dorado de Cascales</t>
  </si>
  <si>
    <t>Santa Rosa de Sucumbíos</t>
  </si>
  <si>
    <t>Nueva Troncal</t>
  </si>
  <si>
    <t>Cuyabeno</t>
  </si>
  <si>
    <t>Tarapoa</t>
  </si>
  <si>
    <t>Aguas Negras</t>
  </si>
  <si>
    <t>Orellana</t>
  </si>
  <si>
    <t>Francisco de Orellana</t>
  </si>
  <si>
    <t>El Coca (PUERTO FRANCISCO DE ORELLANA)</t>
  </si>
  <si>
    <t>Dayuma</t>
  </si>
  <si>
    <t>Taracoa</t>
  </si>
  <si>
    <t>Alejandro Labaka</t>
  </si>
  <si>
    <t>El Dorado</t>
  </si>
  <si>
    <t>El Edén</t>
  </si>
  <si>
    <t>Inés Arango</t>
  </si>
  <si>
    <t>La Belleza</t>
  </si>
  <si>
    <t>San José de Guayusa</t>
  </si>
  <si>
    <t>San Luis de Armenia</t>
  </si>
  <si>
    <t>Aguarico</t>
  </si>
  <si>
    <t>Nuevo Rocafuerte</t>
  </si>
  <si>
    <t>Capitán Augusto Rivadeneyra</t>
  </si>
  <si>
    <t>Cononaco</t>
  </si>
  <si>
    <t>Santa María de Huiririma</t>
  </si>
  <si>
    <t>Yasuní</t>
  </si>
  <si>
    <t>La Joya de los Sachas</t>
  </si>
  <si>
    <t>Enokanqui</t>
  </si>
  <si>
    <t>Pompeya</t>
  </si>
  <si>
    <t>San Sebastián del Coca</t>
  </si>
  <si>
    <t>Lago San Pedro</t>
  </si>
  <si>
    <t>Tres de Noviembre</t>
  </si>
  <si>
    <t>Unión Milagreña</t>
  </si>
  <si>
    <t>Loreto</t>
  </si>
  <si>
    <t>Ávila</t>
  </si>
  <si>
    <t>Puerto Murialdo</t>
  </si>
  <si>
    <t>San José de Payamino</t>
  </si>
  <si>
    <t>San José de Dahuano</t>
  </si>
  <si>
    <t>San Vicente de Huaticocha</t>
  </si>
  <si>
    <t>Santo Domingo de los Tsáchilas</t>
  </si>
  <si>
    <t>Santo Domingo</t>
  </si>
  <si>
    <t>Santo Domingo de los Colorados</t>
  </si>
  <si>
    <t>Alluriquín</t>
  </si>
  <si>
    <t>Puerto Limón</t>
  </si>
  <si>
    <t>Luz de América</t>
  </si>
  <si>
    <t>San Jacinto del Búa</t>
  </si>
  <si>
    <t>Valle Hermoso</t>
  </si>
  <si>
    <t>El Esfuerzo</t>
  </si>
  <si>
    <t>Santa María del Toachi</t>
  </si>
  <si>
    <t>La Concordia</t>
  </si>
  <si>
    <t>Monterrey</t>
  </si>
  <si>
    <t>La Villegas</t>
  </si>
  <si>
    <t>Plan Piloto</t>
  </si>
  <si>
    <t>Colonche</t>
  </si>
  <si>
    <t>Chanduy</t>
  </si>
  <si>
    <t>Manglaralto</t>
  </si>
  <si>
    <t>San José de Ancón</t>
  </si>
  <si>
    <t>Anconcito</t>
  </si>
  <si>
    <t>José Luis Tamayo</t>
  </si>
  <si>
    <t>Cuchil</t>
  </si>
  <si>
    <t>Canchagua</t>
  </si>
  <si>
    <t>rankeo</t>
  </si>
  <si>
    <t>virs/pop</t>
  </si>
  <si>
    <t>edi/m2_auo</t>
  </si>
  <si>
    <t>VIIRS</t>
  </si>
  <si>
    <t>&lt;0</t>
  </si>
  <si>
    <t>&gt;0</t>
  </si>
  <si>
    <t>*</t>
  </si>
  <si>
    <t>(luz por habitante)</t>
  </si>
  <si>
    <t>Estandarizar</t>
  </si>
  <si>
    <t>dt/dedi</t>
  </si>
  <si>
    <t>EC010155</t>
  </si>
  <si>
    <t>EC010360</t>
  </si>
  <si>
    <t>EC010451</t>
  </si>
  <si>
    <t>EC010556</t>
  </si>
  <si>
    <t>EC011152</t>
  </si>
  <si>
    <t>EC030352</t>
  </si>
  <si>
    <t>EC030355</t>
  </si>
  <si>
    <t>EC030750</t>
  </si>
  <si>
    <t>EC050551</t>
  </si>
  <si>
    <t>EC050653</t>
  </si>
  <si>
    <t>EC071352</t>
  </si>
  <si>
    <t>EC071357</t>
  </si>
  <si>
    <t>EC080256</t>
  </si>
  <si>
    <t>EC090653</t>
  </si>
  <si>
    <t>EC091452</t>
  </si>
  <si>
    <t>EC091953</t>
  </si>
  <si>
    <t>EC100253</t>
  </si>
  <si>
    <t>EC111153</t>
  </si>
  <si>
    <t>EC111157</t>
  </si>
  <si>
    <t>EC111160</t>
  </si>
  <si>
    <t>EC131050</t>
  </si>
  <si>
    <t>EC131053</t>
  </si>
  <si>
    <t>EC131054</t>
  </si>
  <si>
    <t>EC131652</t>
  </si>
  <si>
    <t>EC140350</t>
  </si>
  <si>
    <t>EC210550</t>
  </si>
  <si>
    <t>EC210551</t>
  </si>
  <si>
    <t>EC240155</t>
  </si>
  <si>
    <t>EC240351</t>
  </si>
  <si>
    <t>EC170452</t>
  </si>
  <si>
    <t>EC170453</t>
  </si>
  <si>
    <t>EC060755</t>
  </si>
  <si>
    <t>EC100251</t>
  </si>
  <si>
    <t>EC030252</t>
  </si>
  <si>
    <t>EC210454</t>
  </si>
  <si>
    <t>EC240151</t>
  </si>
  <si>
    <t>EC140452</t>
  </si>
  <si>
    <t>EC060153</t>
  </si>
  <si>
    <t>EC010554</t>
  </si>
  <si>
    <t>EC170254</t>
  </si>
  <si>
    <t>EC010156</t>
  </si>
  <si>
    <t>EC040151</t>
  </si>
  <si>
    <t>EC030151</t>
  </si>
  <si>
    <t>EC060253</t>
  </si>
  <si>
    <t>EC030651</t>
  </si>
  <si>
    <t>EC141150</t>
  </si>
  <si>
    <t>EC060155</t>
  </si>
  <si>
    <t>EC030155</t>
  </si>
  <si>
    <t>EC010751</t>
  </si>
  <si>
    <t>EC180652</t>
  </si>
  <si>
    <t>EC170255</t>
  </si>
  <si>
    <t>EC060151</t>
  </si>
  <si>
    <t>EC170163</t>
  </si>
  <si>
    <t>EC210153</t>
  </si>
  <si>
    <t>EC011150</t>
  </si>
  <si>
    <t>EC030451</t>
  </si>
  <si>
    <t>EC070152</t>
  </si>
  <si>
    <t>EC170165</t>
  </si>
  <si>
    <t>EC060158</t>
  </si>
  <si>
    <t>EC180451</t>
  </si>
  <si>
    <t>EC010559</t>
  </si>
  <si>
    <t>EC080253</t>
  </si>
  <si>
    <t>EC010550</t>
  </si>
  <si>
    <t>EC071050</t>
  </si>
  <si>
    <t>EC010164</t>
  </si>
  <si>
    <t>EC060152</t>
  </si>
  <si>
    <t>EC010562</t>
  </si>
  <si>
    <t>EC111151</t>
  </si>
  <si>
    <t>EC170186</t>
  </si>
  <si>
    <t>EC150450</t>
  </si>
  <si>
    <t>EC010162</t>
  </si>
  <si>
    <t>EC100157</t>
  </si>
  <si>
    <t>EC030154</t>
  </si>
  <si>
    <t>EC030158</t>
  </si>
  <si>
    <t>EC030153</t>
  </si>
  <si>
    <t>EC010850</t>
  </si>
  <si>
    <t>EC040254</t>
  </si>
  <si>
    <t>EC050555</t>
  </si>
  <si>
    <t>EC100356</t>
  </si>
  <si>
    <t>EC111152</t>
  </si>
  <si>
    <t>EC010357</t>
  </si>
  <si>
    <t>EC111155</t>
  </si>
  <si>
    <t>EC240153</t>
  </si>
  <si>
    <t>EC170451</t>
  </si>
  <si>
    <t>EC091051</t>
  </si>
  <si>
    <t>EC010553</t>
  </si>
  <si>
    <t>EC240352</t>
  </si>
  <si>
    <t>EC150452</t>
  </si>
  <si>
    <t>EC170160</t>
  </si>
  <si>
    <t>EC050453</t>
  </si>
  <si>
    <t>EC150754</t>
  </si>
  <si>
    <t>EC030253</t>
  </si>
  <si>
    <t>EC100151</t>
  </si>
  <si>
    <t>EC100250</t>
  </si>
  <si>
    <t>EC120250</t>
  </si>
  <si>
    <t>EC140550</t>
  </si>
  <si>
    <t>EC190652</t>
  </si>
  <si>
    <t>EC170178</t>
  </si>
  <si>
    <t>EC100451</t>
  </si>
  <si>
    <t>EC170159</t>
  </si>
  <si>
    <t>EC030350</t>
  </si>
  <si>
    <t>EC040153</t>
  </si>
  <si>
    <t>EC220255</t>
  </si>
  <si>
    <t>EC110153</t>
  </si>
  <si>
    <t>EC020350</t>
  </si>
  <si>
    <t>EC010750</t>
  </si>
  <si>
    <t>EC060250</t>
  </si>
  <si>
    <t>EC030250</t>
  </si>
  <si>
    <t>EC010356</t>
  </si>
  <si>
    <t>EC100156</t>
  </si>
  <si>
    <t>EC092450</t>
  </si>
  <si>
    <t>EC210355</t>
  </si>
  <si>
    <t>EC220350</t>
  </si>
  <si>
    <t>EC160350</t>
  </si>
  <si>
    <t>EC240350</t>
  </si>
  <si>
    <t>EC111154</t>
  </si>
  <si>
    <t>EC140552</t>
  </si>
  <si>
    <t>EC092056</t>
  </si>
  <si>
    <t>EC010251</t>
  </si>
  <si>
    <t>EC040350</t>
  </si>
  <si>
    <t>EC010159</t>
  </si>
  <si>
    <t>EC170183</t>
  </si>
  <si>
    <t>EC020153</t>
  </si>
  <si>
    <t>EC040158</t>
  </si>
  <si>
    <t>EC060154</t>
  </si>
  <si>
    <t>EC060350</t>
  </si>
  <si>
    <t>EC091450</t>
  </si>
  <si>
    <t>EC100455</t>
  </si>
  <si>
    <t>EC091651</t>
  </si>
  <si>
    <t>EC060161</t>
  </si>
  <si>
    <t>EC040650</t>
  </si>
  <si>
    <t>EC180755</t>
  </si>
  <si>
    <t>EC240250</t>
  </si>
  <si>
    <t>EC071250</t>
  </si>
  <si>
    <t>EC190450</t>
  </si>
  <si>
    <t>EC240156</t>
  </si>
  <si>
    <t>EC100252</t>
  </si>
  <si>
    <t>EC140450</t>
  </si>
  <si>
    <t>EC040353</t>
  </si>
  <si>
    <t>EC110350</t>
  </si>
  <si>
    <t>EC170170</t>
  </si>
  <si>
    <t>EC120555</t>
  </si>
  <si>
    <t>EC010154</t>
  </si>
  <si>
    <t>EC070450</t>
  </si>
  <si>
    <t>EC150750</t>
  </si>
  <si>
    <t>EC020354</t>
  </si>
  <si>
    <t>EC070250</t>
  </si>
  <si>
    <t>EC010167</t>
  </si>
  <si>
    <t>EC210554</t>
  </si>
  <si>
    <t>EC090156</t>
  </si>
  <si>
    <t>EC140454</t>
  </si>
  <si>
    <t>EC091350</t>
  </si>
  <si>
    <t>EC030150</t>
  </si>
  <si>
    <t>EC050652</t>
  </si>
  <si>
    <t>EC180756</t>
  </si>
  <si>
    <t>EC091950</t>
  </si>
  <si>
    <t>EC100350</t>
  </si>
  <si>
    <t>EC080556</t>
  </si>
  <si>
    <t>EC050455</t>
  </si>
  <si>
    <t>EC040250</t>
  </si>
  <si>
    <t>EC091951</t>
  </si>
  <si>
    <t>EC180751</t>
  </si>
  <si>
    <t>EC220454</t>
  </si>
  <si>
    <t>EC060550</t>
  </si>
  <si>
    <t>EC040550</t>
  </si>
  <si>
    <t>EC040450</t>
  </si>
  <si>
    <t>EC170179</t>
  </si>
  <si>
    <t>EC210350</t>
  </si>
  <si>
    <t>EC080755</t>
  </si>
  <si>
    <t>EC050157</t>
  </si>
  <si>
    <t>EC090852</t>
  </si>
  <si>
    <t>EC071355</t>
  </si>
  <si>
    <t>EC170177</t>
  </si>
  <si>
    <t>EC030550</t>
  </si>
  <si>
    <t>EC160252</t>
  </si>
  <si>
    <t>EC070850</t>
  </si>
  <si>
    <t>EC180951</t>
  </si>
  <si>
    <t>EC100452</t>
  </si>
  <si>
    <t>EC010950</t>
  </si>
  <si>
    <t>EC090550</t>
  </si>
  <si>
    <t>EC210150</t>
  </si>
  <si>
    <t>EC210158</t>
  </si>
  <si>
    <t>EC011450</t>
  </si>
  <si>
    <t>EC060652</t>
  </si>
  <si>
    <t>EC100254</t>
  </si>
  <si>
    <t>EC010170</t>
  </si>
  <si>
    <t>EC071350</t>
  </si>
  <si>
    <t>EC170352</t>
  </si>
  <si>
    <t>EC110157</t>
  </si>
  <si>
    <t>EC010359</t>
  </si>
  <si>
    <t>EC091152</t>
  </si>
  <si>
    <t>EC030354</t>
  </si>
  <si>
    <t>EC050651</t>
  </si>
  <si>
    <t>EC060354</t>
  </si>
  <si>
    <t>EC190551</t>
  </si>
  <si>
    <t>EC040252</t>
  </si>
  <si>
    <t>EC130656</t>
  </si>
  <si>
    <t>EC160250</t>
  </si>
  <si>
    <t>EC160450</t>
  </si>
  <si>
    <t>EC170180</t>
  </si>
  <si>
    <t>EC010166</t>
  </si>
  <si>
    <t>EC040451</t>
  </si>
  <si>
    <t>EC071356</t>
  </si>
  <si>
    <t>EC131951</t>
  </si>
  <si>
    <t>EC010358</t>
  </si>
  <si>
    <t>EC240150</t>
  </si>
  <si>
    <t>EC020351</t>
  </si>
  <si>
    <t>EC180158</t>
  </si>
  <si>
    <t>EC180758</t>
  </si>
  <si>
    <t>EC180168</t>
  </si>
  <si>
    <t>EC111050</t>
  </si>
  <si>
    <t>EC091850</t>
  </si>
  <si>
    <t>EC180151</t>
  </si>
  <si>
    <t>EC180154</t>
  </si>
  <si>
    <t>EC130454</t>
  </si>
  <si>
    <t>EC091250</t>
  </si>
  <si>
    <t>EC060450</t>
  </si>
  <si>
    <t>EC050553</t>
  </si>
  <si>
    <t>EC050552</t>
  </si>
  <si>
    <t>EC190553</t>
  </si>
  <si>
    <t>EC180155</t>
  </si>
  <si>
    <t>EC020158</t>
  </si>
  <si>
    <t>EC180160</t>
  </si>
  <si>
    <t>EC091154</t>
  </si>
  <si>
    <t>EC140451</t>
  </si>
  <si>
    <t>EC030450</t>
  </si>
  <si>
    <t>EC180855</t>
  </si>
  <si>
    <t>EC150155</t>
  </si>
  <si>
    <t>EC210450</t>
  </si>
  <si>
    <t>EC110156</t>
  </si>
  <si>
    <t>EC060754</t>
  </si>
  <si>
    <t>EC071150</t>
  </si>
  <si>
    <t>EC070254</t>
  </si>
  <si>
    <t>EC180166</t>
  </si>
  <si>
    <t>EC121051</t>
  </si>
  <si>
    <t>EC170162</t>
  </si>
  <si>
    <t>EC170156</t>
  </si>
  <si>
    <t>EC180152</t>
  </si>
  <si>
    <t>EC190550</t>
  </si>
  <si>
    <t>EC180350</t>
  </si>
  <si>
    <t>EC060650</t>
  </si>
  <si>
    <t>EC030251</t>
  </si>
  <si>
    <t>EC180163</t>
  </si>
  <si>
    <t>EC100450</t>
  </si>
  <si>
    <t>EC060160</t>
  </si>
  <si>
    <t>EC090650</t>
  </si>
  <si>
    <t>EC180156</t>
  </si>
  <si>
    <t>EC020550</t>
  </si>
  <si>
    <t>EC170151</t>
  </si>
  <si>
    <t>EC130657</t>
  </si>
  <si>
    <t>EC150150</t>
  </si>
  <si>
    <t>EC110750</t>
  </si>
  <si>
    <t>EC160150</t>
  </si>
  <si>
    <t>EC160163</t>
  </si>
  <si>
    <t>EC010169</t>
  </si>
  <si>
    <t>EC120850</t>
  </si>
  <si>
    <t>EC180750</t>
  </si>
  <si>
    <t>EC091050</t>
  </si>
  <si>
    <t>EC070150</t>
  </si>
  <si>
    <t>EC170155</t>
  </si>
  <si>
    <t>EC050650</t>
  </si>
  <si>
    <t>EC180153</t>
  </si>
  <si>
    <t>EC131950</t>
  </si>
  <si>
    <t>EC090950</t>
  </si>
  <si>
    <t>EC180850</t>
  </si>
  <si>
    <t>EC090450</t>
  </si>
  <si>
    <t>EC150950</t>
  </si>
  <si>
    <t>EC111450</t>
  </si>
  <si>
    <t>EC120452</t>
  </si>
  <si>
    <t>EC050550</t>
  </si>
  <si>
    <t>EC060756</t>
  </si>
  <si>
    <t>EC170171</t>
  </si>
  <si>
    <t>EC170450</t>
  </si>
  <si>
    <t>EC210752</t>
  </si>
  <si>
    <t>EC170550</t>
  </si>
  <si>
    <t>EC040453</t>
  </si>
  <si>
    <t>EC120150</t>
  </si>
  <si>
    <t>EC140750</t>
  </si>
  <si>
    <t>EC230250</t>
  </si>
  <si>
    <t>EC070650</t>
  </si>
  <si>
    <t>EC020159</t>
  </si>
  <si>
    <t>EC180159</t>
  </si>
  <si>
    <t>EC010450</t>
  </si>
  <si>
    <t>EC180550</t>
  </si>
  <si>
    <t>EC050161</t>
  </si>
  <si>
    <t>EC120553</t>
  </si>
  <si>
    <t>EC220450</t>
  </si>
  <si>
    <t>EC170157</t>
  </si>
  <si>
    <t>EC010158</t>
  </si>
  <si>
    <t>EC190650</t>
  </si>
  <si>
    <t>EC180450</t>
  </si>
  <si>
    <t>EC060352</t>
  </si>
  <si>
    <t>EC010350</t>
  </si>
  <si>
    <t>EC091650</t>
  </si>
  <si>
    <t>EC092150</t>
  </si>
  <si>
    <t>EC111150</t>
  </si>
  <si>
    <t>EC170154</t>
  </si>
  <si>
    <t>EC100154</t>
  </si>
  <si>
    <t>EC170351</t>
  </si>
  <si>
    <t>EC140250</t>
  </si>
  <si>
    <t>EC060750</t>
  </si>
  <si>
    <t>EC131650</t>
  </si>
  <si>
    <t>EC170184</t>
  </si>
  <si>
    <t>EC170353</t>
  </si>
  <si>
    <t>EC030650</t>
  </si>
  <si>
    <t>EC050162</t>
  </si>
  <si>
    <t>EC180161</t>
  </si>
  <si>
    <t>EC090350</t>
  </si>
  <si>
    <t>EC050554</t>
  </si>
  <si>
    <t>EC070950</t>
  </si>
  <si>
    <t>EC011050</t>
  </si>
  <si>
    <t>EC100550</t>
  </si>
  <si>
    <t>EC180165</t>
  </si>
  <si>
    <t>EC111350</t>
  </si>
  <si>
    <t>EC131952</t>
  </si>
  <si>
    <t>EC050751</t>
  </si>
  <si>
    <t>EC180167</t>
  </si>
  <si>
    <t>EC170185</t>
  </si>
  <si>
    <t>EC170164</t>
  </si>
  <si>
    <t>EC010150</t>
  </si>
  <si>
    <t>EC100650</t>
  </si>
  <si>
    <t>EC050153</t>
  </si>
  <si>
    <t>EC170252</t>
  </si>
  <si>
    <t>EC050250</t>
  </si>
  <si>
    <t>EC092850</t>
  </si>
  <si>
    <t>EC190250</t>
  </si>
  <si>
    <t>EC090750</t>
  </si>
  <si>
    <t>EC240152</t>
  </si>
  <si>
    <t>EC010157</t>
  </si>
  <si>
    <t>EC010160</t>
  </si>
  <si>
    <t>EC120450</t>
  </si>
  <si>
    <t>EC110850</t>
  </si>
  <si>
    <t>EC050750</t>
  </si>
  <si>
    <t>EC140850</t>
  </si>
  <si>
    <t>EC130852</t>
  </si>
  <si>
    <t>EC140150</t>
  </si>
  <si>
    <t>EC060150</t>
  </si>
  <si>
    <t>EC100150</t>
  </si>
  <si>
    <t>EC180157</t>
  </si>
  <si>
    <t>EC071251</t>
  </si>
  <si>
    <t>EC020150</t>
  </si>
  <si>
    <t>EC050450</t>
  </si>
  <si>
    <t>EC180853</t>
  </si>
  <si>
    <t>EC180854</t>
  </si>
  <si>
    <t>EC230152</t>
  </si>
  <si>
    <t>EC110150</t>
  </si>
  <si>
    <t>EC130650</t>
  </si>
  <si>
    <t>EC050152</t>
  </si>
  <si>
    <t>EC170250</t>
  </si>
  <si>
    <t>EC120851</t>
  </si>
  <si>
    <t>EC050752</t>
  </si>
  <si>
    <t>EC010452</t>
  </si>
  <si>
    <t>EC150350</t>
  </si>
  <si>
    <t>EC210750</t>
  </si>
  <si>
    <t>EC180150</t>
  </si>
  <si>
    <t>EC080166</t>
  </si>
  <si>
    <t>EC071450</t>
  </si>
  <si>
    <t>EC170350</t>
  </si>
  <si>
    <t>EC170175</t>
  </si>
  <si>
    <t>EC010163</t>
  </si>
  <si>
    <t>EC170551</t>
  </si>
  <si>
    <t>EC180650</t>
  </si>
  <si>
    <t>EC180162</t>
  </si>
  <si>
    <t>EC091150</t>
  </si>
  <si>
    <t>EC180950</t>
  </si>
  <si>
    <t>EC190150</t>
  </si>
  <si>
    <t>EC011051</t>
  </si>
  <si>
    <t>EC090850</t>
  </si>
  <si>
    <t>EC060156</t>
  </si>
  <si>
    <t>EC130252</t>
  </si>
  <si>
    <t>EC132150</t>
  </si>
  <si>
    <t>EC090157</t>
  </si>
  <si>
    <t>EC010151</t>
  </si>
  <si>
    <t>EC130952</t>
  </si>
  <si>
    <t>EC010851</t>
  </si>
  <si>
    <t>EC092050</t>
  </si>
  <si>
    <t>EC060850</t>
  </si>
  <si>
    <t>EC100353</t>
  </si>
  <si>
    <t>EC010165</t>
  </si>
  <si>
    <t>EC140650</t>
  </si>
  <si>
    <t>EC050151</t>
  </si>
  <si>
    <t>EC080550</t>
  </si>
  <si>
    <t>EC131350</t>
  </si>
  <si>
    <t>EC150451</t>
  </si>
  <si>
    <t>EC130851</t>
  </si>
  <si>
    <t>EC110450</t>
  </si>
  <si>
    <t>EC170176</t>
  </si>
  <si>
    <t>EC050158</t>
  </si>
  <si>
    <t>EC010250</t>
  </si>
  <si>
    <t>EC080450</t>
  </si>
  <si>
    <t>EC170152</t>
  </si>
  <si>
    <t>EC121050</t>
  </si>
  <si>
    <t>EC210251</t>
  </si>
  <si>
    <t>EC220451</t>
  </si>
  <si>
    <t>EC220250</t>
  </si>
  <si>
    <t>EC050150</t>
  </si>
  <si>
    <t>EC180250</t>
  </si>
  <si>
    <t>EC090656</t>
  </si>
  <si>
    <t>EC180754</t>
  </si>
  <si>
    <t>EC092550</t>
  </si>
  <si>
    <t>EC210250</t>
  </si>
  <si>
    <t>EC121250</t>
  </si>
  <si>
    <t>EC060159</t>
  </si>
  <si>
    <t>EC130153</t>
  </si>
  <si>
    <t>EC170357</t>
  </si>
  <si>
    <t>EC100352</t>
  </si>
  <si>
    <t>EC050458</t>
  </si>
  <si>
    <t>EC170356</t>
  </si>
  <si>
    <t>EC120154</t>
  </si>
  <si>
    <t>EC150156</t>
  </si>
  <si>
    <t>EC130658</t>
  </si>
  <si>
    <t>EC050156</t>
  </si>
  <si>
    <t>EC131150</t>
  </si>
  <si>
    <t>EC240154</t>
  </si>
  <si>
    <t>EC040150</t>
  </si>
  <si>
    <t>EC120550</t>
  </si>
  <si>
    <t>EC060251</t>
  </si>
  <si>
    <t>EC131352</t>
  </si>
  <si>
    <t>EC130450</t>
  </si>
  <si>
    <t>EC130850</t>
  </si>
  <si>
    <t>EC150454</t>
  </si>
  <si>
    <t>EC110161</t>
  </si>
  <si>
    <t>EC170256</t>
  </si>
  <si>
    <t>EC130250</t>
  </si>
  <si>
    <t>EC070750</t>
  </si>
  <si>
    <t>EC220150</t>
  </si>
  <si>
    <t>EC110250</t>
  </si>
  <si>
    <t>EC131850</t>
  </si>
  <si>
    <t>EC170150</t>
  </si>
  <si>
    <t>EC080168</t>
  </si>
  <si>
    <t>EC080150</t>
  </si>
  <si>
    <t>EC090150</t>
  </si>
  <si>
    <t>EC131453</t>
  </si>
  <si>
    <t>EC131450</t>
  </si>
  <si>
    <t>EC080650</t>
  </si>
  <si>
    <t>EC080356</t>
  </si>
  <si>
    <t>EC130950</t>
  </si>
  <si>
    <t>EC130550</t>
  </si>
  <si>
    <t>EC080350</t>
  </si>
  <si>
    <t>EC131250</t>
  </si>
  <si>
    <t>EC060260</t>
  </si>
  <si>
    <t>EC130150</t>
  </si>
  <si>
    <t>EC130151</t>
  </si>
  <si>
    <t>EC130156</t>
  </si>
  <si>
    <t>EC050154</t>
  </si>
  <si>
    <t>EC170950</t>
  </si>
  <si>
    <t>EC132050</t>
  </si>
  <si>
    <t>EC130352</t>
  </si>
  <si>
    <t>EC131752</t>
  </si>
  <si>
    <t>EC131550</t>
  </si>
  <si>
    <t>EC140950</t>
  </si>
  <si>
    <t>EC131457</t>
  </si>
  <si>
    <t>EC130750</t>
  </si>
  <si>
    <t>EC121150</t>
  </si>
  <si>
    <t>EC130355</t>
  </si>
  <si>
    <t>EC130350</t>
  </si>
  <si>
    <t>EC132250</t>
  </si>
  <si>
    <t>EC131750</t>
  </si>
  <si>
    <t>EC230150</t>
  </si>
  <si>
    <t>EC050159</t>
  </si>
  <si>
    <t>EC210252</t>
  </si>
  <si>
    <t>EC010152</t>
  </si>
  <si>
    <t>EC010161</t>
  </si>
  <si>
    <t>EC010168</t>
  </si>
  <si>
    <t>EC010171</t>
  </si>
  <si>
    <t>EC010252</t>
  </si>
  <si>
    <t>EC010353</t>
  </si>
  <si>
    <t>EC010453</t>
  </si>
  <si>
    <t>EC010552</t>
  </si>
  <si>
    <t>EC010650</t>
  </si>
  <si>
    <t>EC010652</t>
  </si>
  <si>
    <t>EC010853</t>
  </si>
  <si>
    <t>EC010854</t>
  </si>
  <si>
    <t>EC010952</t>
  </si>
  <si>
    <t>EC010955</t>
  </si>
  <si>
    <t>EC011153</t>
  </si>
  <si>
    <t>EC011351</t>
  </si>
  <si>
    <t>EC011550</t>
  </si>
  <si>
    <t>EC020155</t>
  </si>
  <si>
    <t>EC020156</t>
  </si>
  <si>
    <t>EC020157</t>
  </si>
  <si>
    <t>EC020160</t>
  </si>
  <si>
    <t>EC020250</t>
  </si>
  <si>
    <t>EC020251</t>
  </si>
  <si>
    <t>EC020353</t>
  </si>
  <si>
    <t>EC020355</t>
  </si>
  <si>
    <t>EC020450</t>
  </si>
  <si>
    <t>EC020551</t>
  </si>
  <si>
    <t>EC020552</t>
  </si>
  <si>
    <t>EC020553</t>
  </si>
  <si>
    <t>EC020554</t>
  </si>
  <si>
    <t>EC020555</t>
  </si>
  <si>
    <t>EC020556</t>
  </si>
  <si>
    <t>EC020650</t>
  </si>
  <si>
    <t>EC020750</t>
  </si>
  <si>
    <t>EC030156</t>
  </si>
  <si>
    <t>EC030157</t>
  </si>
  <si>
    <t>EC030160</t>
  </si>
  <si>
    <t>EC030254</t>
  </si>
  <si>
    <t>EC030353</t>
  </si>
  <si>
    <t>EC030356</t>
  </si>
  <si>
    <t>EC030357</t>
  </si>
  <si>
    <t>EC030358</t>
  </si>
  <si>
    <t>EC030361</t>
  </si>
  <si>
    <t>EC030363</t>
  </si>
  <si>
    <t>EC040154</t>
  </si>
  <si>
    <t>EC040155</t>
  </si>
  <si>
    <t>EC040156</t>
  </si>
  <si>
    <t>EC040157</t>
  </si>
  <si>
    <t>EC040159</t>
  </si>
  <si>
    <t>EC040161</t>
  </si>
  <si>
    <t>EC040251</t>
  </si>
  <si>
    <t>EC040253</t>
  </si>
  <si>
    <t>EC040255</t>
  </si>
  <si>
    <t>EC040351</t>
  </si>
  <si>
    <t>EC040352</t>
  </si>
  <si>
    <t>EC040452</t>
  </si>
  <si>
    <t>EC040551</t>
  </si>
  <si>
    <t>EC040553</t>
  </si>
  <si>
    <t>EC050251</t>
  </si>
  <si>
    <t>EC050252</t>
  </si>
  <si>
    <t>EC050350</t>
  </si>
  <si>
    <t>EC050351</t>
  </si>
  <si>
    <t>EC050352</t>
  </si>
  <si>
    <t>EC050451</t>
  </si>
  <si>
    <t>EC050456</t>
  </si>
  <si>
    <t>EC050457</t>
  </si>
  <si>
    <t>EC050753</t>
  </si>
  <si>
    <t>EC050754</t>
  </si>
  <si>
    <t>EC060157</t>
  </si>
  <si>
    <t>EC060254</t>
  </si>
  <si>
    <t>EC060255</t>
  </si>
  <si>
    <t>EC060256</t>
  </si>
  <si>
    <t>EC060351</t>
  </si>
  <si>
    <t>EC060353</t>
  </si>
  <si>
    <t>EC060553</t>
  </si>
  <si>
    <t>EC060651</t>
  </si>
  <si>
    <t>EC060751</t>
  </si>
  <si>
    <t>EC060752</t>
  </si>
  <si>
    <t>EC060759</t>
  </si>
  <si>
    <t>EC060950</t>
  </si>
  <si>
    <t>EC060951</t>
  </si>
  <si>
    <t>EC060953</t>
  </si>
  <si>
    <t>EC060954</t>
  </si>
  <si>
    <t>EC060956</t>
  </si>
  <si>
    <t>EC061050</t>
  </si>
  <si>
    <t>EC070251</t>
  </si>
  <si>
    <t>EC070255</t>
  </si>
  <si>
    <t>EC070355</t>
  </si>
  <si>
    <t>EC070451</t>
  </si>
  <si>
    <t>EC070550</t>
  </si>
  <si>
    <t>EC070651</t>
  </si>
  <si>
    <t>EC070652</t>
  </si>
  <si>
    <t>EC070653</t>
  </si>
  <si>
    <t>EC070654</t>
  </si>
  <si>
    <t>EC070951</t>
  </si>
  <si>
    <t>EC070952</t>
  </si>
  <si>
    <t>EC070953</t>
  </si>
  <si>
    <t>EC070955</t>
  </si>
  <si>
    <t>EC071053</t>
  </si>
  <si>
    <t>EC071056</t>
  </si>
  <si>
    <t>EC071151</t>
  </si>
  <si>
    <t>EC071153</t>
  </si>
  <si>
    <t>EC071252</t>
  </si>
  <si>
    <t>EC071257</t>
  </si>
  <si>
    <t>EC071354</t>
  </si>
  <si>
    <t>EC071359</t>
  </si>
  <si>
    <t>EC071451</t>
  </si>
  <si>
    <t>EC071452</t>
  </si>
  <si>
    <t>EC080152</t>
  </si>
  <si>
    <t>EC080154</t>
  </si>
  <si>
    <t>EC080159</t>
  </si>
  <si>
    <t>EC080163</t>
  </si>
  <si>
    <t>EC080165</t>
  </si>
  <si>
    <t>EC080252</t>
  </si>
  <si>
    <t>EC080254</t>
  </si>
  <si>
    <t>EC080257</t>
  </si>
  <si>
    <t>EC080259</t>
  </si>
  <si>
    <t>EC080261</t>
  </si>
  <si>
    <t>EC080263</t>
  </si>
  <si>
    <t>EC080265</t>
  </si>
  <si>
    <t>EC080351</t>
  </si>
  <si>
    <t>EC080352</t>
  </si>
  <si>
    <t>EC080353</t>
  </si>
  <si>
    <t>EC080354</t>
  </si>
  <si>
    <t>EC080355</t>
  </si>
  <si>
    <t>EC080357</t>
  </si>
  <si>
    <t>EC080358</t>
  </si>
  <si>
    <t>EC080451</t>
  </si>
  <si>
    <t>EC080454</t>
  </si>
  <si>
    <t>EC080455</t>
  </si>
  <si>
    <t>EC080552</t>
  </si>
  <si>
    <t>EC080557</t>
  </si>
  <si>
    <t>EC080561</t>
  </si>
  <si>
    <t>EC080651</t>
  </si>
  <si>
    <t>EC080652</t>
  </si>
  <si>
    <t>EC080653</t>
  </si>
  <si>
    <t>EC080654</t>
  </si>
  <si>
    <t>EC080750</t>
  </si>
  <si>
    <t>EC080751</t>
  </si>
  <si>
    <t>EC080753</t>
  </si>
  <si>
    <t>EC080754</t>
  </si>
  <si>
    <t>EC090152</t>
  </si>
  <si>
    <t>EC090153</t>
  </si>
  <si>
    <t>EC090158</t>
  </si>
  <si>
    <t>EC090250</t>
  </si>
  <si>
    <t>EC090652</t>
  </si>
  <si>
    <t>EC090654</t>
  </si>
  <si>
    <t>EC090851</t>
  </si>
  <si>
    <t>EC091053</t>
  </si>
  <si>
    <t>EC091054</t>
  </si>
  <si>
    <t>EC091151</t>
  </si>
  <si>
    <t>EC091952</t>
  </si>
  <si>
    <t>EC092053</t>
  </si>
  <si>
    <t>EC092250</t>
  </si>
  <si>
    <t>EC092251</t>
  </si>
  <si>
    <t>EC092350</t>
  </si>
  <si>
    <t>EC092750</t>
  </si>
  <si>
    <t>EC100152</t>
  </si>
  <si>
    <t>EC100153</t>
  </si>
  <si>
    <t>EC100155</t>
  </si>
  <si>
    <t>EC100351</t>
  </si>
  <si>
    <t>EC100354</t>
  </si>
  <si>
    <t>EC100355</t>
  </si>
  <si>
    <t>EC100357</t>
  </si>
  <si>
    <t>EC100453</t>
  </si>
  <si>
    <t>EC100456</t>
  </si>
  <si>
    <t>EC100457</t>
  </si>
  <si>
    <t>EC100458</t>
  </si>
  <si>
    <t>EC100459</t>
  </si>
  <si>
    <t>EC100552</t>
  </si>
  <si>
    <t>EC100553</t>
  </si>
  <si>
    <t>EC100651</t>
  </si>
  <si>
    <t>EC100652</t>
  </si>
  <si>
    <t>EC100653</t>
  </si>
  <si>
    <t>EC100654</t>
  </si>
  <si>
    <t>EC100655</t>
  </si>
  <si>
    <t>EC110151</t>
  </si>
  <si>
    <t>EC110152</t>
  </si>
  <si>
    <t>EC110158</t>
  </si>
  <si>
    <t>EC110159</t>
  </si>
  <si>
    <t>EC110160</t>
  </si>
  <si>
    <t>EC110162</t>
  </si>
  <si>
    <t>EC110163</t>
  </si>
  <si>
    <t>EC110251</t>
  </si>
  <si>
    <t>EC110252</t>
  </si>
  <si>
    <t>EC110254</t>
  </si>
  <si>
    <t>EC110351</t>
  </si>
  <si>
    <t>EC110353</t>
  </si>
  <si>
    <t>EC110354</t>
  </si>
  <si>
    <t>EC110451</t>
  </si>
  <si>
    <t>EC110455</t>
  </si>
  <si>
    <t>EC110456</t>
  </si>
  <si>
    <t>EC110457</t>
  </si>
  <si>
    <t>EC110550</t>
  </si>
  <si>
    <t>EC110650</t>
  </si>
  <si>
    <t>EC110651</t>
  </si>
  <si>
    <t>EC110652</t>
  </si>
  <si>
    <t>EC110653</t>
  </si>
  <si>
    <t>EC110654</t>
  </si>
  <si>
    <t>EC110655</t>
  </si>
  <si>
    <t>EC110751</t>
  </si>
  <si>
    <t>EC110754</t>
  </si>
  <si>
    <t>EC110756</t>
  </si>
  <si>
    <t>EC110851</t>
  </si>
  <si>
    <t>EC110852</t>
  </si>
  <si>
    <t>EC110853</t>
  </si>
  <si>
    <t>EC110950</t>
  </si>
  <si>
    <t>EC110952</t>
  </si>
  <si>
    <t>EC110954</t>
  </si>
  <si>
    <t>EC110957</t>
  </si>
  <si>
    <t>EC110958</t>
  </si>
  <si>
    <t>EC110959</t>
  </si>
  <si>
    <t>EC111051</t>
  </si>
  <si>
    <t>EC111052</t>
  </si>
  <si>
    <t>EC111053</t>
  </si>
  <si>
    <t>EC111054</t>
  </si>
  <si>
    <t>EC111055</t>
  </si>
  <si>
    <t>EC111158</t>
  </si>
  <si>
    <t>EC111159</t>
  </si>
  <si>
    <t>EC111250</t>
  </si>
  <si>
    <t>EC111351</t>
  </si>
  <si>
    <t>EC111352</t>
  </si>
  <si>
    <t>EC111353</t>
  </si>
  <si>
    <t>EC111354</t>
  </si>
  <si>
    <t>EC111452</t>
  </si>
  <si>
    <t>EC111453</t>
  </si>
  <si>
    <t>EC111550</t>
  </si>
  <si>
    <t>EC111552</t>
  </si>
  <si>
    <t>EC111650</t>
  </si>
  <si>
    <t>EC111651</t>
  </si>
  <si>
    <t>EC120152</t>
  </si>
  <si>
    <t>EC120153</t>
  </si>
  <si>
    <t>EC120155</t>
  </si>
  <si>
    <t>EC120251</t>
  </si>
  <si>
    <t>EC120252</t>
  </si>
  <si>
    <t>EC120350</t>
  </si>
  <si>
    <t>EC120650</t>
  </si>
  <si>
    <t>EC120651</t>
  </si>
  <si>
    <t>EC120750</t>
  </si>
  <si>
    <t>EC120752</t>
  </si>
  <si>
    <t>EC120753</t>
  </si>
  <si>
    <t>EC120950</t>
  </si>
  <si>
    <t>EC121350</t>
  </si>
  <si>
    <t>EC130152</t>
  </si>
  <si>
    <t>EC130154</t>
  </si>
  <si>
    <t>EC130155</t>
  </si>
  <si>
    <t>EC130157</t>
  </si>
  <si>
    <t>EC130251</t>
  </si>
  <si>
    <t>EC130351</t>
  </si>
  <si>
    <t>EC130353</t>
  </si>
  <si>
    <t>EC130354</t>
  </si>
  <si>
    <t>EC130356</t>
  </si>
  <si>
    <t>EC130357</t>
  </si>
  <si>
    <t>EC130451</t>
  </si>
  <si>
    <t>EC130452</t>
  </si>
  <si>
    <t>EC130453</t>
  </si>
  <si>
    <t>EC130551</t>
  </si>
  <si>
    <t>EC130552</t>
  </si>
  <si>
    <t>EC130651</t>
  </si>
  <si>
    <t>EC130652</t>
  </si>
  <si>
    <t>EC130653</t>
  </si>
  <si>
    <t>EC131151</t>
  </si>
  <si>
    <t>EC131152</t>
  </si>
  <si>
    <t>EC131351</t>
  </si>
  <si>
    <t>EC131353</t>
  </si>
  <si>
    <t>EC131355</t>
  </si>
  <si>
    <t>EC131551</t>
  </si>
  <si>
    <t>EC131552</t>
  </si>
  <si>
    <t>EC131651</t>
  </si>
  <si>
    <t>EC131751</t>
  </si>
  <si>
    <t>EC131753</t>
  </si>
  <si>
    <t>EC132251</t>
  </si>
  <si>
    <t>EC140151</t>
  </si>
  <si>
    <t>EC140153</t>
  </si>
  <si>
    <t>EC140156</t>
  </si>
  <si>
    <t>EC140157</t>
  </si>
  <si>
    <t>EC140158</t>
  </si>
  <si>
    <t>EC140160</t>
  </si>
  <si>
    <t>EC140162</t>
  </si>
  <si>
    <t>EC140164</t>
  </si>
  <si>
    <t>EC140251</t>
  </si>
  <si>
    <t>EC140253</t>
  </si>
  <si>
    <t>EC140255</t>
  </si>
  <si>
    <t>EC140256</t>
  </si>
  <si>
    <t>EC140257</t>
  </si>
  <si>
    <t>EC140351</t>
  </si>
  <si>
    <t>EC140357</t>
  </si>
  <si>
    <t>EC140358</t>
  </si>
  <si>
    <t>EC140455</t>
  </si>
  <si>
    <t>EC140551</t>
  </si>
  <si>
    <t>EC140553</t>
  </si>
  <si>
    <t>EC140554</t>
  </si>
  <si>
    <t>EC140556</t>
  </si>
  <si>
    <t>EC140557</t>
  </si>
  <si>
    <t>EC140651</t>
  </si>
  <si>
    <t>EC140652</t>
  </si>
  <si>
    <t>EC140655</t>
  </si>
  <si>
    <t>EC140751</t>
  </si>
  <si>
    <t>EC140951</t>
  </si>
  <si>
    <t>EC140952</t>
  </si>
  <si>
    <t>EC140953</t>
  </si>
  <si>
    <t>EC140954</t>
  </si>
  <si>
    <t>EC141050</t>
  </si>
  <si>
    <t>EC141052</t>
  </si>
  <si>
    <t>EC141250</t>
  </si>
  <si>
    <t>EC141251</t>
  </si>
  <si>
    <t>EC150151</t>
  </si>
  <si>
    <t>EC150153</t>
  </si>
  <si>
    <t>EC150154</t>
  </si>
  <si>
    <t>EC150157</t>
  </si>
  <si>
    <t>EC150158</t>
  </si>
  <si>
    <t>EC150352</t>
  </si>
  <si>
    <t>EC150356</t>
  </si>
  <si>
    <t>EC150453</t>
  </si>
  <si>
    <t>EC150455</t>
  </si>
  <si>
    <t>EC150751</t>
  </si>
  <si>
    <t>EC150753</t>
  </si>
  <si>
    <t>EC150756</t>
  </si>
  <si>
    <t>EC160152</t>
  </si>
  <si>
    <t>EC160154</t>
  </si>
  <si>
    <t>EC160155</t>
  </si>
  <si>
    <t>EC160157</t>
  </si>
  <si>
    <t>EC160158</t>
  </si>
  <si>
    <t>EC160161</t>
  </si>
  <si>
    <t>EC160162</t>
  </si>
  <si>
    <t>EC160164</t>
  </si>
  <si>
    <t>EC160165</t>
  </si>
  <si>
    <t>EC160166</t>
  </si>
  <si>
    <t>EC160251</t>
  </si>
  <si>
    <t>EC160451</t>
  </si>
  <si>
    <t>EC170153</t>
  </si>
  <si>
    <t>EC170161</t>
  </si>
  <si>
    <t>EC170166</t>
  </si>
  <si>
    <t>EC170168</t>
  </si>
  <si>
    <t>EC170169</t>
  </si>
  <si>
    <t>EC170172</t>
  </si>
  <si>
    <t>EC170174</t>
  </si>
  <si>
    <t>EC170181</t>
  </si>
  <si>
    <t>EC170251</t>
  </si>
  <si>
    <t>EC170253</t>
  </si>
  <si>
    <t>EC170354</t>
  </si>
  <si>
    <t>EC170355</t>
  </si>
  <si>
    <t>EC170454</t>
  </si>
  <si>
    <t>EC170552</t>
  </si>
  <si>
    <t>EC170750</t>
  </si>
  <si>
    <t>EC170751</t>
  </si>
  <si>
    <t>EC170850</t>
  </si>
  <si>
    <t>EC180164</t>
  </si>
  <si>
    <t>EC180251</t>
  </si>
  <si>
    <t>EC180252</t>
  </si>
  <si>
    <t>EC180253</t>
  </si>
  <si>
    <t>EC180254</t>
  </si>
  <si>
    <t>EC180552</t>
  </si>
  <si>
    <t>EC180553</t>
  </si>
  <si>
    <t>EC180651</t>
  </si>
  <si>
    <t>EC180752</t>
  </si>
  <si>
    <t>EC180753</t>
  </si>
  <si>
    <t>EC180757</t>
  </si>
  <si>
    <t>EC180851</t>
  </si>
  <si>
    <t>EC180852</t>
  </si>
  <si>
    <t>EC180856</t>
  </si>
  <si>
    <t>EC180857</t>
  </si>
  <si>
    <t>EC190151</t>
  </si>
  <si>
    <t>EC190152</t>
  </si>
  <si>
    <t>EC190155</t>
  </si>
  <si>
    <t>EC190156</t>
  </si>
  <si>
    <t>EC190158</t>
  </si>
  <si>
    <t>EC190251</t>
  </si>
  <si>
    <t>EC190252</t>
  </si>
  <si>
    <t>EC190254</t>
  </si>
  <si>
    <t>EC190256</t>
  </si>
  <si>
    <t>EC190259</t>
  </si>
  <si>
    <t>EC190451</t>
  </si>
  <si>
    <t>EC190452</t>
  </si>
  <si>
    <t>EC190651</t>
  </si>
  <si>
    <t>EC190653</t>
  </si>
  <si>
    <t>EC190750</t>
  </si>
  <si>
    <t>EC190850</t>
  </si>
  <si>
    <t>EC190851</t>
  </si>
  <si>
    <t>EC190852</t>
  </si>
  <si>
    <t>EC190853</t>
  </si>
  <si>
    <t>EC190950</t>
  </si>
  <si>
    <t>EC200150</t>
  </si>
  <si>
    <t>EC200151</t>
  </si>
  <si>
    <t>EC200152</t>
  </si>
  <si>
    <t>EC200250</t>
  </si>
  <si>
    <t>EC200251</t>
  </si>
  <si>
    <t>EC200350</t>
  </si>
  <si>
    <t>EC200351</t>
  </si>
  <si>
    <t>EC200352</t>
  </si>
  <si>
    <t>EC210152</t>
  </si>
  <si>
    <t>EC210155</t>
  </si>
  <si>
    <t>EC210156</t>
  </si>
  <si>
    <t>EC210157</t>
  </si>
  <si>
    <t>EC210254</t>
  </si>
  <si>
    <t>EC210351</t>
  </si>
  <si>
    <t>EC210352</t>
  </si>
  <si>
    <t>EC210354</t>
  </si>
  <si>
    <t>EC210451</t>
  </si>
  <si>
    <t>EC210452</t>
  </si>
  <si>
    <t>EC210453</t>
  </si>
  <si>
    <t>EC210650</t>
  </si>
  <si>
    <t>EC210652</t>
  </si>
  <si>
    <t>EC210653</t>
  </si>
  <si>
    <t>EC210751</t>
  </si>
  <si>
    <t>EC220151</t>
  </si>
  <si>
    <t>EC220152</t>
  </si>
  <si>
    <t>EC220153</t>
  </si>
  <si>
    <t>EC220154</t>
  </si>
  <si>
    <t>EC220155</t>
  </si>
  <si>
    <t>EC220156</t>
  </si>
  <si>
    <t>EC220157</t>
  </si>
  <si>
    <t>EC220159</t>
  </si>
  <si>
    <t>EC220160</t>
  </si>
  <si>
    <t>EC220161</t>
  </si>
  <si>
    <t>EC220251</t>
  </si>
  <si>
    <t>EC220252</t>
  </si>
  <si>
    <t>EC220253</t>
  </si>
  <si>
    <t>EC220352</t>
  </si>
  <si>
    <t>EC220353</t>
  </si>
  <si>
    <t>EC220354</t>
  </si>
  <si>
    <t>EC220357</t>
  </si>
  <si>
    <t>EC220452</t>
  </si>
  <si>
    <t>EC220453</t>
  </si>
  <si>
    <t>EC230151</t>
  </si>
  <si>
    <t>EC230153</t>
  </si>
  <si>
    <t>EC230154</t>
  </si>
  <si>
    <t>EC230155</t>
  </si>
  <si>
    <t>EC230156</t>
  </si>
  <si>
    <t>EC230157</t>
  </si>
  <si>
    <t>EC230251</t>
  </si>
  <si>
    <t>EC230252</t>
  </si>
  <si>
    <t>EC230253</t>
  </si>
  <si>
    <t>EC010153</t>
  </si>
  <si>
    <t>EC010352</t>
  </si>
  <si>
    <t>EC010354</t>
  </si>
  <si>
    <t>EC010561</t>
  </si>
  <si>
    <t>EC010852</t>
  </si>
  <si>
    <t>EC010953</t>
  </si>
  <si>
    <t>EC010954</t>
  </si>
  <si>
    <t>EC010956</t>
  </si>
  <si>
    <t>EC011151</t>
  </si>
  <si>
    <t>EC011154</t>
  </si>
  <si>
    <t>EC011250</t>
  </si>
  <si>
    <t>EC011253</t>
  </si>
  <si>
    <t>EC011350</t>
  </si>
  <si>
    <t>EC011352</t>
  </si>
  <si>
    <t>EC020151</t>
  </si>
  <si>
    <t>EC030351</t>
  </si>
  <si>
    <t>EC030362</t>
  </si>
  <si>
    <t>EC030452</t>
  </si>
  <si>
    <t>EC040552</t>
  </si>
  <si>
    <t>EC040554</t>
  </si>
  <si>
    <t>EC040555</t>
  </si>
  <si>
    <t>EC040651</t>
  </si>
  <si>
    <t>EC050353</t>
  </si>
  <si>
    <t>EC060257</t>
  </si>
  <si>
    <t>EC060258</t>
  </si>
  <si>
    <t>EC060259</t>
  </si>
  <si>
    <t>EC060551</t>
  </si>
  <si>
    <t>EC060552</t>
  </si>
  <si>
    <t>EC060554</t>
  </si>
  <si>
    <t>EC060753</t>
  </si>
  <si>
    <t>EC060757</t>
  </si>
  <si>
    <t>EC060758</t>
  </si>
  <si>
    <t>EC060952</t>
  </si>
  <si>
    <t>EC060955</t>
  </si>
  <si>
    <t>EC070256</t>
  </si>
  <si>
    <t>EC070350</t>
  </si>
  <si>
    <t>EC070351</t>
  </si>
  <si>
    <t>EC070352</t>
  </si>
  <si>
    <t>EC070353</t>
  </si>
  <si>
    <t>EC070354</t>
  </si>
  <si>
    <t>EC070851</t>
  </si>
  <si>
    <t>EC070954</t>
  </si>
  <si>
    <t>EC070956</t>
  </si>
  <si>
    <t>EC071051</t>
  </si>
  <si>
    <t>EC071052</t>
  </si>
  <si>
    <t>EC071054</t>
  </si>
  <si>
    <t>EC071055</t>
  </si>
  <si>
    <t>EC071152</t>
  </si>
  <si>
    <t>EC071253</t>
  </si>
  <si>
    <t>EC071254</t>
  </si>
  <si>
    <t>EC071255</t>
  </si>
  <si>
    <t>EC071256</t>
  </si>
  <si>
    <t>EC071351</t>
  </si>
  <si>
    <t>EC071353</t>
  </si>
  <si>
    <t>EC071358</t>
  </si>
  <si>
    <t>EC071453</t>
  </si>
  <si>
    <t>EC080153</t>
  </si>
  <si>
    <t>EC080250</t>
  </si>
  <si>
    <t>EC080251</t>
  </si>
  <si>
    <t>EC080255</t>
  </si>
  <si>
    <t>EC080258</t>
  </si>
  <si>
    <t>EC080260</t>
  </si>
  <si>
    <t>EC080262</t>
  </si>
  <si>
    <t>EC080264</t>
  </si>
  <si>
    <t>EC080452</t>
  </si>
  <si>
    <t>EC080453</t>
  </si>
  <si>
    <t>EC080551</t>
  </si>
  <si>
    <t>EC080553</t>
  </si>
  <si>
    <t>EC080554</t>
  </si>
  <si>
    <t>EC080555</t>
  </si>
  <si>
    <t>EC080558</t>
  </si>
  <si>
    <t>EC080559</t>
  </si>
  <si>
    <t>EC080560</t>
  </si>
  <si>
    <t>EC080562</t>
  </si>
  <si>
    <t>EC080752</t>
  </si>
  <si>
    <t>EC090551</t>
  </si>
  <si>
    <t>EC091153</t>
  </si>
  <si>
    <t>EC091451</t>
  </si>
  <si>
    <t>EC092055</t>
  </si>
  <si>
    <t>EC100358</t>
  </si>
  <si>
    <t>EC100454</t>
  </si>
  <si>
    <t>EC100551</t>
  </si>
  <si>
    <t>EC110154</t>
  </si>
  <si>
    <t>EC110155</t>
  </si>
  <si>
    <t>EC110253</t>
  </si>
  <si>
    <t>EC110352</t>
  </si>
  <si>
    <t>EC110551</t>
  </si>
  <si>
    <t>EC110552</t>
  </si>
  <si>
    <t>EC110553</t>
  </si>
  <si>
    <t>EC110554</t>
  </si>
  <si>
    <t>EC110656</t>
  </si>
  <si>
    <t>EC110753</t>
  </si>
  <si>
    <t>EC110951</t>
  </si>
  <si>
    <t>EC110956</t>
  </si>
  <si>
    <t>EC111156</t>
  </si>
  <si>
    <t>EC111251</t>
  </si>
  <si>
    <t>EC111252</t>
  </si>
  <si>
    <t>EC111355</t>
  </si>
  <si>
    <t>EC111356</t>
  </si>
  <si>
    <t>EC111451</t>
  </si>
  <si>
    <t>EC111551</t>
  </si>
  <si>
    <t>EC120351</t>
  </si>
  <si>
    <t>EC120451</t>
  </si>
  <si>
    <t>EC120754</t>
  </si>
  <si>
    <t>EC130654</t>
  </si>
  <si>
    <t>EC131051</t>
  </si>
  <si>
    <t>EC131052</t>
  </si>
  <si>
    <t>EC131653</t>
  </si>
  <si>
    <t>EC140252</t>
  </si>
  <si>
    <t>EC140254</t>
  </si>
  <si>
    <t>EC140258</t>
  </si>
  <si>
    <t>EC140353</t>
  </si>
  <si>
    <t>EC140356</t>
  </si>
  <si>
    <t>EC140851</t>
  </si>
  <si>
    <t>EC140852</t>
  </si>
  <si>
    <t>EC140853</t>
  </si>
  <si>
    <t>EC140854</t>
  </si>
  <si>
    <t>EC141051</t>
  </si>
  <si>
    <t>EC150354</t>
  </si>
  <si>
    <t>EC150752</t>
  </si>
  <si>
    <t>EC160159</t>
  </si>
  <si>
    <t>EC160351</t>
  </si>
  <si>
    <t>EC170158</t>
  </si>
  <si>
    <t>EC180551</t>
  </si>
  <si>
    <t>EC190153</t>
  </si>
  <si>
    <t>EC190350</t>
  </si>
  <si>
    <t>EC190351</t>
  </si>
  <si>
    <t>EC190352</t>
  </si>
  <si>
    <t>EC190353</t>
  </si>
  <si>
    <t>EC190752</t>
  </si>
  <si>
    <t>EC190753</t>
  </si>
  <si>
    <t>EC190854</t>
  </si>
  <si>
    <t>EC190951</t>
  </si>
  <si>
    <t>EC190952</t>
  </si>
  <si>
    <t>EC210160</t>
  </si>
  <si>
    <t>EC210353</t>
  </si>
  <si>
    <t>EC210455</t>
  </si>
  <si>
    <t>EC210552</t>
  </si>
  <si>
    <t>EC210553</t>
  </si>
  <si>
    <t>EC210651</t>
  </si>
  <si>
    <t>EC220158</t>
  </si>
  <si>
    <t>EC220351</t>
  </si>
  <si>
    <t>EC220355</t>
  </si>
  <si>
    <t>EC220356</t>
  </si>
  <si>
    <t>EC220358</t>
  </si>
  <si>
    <t>EC220455</t>
  </si>
  <si>
    <t>EC010951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</si>
</sst>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  <numFmt numFmtId="166" formatCode="_ * #,##0.0000000_ ;_ * \-#,##0.00000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0" fontId="0" fillId="2" borderId="0" xfId="0" applyFill="1"/>
    <xf numFmtId="43" fontId="0" fillId="2" borderId="0" xfId="1" applyFont="1" applyFill="1"/>
    <xf numFmtId="0" fontId="1" fillId="0" borderId="2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164" fontId="1" fillId="0" borderId="2" xfId="1" applyNumberFormat="1" applyFont="1" applyFill="1" applyBorder="1" applyAlignment="1">
      <alignment horizontal="center" vertical="top"/>
    </xf>
    <xf numFmtId="164" fontId="0" fillId="0" borderId="3" xfId="1" applyNumberFormat="1" applyFont="1" applyBorder="1"/>
    <xf numFmtId="165" fontId="0" fillId="0" borderId="0" xfId="1" applyNumberFormat="1" applyFont="1"/>
    <xf numFmtId="13" fontId="0" fillId="0" borderId="0" xfId="1" applyNumberFormat="1" applyFont="1"/>
    <xf numFmtId="43" fontId="0" fillId="0" borderId="0" xfId="0" applyNumberFormat="1"/>
    <xf numFmtId="9" fontId="0" fillId="0" borderId="0" xfId="0" applyNumberFormat="1"/>
    <xf numFmtId="166" fontId="0" fillId="0" borderId="0" xfId="1" applyNumberFormat="1" applyFont="1"/>
    <xf numFmtId="166" fontId="0" fillId="2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2"/>
  <sheetViews>
    <sheetView workbookViewId="0">
      <selection activeCell="B1" sqref="B1"/>
    </sheetView>
  </sheetViews>
  <sheetFormatPr baseColWidth="10" defaultColWidth="8.88671875" defaultRowHeight="14.4" x14ac:dyDescent="0.3"/>
  <cols>
    <col min="15" max="15" width="37.66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3">
      <c r="A2" t="s">
        <v>1022</v>
      </c>
      <c r="B2">
        <v>2022</v>
      </c>
      <c r="C2">
        <v>2.0487371575013049</v>
      </c>
      <c r="D2">
        <v>1068971.65379902</v>
      </c>
      <c r="E2">
        <v>0</v>
      </c>
      <c r="F2">
        <v>209</v>
      </c>
      <c r="G2">
        <v>5.2921488513529998E-4</v>
      </c>
      <c r="H2">
        <v>11</v>
      </c>
      <c r="I2">
        <v>3</v>
      </c>
      <c r="J2">
        <v>0.48308519677226092</v>
      </c>
      <c r="K2">
        <v>-0.39239242636155941</v>
      </c>
      <c r="L2">
        <v>93456152.008499518</v>
      </c>
      <c r="M2" t="s">
        <v>20</v>
      </c>
      <c r="N2" t="s">
        <v>21</v>
      </c>
      <c r="O2" t="s">
        <v>26</v>
      </c>
      <c r="P2">
        <v>5738</v>
      </c>
      <c r="Q2">
        <v>3910</v>
      </c>
      <c r="R2">
        <v>1828</v>
      </c>
    </row>
    <row r="3" spans="1:18" x14ac:dyDescent="0.3">
      <c r="A3" t="s">
        <v>1023</v>
      </c>
      <c r="B3">
        <v>2022</v>
      </c>
      <c r="C3">
        <v>2.7717019602038788</v>
      </c>
      <c r="D3">
        <v>340400.48651960777</v>
      </c>
      <c r="E3">
        <v>0</v>
      </c>
      <c r="F3">
        <v>35</v>
      </c>
      <c r="G3">
        <v>1.9646139485672998E-3</v>
      </c>
      <c r="H3">
        <v>1</v>
      </c>
      <c r="I3">
        <v>0</v>
      </c>
      <c r="J3">
        <v>0.45733747131216451</v>
      </c>
      <c r="K3">
        <v>-0.35175914432368088</v>
      </c>
      <c r="L3">
        <v>11936682.84136726</v>
      </c>
      <c r="M3" t="s">
        <v>20</v>
      </c>
      <c r="N3" t="s">
        <v>46</v>
      </c>
      <c r="O3" t="s">
        <v>54</v>
      </c>
      <c r="P3">
        <v>732</v>
      </c>
      <c r="Q3">
        <v>349</v>
      </c>
      <c r="R3">
        <v>383</v>
      </c>
    </row>
    <row r="4" spans="1:18" x14ac:dyDescent="0.3">
      <c r="A4" t="s">
        <v>1024</v>
      </c>
      <c r="B4">
        <v>2022</v>
      </c>
      <c r="C4">
        <v>0.99927569030108443</v>
      </c>
      <c r="D4">
        <v>2974884.109375</v>
      </c>
      <c r="E4">
        <v>0</v>
      </c>
      <c r="F4">
        <v>154</v>
      </c>
      <c r="G4">
        <v>3.4346092209830003E-4</v>
      </c>
      <c r="H4">
        <v>4</v>
      </c>
      <c r="I4">
        <v>0</v>
      </c>
      <c r="J4">
        <v>0.43228437280102749</v>
      </c>
      <c r="K4">
        <v>-0.36605141040780947</v>
      </c>
      <c r="L4">
        <v>110450574.8851817</v>
      </c>
      <c r="M4" t="s">
        <v>20</v>
      </c>
      <c r="N4" t="s">
        <v>55</v>
      </c>
      <c r="O4" t="s">
        <v>56</v>
      </c>
      <c r="P4">
        <v>2981</v>
      </c>
      <c r="Q4">
        <v>820</v>
      </c>
      <c r="R4">
        <v>2161</v>
      </c>
    </row>
    <row r="5" spans="1:18" x14ac:dyDescent="0.3">
      <c r="A5" t="s">
        <v>1025</v>
      </c>
      <c r="B5">
        <v>2022</v>
      </c>
      <c r="C5">
        <v>1.47631856185423</v>
      </c>
      <c r="D5">
        <v>248062.21875</v>
      </c>
      <c r="E5">
        <v>0</v>
      </c>
      <c r="F5">
        <v>67</v>
      </c>
      <c r="G5">
        <v>8.8723227563290003E-4</v>
      </c>
      <c r="H5">
        <v>2</v>
      </c>
      <c r="I5">
        <v>2</v>
      </c>
      <c r="J5">
        <v>0.52594133828121625</v>
      </c>
      <c r="K5">
        <v>-0.29290037116622158</v>
      </c>
      <c r="L5">
        <v>36106582.500434749</v>
      </c>
      <c r="M5" t="s">
        <v>20</v>
      </c>
      <c r="N5" t="s">
        <v>59</v>
      </c>
      <c r="O5" t="s">
        <v>63</v>
      </c>
      <c r="P5">
        <v>701</v>
      </c>
      <c r="Q5">
        <v>389</v>
      </c>
      <c r="R5">
        <v>312</v>
      </c>
    </row>
    <row r="6" spans="1:18" x14ac:dyDescent="0.3">
      <c r="A6" t="s">
        <v>1026</v>
      </c>
      <c r="B6">
        <v>2022</v>
      </c>
      <c r="C6">
        <v>2.9995815559962939</v>
      </c>
      <c r="D6">
        <v>441559.67769607838</v>
      </c>
      <c r="E6">
        <v>0</v>
      </c>
      <c r="F6">
        <v>41</v>
      </c>
      <c r="G6">
        <v>1.5407814214383E-3</v>
      </c>
      <c r="H6">
        <v>2</v>
      </c>
      <c r="I6">
        <v>0</v>
      </c>
      <c r="J6">
        <v>0.50976929678902072</v>
      </c>
      <c r="K6">
        <v>-0.30309819400580768</v>
      </c>
      <c r="L6">
        <v>13675593.638266331</v>
      </c>
      <c r="M6" t="s">
        <v>20</v>
      </c>
      <c r="N6" t="s">
        <v>85</v>
      </c>
      <c r="O6" t="s">
        <v>87</v>
      </c>
      <c r="P6">
        <v>1875</v>
      </c>
      <c r="Q6">
        <v>928</v>
      </c>
      <c r="R6">
        <v>947</v>
      </c>
    </row>
    <row r="7" spans="1:18" x14ac:dyDescent="0.3">
      <c r="A7" t="s">
        <v>1027</v>
      </c>
      <c r="B7">
        <v>2022</v>
      </c>
      <c r="C7">
        <v>2.0981595687049621</v>
      </c>
      <c r="D7">
        <v>170253.07138480389</v>
      </c>
      <c r="E7">
        <v>0</v>
      </c>
      <c r="F7">
        <v>151</v>
      </c>
      <c r="G7">
        <v>5.7108472713640005E-4</v>
      </c>
      <c r="H7">
        <v>12</v>
      </c>
      <c r="I7">
        <v>0</v>
      </c>
      <c r="J7">
        <v>0.54158967051684748</v>
      </c>
      <c r="K7">
        <v>-0.43244160554530409</v>
      </c>
      <c r="L7">
        <v>34332959.712454639</v>
      </c>
      <c r="M7" t="s">
        <v>124</v>
      </c>
      <c r="N7" t="s">
        <v>124</v>
      </c>
      <c r="O7" t="s">
        <v>139</v>
      </c>
      <c r="P7">
        <v>2726</v>
      </c>
      <c r="Q7">
        <v>1620</v>
      </c>
      <c r="R7">
        <v>1106</v>
      </c>
    </row>
    <row r="8" spans="1:18" x14ac:dyDescent="0.3">
      <c r="A8" t="s">
        <v>1028</v>
      </c>
      <c r="B8">
        <v>2022</v>
      </c>
      <c r="C8">
        <v>3.7825555895213938</v>
      </c>
      <c r="D8">
        <v>761773.25508578424</v>
      </c>
      <c r="E8">
        <v>0</v>
      </c>
      <c r="F8">
        <v>404</v>
      </c>
      <c r="G8">
        <v>2.4636244077400001E-4</v>
      </c>
      <c r="H8">
        <v>17</v>
      </c>
      <c r="I8">
        <v>0</v>
      </c>
      <c r="J8">
        <v>0.57938720967223034</v>
      </c>
      <c r="K8">
        <v>-0.4059570607343706</v>
      </c>
      <c r="L8">
        <v>77040096.41074051</v>
      </c>
      <c r="M8" t="s">
        <v>124</v>
      </c>
      <c r="N8" t="s">
        <v>124</v>
      </c>
      <c r="O8" t="s">
        <v>142</v>
      </c>
      <c r="P8">
        <v>5906</v>
      </c>
      <c r="Q8">
        <v>3566</v>
      </c>
      <c r="R8">
        <v>2340</v>
      </c>
    </row>
    <row r="9" spans="1:18" x14ac:dyDescent="0.3">
      <c r="A9" t="s">
        <v>1029</v>
      </c>
      <c r="B9">
        <v>2022</v>
      </c>
      <c r="C9">
        <v>3.0952295780760859</v>
      </c>
      <c r="D9">
        <v>744321.21875</v>
      </c>
      <c r="E9">
        <v>0</v>
      </c>
      <c r="F9">
        <v>115</v>
      </c>
      <c r="G9">
        <v>6.4651340048730004E-4</v>
      </c>
      <c r="H9">
        <v>4</v>
      </c>
      <c r="I9">
        <v>2</v>
      </c>
      <c r="J9">
        <v>0.50558813843281647</v>
      </c>
      <c r="K9">
        <v>-0.33792500534550118</v>
      </c>
      <c r="L9">
        <v>53309444.550349377</v>
      </c>
      <c r="M9" t="s">
        <v>124</v>
      </c>
      <c r="N9" t="s">
        <v>155</v>
      </c>
      <c r="O9" t="s">
        <v>155</v>
      </c>
      <c r="P9">
        <v>4622</v>
      </c>
      <c r="Q9">
        <v>1780</v>
      </c>
      <c r="R9">
        <v>2842</v>
      </c>
    </row>
    <row r="10" spans="1:18" x14ac:dyDescent="0.3">
      <c r="A10" t="s">
        <v>1030</v>
      </c>
      <c r="B10">
        <v>2022</v>
      </c>
      <c r="C10">
        <v>6.4827788243447033</v>
      </c>
      <c r="D10">
        <v>124628.5568627451</v>
      </c>
      <c r="E10">
        <v>0</v>
      </c>
      <c r="F10">
        <v>72</v>
      </c>
      <c r="G10">
        <v>3.5530990919857E-3</v>
      </c>
      <c r="H10">
        <v>6</v>
      </c>
      <c r="I10">
        <v>1</v>
      </c>
      <c r="J10">
        <v>0.38756496645947408</v>
      </c>
      <c r="K10">
        <v>-0.32411431769856142</v>
      </c>
      <c r="L10">
        <v>7213677.0436995039</v>
      </c>
      <c r="M10" t="s">
        <v>191</v>
      </c>
      <c r="N10" t="s">
        <v>218</v>
      </c>
      <c r="O10" t="s">
        <v>219</v>
      </c>
      <c r="P10">
        <v>3431</v>
      </c>
      <c r="Q10">
        <v>2371</v>
      </c>
      <c r="R10">
        <v>1060</v>
      </c>
    </row>
    <row r="11" spans="1:18" x14ac:dyDescent="0.3">
      <c r="A11" t="s">
        <v>1031</v>
      </c>
      <c r="B11">
        <v>2022</v>
      </c>
      <c r="C11">
        <v>1.2765889519495659</v>
      </c>
      <c r="D11">
        <v>611504.37757352937</v>
      </c>
      <c r="E11">
        <v>0</v>
      </c>
      <c r="F11">
        <v>104</v>
      </c>
      <c r="G11">
        <v>4.8472329106479998E-4</v>
      </c>
      <c r="H11">
        <v>5</v>
      </c>
      <c r="I11">
        <v>12</v>
      </c>
      <c r="L11">
        <v>62035572.676110998</v>
      </c>
      <c r="M11" t="s">
        <v>191</v>
      </c>
      <c r="N11" t="s">
        <v>224</v>
      </c>
      <c r="O11" t="s">
        <v>226</v>
      </c>
      <c r="P11">
        <v>2554</v>
      </c>
      <c r="Q11">
        <v>53</v>
      </c>
      <c r="R11">
        <v>2501</v>
      </c>
    </row>
    <row r="12" spans="1:18" x14ac:dyDescent="0.3">
      <c r="A12" t="s">
        <v>1032</v>
      </c>
      <c r="B12">
        <v>2022</v>
      </c>
      <c r="C12">
        <v>2.170196989163879</v>
      </c>
      <c r="D12">
        <v>399453.06011029409</v>
      </c>
      <c r="E12">
        <v>0</v>
      </c>
      <c r="F12">
        <v>44</v>
      </c>
      <c r="G12">
        <v>3.3952865433867999E-3</v>
      </c>
      <c r="H12">
        <v>11</v>
      </c>
      <c r="I12">
        <v>0</v>
      </c>
      <c r="J12">
        <v>0.56307554334602516</v>
      </c>
      <c r="K12">
        <v>-0.304426849272668</v>
      </c>
      <c r="L12">
        <v>14315432.111426011</v>
      </c>
      <c r="M12" t="s">
        <v>287</v>
      </c>
      <c r="N12" t="s">
        <v>336</v>
      </c>
      <c r="O12" t="s">
        <v>338</v>
      </c>
      <c r="P12">
        <v>970</v>
      </c>
      <c r="Q12">
        <v>639</v>
      </c>
      <c r="R12">
        <v>331</v>
      </c>
    </row>
    <row r="13" spans="1:18" x14ac:dyDescent="0.3">
      <c r="A13" t="s">
        <v>1033</v>
      </c>
      <c r="B13">
        <v>2022</v>
      </c>
      <c r="C13">
        <v>3.6028565613883421</v>
      </c>
      <c r="D13">
        <v>732824.97616421571</v>
      </c>
      <c r="E13">
        <v>0</v>
      </c>
      <c r="F13">
        <v>45</v>
      </c>
      <c r="G13">
        <v>2.1951052920408001E-3</v>
      </c>
      <c r="H13">
        <v>3</v>
      </c>
      <c r="I13">
        <v>0</v>
      </c>
      <c r="J13">
        <v>0.5449711749705175</v>
      </c>
      <c r="K13">
        <v>-0.3438066571301559</v>
      </c>
      <c r="L13">
        <v>7390906.0837158328</v>
      </c>
      <c r="M13" t="s">
        <v>287</v>
      </c>
      <c r="N13" t="s">
        <v>336</v>
      </c>
      <c r="O13" t="s">
        <v>343</v>
      </c>
      <c r="P13">
        <v>817</v>
      </c>
      <c r="Q13">
        <v>573</v>
      </c>
      <c r="R13">
        <v>244</v>
      </c>
    </row>
    <row r="14" spans="1:18" x14ac:dyDescent="0.3">
      <c r="A14" t="s">
        <v>1034</v>
      </c>
      <c r="B14">
        <v>2022</v>
      </c>
      <c r="C14">
        <v>0.9409002812307804</v>
      </c>
      <c r="D14">
        <v>1717543.2869485291</v>
      </c>
      <c r="E14">
        <v>0</v>
      </c>
      <c r="F14">
        <v>46</v>
      </c>
      <c r="G14">
        <v>4.6678855601973001E-3</v>
      </c>
      <c r="H14">
        <v>4</v>
      </c>
      <c r="I14">
        <v>1</v>
      </c>
      <c r="J14">
        <v>0.46864730714468389</v>
      </c>
      <c r="K14">
        <v>-0.20728494699003469</v>
      </c>
      <c r="L14">
        <v>58211038.117318243</v>
      </c>
      <c r="M14" t="s">
        <v>348</v>
      </c>
      <c r="N14" t="s">
        <v>357</v>
      </c>
      <c r="O14" t="s">
        <v>160</v>
      </c>
      <c r="P14">
        <v>2097</v>
      </c>
      <c r="Q14">
        <v>177</v>
      </c>
      <c r="R14">
        <v>1920</v>
      </c>
    </row>
    <row r="15" spans="1:18" x14ac:dyDescent="0.3">
      <c r="A15" t="s">
        <v>1035</v>
      </c>
      <c r="B15">
        <v>2022</v>
      </c>
      <c r="C15">
        <v>3.370400715384319</v>
      </c>
      <c r="D15">
        <v>1388995.8060661759</v>
      </c>
      <c r="E15">
        <v>0</v>
      </c>
      <c r="F15">
        <v>131</v>
      </c>
      <c r="G15">
        <v>9.2788167291450003E-4</v>
      </c>
      <c r="H15">
        <v>12</v>
      </c>
      <c r="I15">
        <v>0</v>
      </c>
      <c r="J15">
        <v>0.23433670795804279</v>
      </c>
      <c r="K15">
        <v>-0.15568575267295209</v>
      </c>
      <c r="L15">
        <v>37233690.252249159</v>
      </c>
      <c r="M15" t="s">
        <v>406</v>
      </c>
      <c r="N15" t="s">
        <v>373</v>
      </c>
      <c r="O15" t="s">
        <v>419</v>
      </c>
      <c r="P15">
        <v>10540</v>
      </c>
      <c r="Q15">
        <v>1856</v>
      </c>
      <c r="R15">
        <v>8684</v>
      </c>
    </row>
    <row r="16" spans="1:18" x14ac:dyDescent="0.3">
      <c r="A16" t="s">
        <v>1036</v>
      </c>
      <c r="B16">
        <v>2022</v>
      </c>
      <c r="C16">
        <v>1.226451912198667</v>
      </c>
      <c r="D16">
        <v>1264369.1922794119</v>
      </c>
      <c r="E16">
        <v>0</v>
      </c>
      <c r="F16">
        <v>200</v>
      </c>
      <c r="G16">
        <v>5.3081169674259999E-4</v>
      </c>
      <c r="H16">
        <v>8</v>
      </c>
      <c r="I16">
        <v>1</v>
      </c>
      <c r="J16">
        <v>0.29938549685611199</v>
      </c>
      <c r="K16">
        <v>-0.26964916816533852</v>
      </c>
      <c r="L16">
        <v>320380202.24626201</v>
      </c>
      <c r="M16" t="s">
        <v>406</v>
      </c>
      <c r="N16" t="s">
        <v>436</v>
      </c>
      <c r="O16" t="s">
        <v>438</v>
      </c>
      <c r="P16">
        <v>8012</v>
      </c>
      <c r="Q16">
        <v>1460</v>
      </c>
      <c r="R16">
        <v>6552</v>
      </c>
    </row>
    <row r="17" spans="1:18" x14ac:dyDescent="0.3">
      <c r="A17" t="s">
        <v>1037</v>
      </c>
      <c r="B17">
        <v>2022</v>
      </c>
      <c r="C17">
        <v>2.0674200095377291</v>
      </c>
      <c r="D17">
        <v>100256.8814338235</v>
      </c>
      <c r="E17">
        <v>0</v>
      </c>
      <c r="F17">
        <v>205</v>
      </c>
      <c r="G17">
        <v>7.4051011271529998E-4</v>
      </c>
      <c r="H17">
        <v>11</v>
      </c>
      <c r="I17">
        <v>2</v>
      </c>
      <c r="J17">
        <v>0.25630708753398829</v>
      </c>
      <c r="K17">
        <v>-0.19717419516672549</v>
      </c>
      <c r="L17">
        <v>94404874.497788161</v>
      </c>
      <c r="M17" t="s">
        <v>406</v>
      </c>
      <c r="N17" t="s">
        <v>442</v>
      </c>
      <c r="O17" t="s">
        <v>445</v>
      </c>
      <c r="P17">
        <v>12678</v>
      </c>
      <c r="Q17">
        <v>366</v>
      </c>
      <c r="R17">
        <v>12312</v>
      </c>
    </row>
    <row r="18" spans="1:18" x14ac:dyDescent="0.3">
      <c r="A18" t="s">
        <v>1038</v>
      </c>
      <c r="B18">
        <v>2022</v>
      </c>
      <c r="C18">
        <v>6.3882285545357904</v>
      </c>
      <c r="D18">
        <v>2484191.3613357842</v>
      </c>
      <c r="E18">
        <v>0</v>
      </c>
      <c r="F18">
        <v>80</v>
      </c>
      <c r="G18">
        <v>3.5018760050026E-3</v>
      </c>
      <c r="H18">
        <v>10</v>
      </c>
      <c r="I18">
        <v>0</v>
      </c>
      <c r="J18">
        <v>0.41646581913067909</v>
      </c>
      <c r="K18">
        <v>-0.3268782222411083</v>
      </c>
      <c r="L18">
        <v>17026385.911856789</v>
      </c>
      <c r="M18" t="s">
        <v>460</v>
      </c>
      <c r="N18" t="s">
        <v>468</v>
      </c>
      <c r="O18" t="s">
        <v>472</v>
      </c>
      <c r="P18">
        <v>3836</v>
      </c>
      <c r="Q18">
        <v>2599</v>
      </c>
      <c r="R18">
        <v>1237</v>
      </c>
    </row>
    <row r="19" spans="1:18" x14ac:dyDescent="0.3">
      <c r="A19" t="s">
        <v>1039</v>
      </c>
      <c r="B19">
        <v>2022</v>
      </c>
      <c r="C19">
        <v>0.70410655677484657</v>
      </c>
      <c r="D19">
        <v>1471732.523590686</v>
      </c>
      <c r="E19">
        <v>0</v>
      </c>
      <c r="F19">
        <v>60</v>
      </c>
      <c r="G19">
        <v>5.0491209503149997E-4</v>
      </c>
      <c r="H19">
        <v>1</v>
      </c>
      <c r="I19">
        <v>0</v>
      </c>
      <c r="J19">
        <v>0.46850337932889941</v>
      </c>
      <c r="K19">
        <v>-0.3874459557568431</v>
      </c>
      <c r="L19">
        <v>73293120.613171548</v>
      </c>
      <c r="M19" t="s">
        <v>499</v>
      </c>
      <c r="N19" t="s">
        <v>557</v>
      </c>
      <c r="O19" t="s">
        <v>560</v>
      </c>
      <c r="P19">
        <v>1558</v>
      </c>
      <c r="Q19">
        <v>356</v>
      </c>
      <c r="R19">
        <v>1202</v>
      </c>
    </row>
    <row r="20" spans="1:18" x14ac:dyDescent="0.3">
      <c r="A20" t="s">
        <v>1040</v>
      </c>
      <c r="B20">
        <v>2022</v>
      </c>
      <c r="C20">
        <v>0.84035236093386645</v>
      </c>
      <c r="D20">
        <v>6525409.3768382352</v>
      </c>
      <c r="E20">
        <v>0</v>
      </c>
      <c r="F20">
        <v>68</v>
      </c>
      <c r="G20">
        <v>5.145253038349E-4</v>
      </c>
      <c r="H20">
        <v>2</v>
      </c>
      <c r="I20">
        <v>0</v>
      </c>
      <c r="J20">
        <v>0.34806785635729298</v>
      </c>
      <c r="K20">
        <v>-0.40810466731320932</v>
      </c>
      <c r="L20">
        <v>114758132.8678834</v>
      </c>
      <c r="M20" t="s">
        <v>499</v>
      </c>
      <c r="N20" t="s">
        <v>557</v>
      </c>
      <c r="O20" t="s">
        <v>564</v>
      </c>
      <c r="P20">
        <v>958</v>
      </c>
      <c r="Q20">
        <v>356</v>
      </c>
      <c r="R20">
        <v>602</v>
      </c>
    </row>
    <row r="21" spans="1:18" x14ac:dyDescent="0.3">
      <c r="A21" t="s">
        <v>1041</v>
      </c>
      <c r="B21">
        <v>2022</v>
      </c>
      <c r="C21">
        <v>1.234523718028552</v>
      </c>
      <c r="D21">
        <v>12188510.809987741</v>
      </c>
      <c r="E21">
        <v>0</v>
      </c>
      <c r="F21">
        <v>100</v>
      </c>
      <c r="G21">
        <v>4.8327533190129998E-4</v>
      </c>
      <c r="H21">
        <v>4</v>
      </c>
      <c r="I21">
        <v>0</v>
      </c>
      <c r="J21">
        <v>0.3057205051080602</v>
      </c>
      <c r="K21">
        <v>-0.392759556227395</v>
      </c>
      <c r="L21">
        <v>91485168.869280741</v>
      </c>
      <c r="M21" t="s">
        <v>499</v>
      </c>
      <c r="N21" t="s">
        <v>557</v>
      </c>
      <c r="O21" t="s">
        <v>566</v>
      </c>
      <c r="P21">
        <v>1513</v>
      </c>
      <c r="Q21">
        <v>820</v>
      </c>
      <c r="R21">
        <v>693</v>
      </c>
    </row>
    <row r="22" spans="1:18" x14ac:dyDescent="0.3">
      <c r="A22" t="s">
        <v>1042</v>
      </c>
      <c r="B22">
        <v>2022</v>
      </c>
      <c r="C22">
        <v>2.4498462035251301</v>
      </c>
      <c r="D22">
        <v>2482378.140625</v>
      </c>
      <c r="E22">
        <v>0</v>
      </c>
      <c r="F22">
        <v>241</v>
      </c>
      <c r="G22">
        <v>3.9812187444979998E-4</v>
      </c>
      <c r="H22">
        <v>4</v>
      </c>
      <c r="I22">
        <v>1</v>
      </c>
      <c r="J22">
        <v>0.43583428935823221</v>
      </c>
      <c r="K22">
        <v>-0.28186867963345069</v>
      </c>
      <c r="L22">
        <v>142232999.5396027</v>
      </c>
      <c r="M22" t="s">
        <v>612</v>
      </c>
      <c r="N22" t="s">
        <v>647</v>
      </c>
      <c r="O22" t="s">
        <v>647</v>
      </c>
      <c r="P22">
        <v>14312</v>
      </c>
      <c r="Q22">
        <v>3802</v>
      </c>
      <c r="R22">
        <v>10510</v>
      </c>
    </row>
    <row r="23" spans="1:18" x14ac:dyDescent="0.3">
      <c r="A23" t="s">
        <v>1043</v>
      </c>
      <c r="B23">
        <v>2022</v>
      </c>
      <c r="C23">
        <v>0.97389984580619204</v>
      </c>
      <c r="D23">
        <v>1241143.578125</v>
      </c>
      <c r="E23">
        <v>0</v>
      </c>
      <c r="F23">
        <v>78</v>
      </c>
      <c r="G23">
        <v>1.1552724005554E-3</v>
      </c>
      <c r="H23">
        <v>8</v>
      </c>
      <c r="I23">
        <v>0</v>
      </c>
      <c r="J23">
        <v>0.34441475588413711</v>
      </c>
      <c r="K23">
        <v>-0.3147391932686201</v>
      </c>
      <c r="L23">
        <v>112546897.3695026</v>
      </c>
      <c r="M23" t="s">
        <v>612</v>
      </c>
      <c r="N23" t="s">
        <v>647</v>
      </c>
      <c r="O23" t="s">
        <v>650</v>
      </c>
      <c r="P23">
        <v>4726</v>
      </c>
      <c r="Q23">
        <v>97</v>
      </c>
      <c r="R23">
        <v>4629</v>
      </c>
    </row>
    <row r="24" spans="1:18" x14ac:dyDescent="0.3">
      <c r="A24" t="s">
        <v>1044</v>
      </c>
      <c r="B24">
        <v>2022</v>
      </c>
      <c r="C24">
        <v>0.82842052134253541</v>
      </c>
      <c r="D24">
        <v>992960.21875</v>
      </c>
      <c r="E24">
        <v>0</v>
      </c>
      <c r="F24">
        <v>94</v>
      </c>
      <c r="G24">
        <v>5.1227674924809996E-4</v>
      </c>
      <c r="H24">
        <v>8</v>
      </c>
      <c r="I24">
        <v>0</v>
      </c>
      <c r="J24">
        <v>0.36903180740871711</v>
      </c>
      <c r="K24">
        <v>-0.26851376674790489</v>
      </c>
      <c r="L24">
        <v>140789644.98093131</v>
      </c>
      <c r="M24" t="s">
        <v>612</v>
      </c>
      <c r="N24" t="s">
        <v>647</v>
      </c>
      <c r="O24" t="s">
        <v>651</v>
      </c>
      <c r="P24">
        <v>5340</v>
      </c>
      <c r="Q24">
        <v>42</v>
      </c>
      <c r="R24">
        <v>5298</v>
      </c>
    </row>
    <row r="25" spans="1:18" x14ac:dyDescent="0.3">
      <c r="A25" t="s">
        <v>1045</v>
      </c>
      <c r="B25">
        <v>2022</v>
      </c>
      <c r="C25">
        <v>1.056307662987616</v>
      </c>
      <c r="D25">
        <v>496505.90625</v>
      </c>
      <c r="E25">
        <v>0</v>
      </c>
      <c r="F25">
        <v>104</v>
      </c>
      <c r="G25">
        <v>4.0749610960669999E-4</v>
      </c>
      <c r="H25">
        <v>15</v>
      </c>
      <c r="I25">
        <v>0</v>
      </c>
      <c r="J25">
        <v>0.46483949963072141</v>
      </c>
      <c r="K25">
        <v>-0.27393123764612048</v>
      </c>
      <c r="L25">
        <v>151003620.22184321</v>
      </c>
      <c r="M25" t="s">
        <v>612</v>
      </c>
      <c r="N25" t="s">
        <v>662</v>
      </c>
      <c r="O25" t="s">
        <v>663</v>
      </c>
      <c r="P25">
        <v>7063</v>
      </c>
      <c r="Q25">
        <v>84</v>
      </c>
      <c r="R25">
        <v>6979</v>
      </c>
    </row>
    <row r="26" spans="1:18" x14ac:dyDescent="0.3">
      <c r="A26" t="s">
        <v>1046</v>
      </c>
      <c r="B26">
        <v>2022</v>
      </c>
      <c r="C26">
        <v>1.0188206451359729</v>
      </c>
      <c r="D26">
        <v>744006.484375</v>
      </c>
      <c r="E26">
        <v>0</v>
      </c>
      <c r="F26">
        <v>229</v>
      </c>
      <c r="G26">
        <v>4.6667608523179999E-4</v>
      </c>
      <c r="H26">
        <v>8</v>
      </c>
      <c r="I26">
        <v>1</v>
      </c>
      <c r="J26">
        <v>0.52119809301496312</v>
      </c>
      <c r="K26">
        <v>-0.21134131634518749</v>
      </c>
      <c r="L26">
        <v>287172158.87378228</v>
      </c>
      <c r="M26" t="s">
        <v>674</v>
      </c>
      <c r="N26" t="s">
        <v>692</v>
      </c>
      <c r="O26" t="s">
        <v>693</v>
      </c>
      <c r="P26">
        <v>4675</v>
      </c>
      <c r="Q26">
        <v>2884</v>
      </c>
      <c r="R26">
        <v>1791</v>
      </c>
    </row>
    <row r="27" spans="1:18" x14ac:dyDescent="0.3">
      <c r="A27" t="s">
        <v>1047</v>
      </c>
      <c r="B27">
        <v>2022</v>
      </c>
      <c r="C27">
        <v>0.70980124399615518</v>
      </c>
      <c r="D27">
        <v>993272.5625</v>
      </c>
      <c r="E27">
        <v>0</v>
      </c>
      <c r="F27">
        <v>33</v>
      </c>
      <c r="G27">
        <v>1.4725666869156999E-3</v>
      </c>
      <c r="H27">
        <v>2</v>
      </c>
      <c r="I27">
        <v>0</v>
      </c>
      <c r="J27">
        <v>0.53830404272903032</v>
      </c>
      <c r="K27">
        <v>-0.2280537986583486</v>
      </c>
      <c r="L27">
        <v>129102586.5748345</v>
      </c>
      <c r="M27" t="s">
        <v>922</v>
      </c>
      <c r="N27" t="s">
        <v>922</v>
      </c>
      <c r="O27" t="s">
        <v>947</v>
      </c>
      <c r="P27">
        <v>935</v>
      </c>
      <c r="Q27">
        <v>610</v>
      </c>
      <c r="R27">
        <v>325</v>
      </c>
    </row>
    <row r="28" spans="1:18" x14ac:dyDescent="0.3">
      <c r="A28" t="s">
        <v>1048</v>
      </c>
      <c r="B28">
        <v>2022</v>
      </c>
      <c r="C28">
        <v>0.67605744876715823</v>
      </c>
      <c r="D28">
        <v>626134.67984068627</v>
      </c>
      <c r="E28">
        <v>0</v>
      </c>
      <c r="F28">
        <v>20</v>
      </c>
      <c r="G28">
        <v>2.2802405450182001E-3</v>
      </c>
      <c r="H28">
        <v>1</v>
      </c>
      <c r="I28">
        <v>0</v>
      </c>
      <c r="J28">
        <v>0.42229550144297823</v>
      </c>
      <c r="K28">
        <v>-0.18349103511725889</v>
      </c>
      <c r="L28">
        <v>294132840.59988868</v>
      </c>
      <c r="M28" t="s">
        <v>922</v>
      </c>
      <c r="N28" t="s">
        <v>922</v>
      </c>
      <c r="O28" t="s">
        <v>948</v>
      </c>
      <c r="P28">
        <v>1248</v>
      </c>
      <c r="Q28">
        <v>559</v>
      </c>
      <c r="R28">
        <v>689</v>
      </c>
    </row>
    <row r="29" spans="1:18" x14ac:dyDescent="0.3">
      <c r="A29" t="s">
        <v>1049</v>
      </c>
      <c r="B29">
        <v>2022</v>
      </c>
      <c r="C29">
        <v>0.9014788679777368</v>
      </c>
      <c r="D29">
        <v>992580.78125</v>
      </c>
      <c r="E29">
        <v>0</v>
      </c>
      <c r="F29">
        <v>208</v>
      </c>
      <c r="G29">
        <v>3.9895669847209999E-4</v>
      </c>
      <c r="H29">
        <v>7</v>
      </c>
      <c r="I29">
        <v>3</v>
      </c>
      <c r="J29">
        <v>0.34817743412365038</v>
      </c>
      <c r="K29">
        <v>-0.25662533693745782</v>
      </c>
      <c r="L29">
        <v>572331288.15028799</v>
      </c>
      <c r="M29" t="s">
        <v>940</v>
      </c>
      <c r="N29" t="s">
        <v>940</v>
      </c>
      <c r="O29" t="s">
        <v>54</v>
      </c>
      <c r="P29">
        <v>4381</v>
      </c>
      <c r="Q29">
        <v>589</v>
      </c>
      <c r="R29">
        <v>3792</v>
      </c>
    </row>
    <row r="30" spans="1:18" x14ac:dyDescent="0.3">
      <c r="A30" t="s">
        <v>1050</v>
      </c>
      <c r="B30">
        <v>2022</v>
      </c>
      <c r="C30">
        <v>9.7311643320479568</v>
      </c>
      <c r="D30">
        <v>1441084.2609681371</v>
      </c>
      <c r="E30">
        <v>0</v>
      </c>
      <c r="F30">
        <v>259</v>
      </c>
      <c r="G30">
        <v>1.3853664480849E-3</v>
      </c>
      <c r="H30">
        <v>5</v>
      </c>
      <c r="I30">
        <v>6</v>
      </c>
      <c r="J30">
        <v>7.7735810117920995E-2</v>
      </c>
      <c r="K30">
        <v>-0.26836924188508249</v>
      </c>
      <c r="L30">
        <v>14981806.011439459</v>
      </c>
      <c r="M30" t="s">
        <v>940</v>
      </c>
      <c r="N30" t="s">
        <v>101</v>
      </c>
      <c r="O30" t="s">
        <v>1008</v>
      </c>
      <c r="P30">
        <v>15047</v>
      </c>
      <c r="Q30">
        <v>7184</v>
      </c>
      <c r="R30">
        <v>7863</v>
      </c>
    </row>
    <row r="31" spans="1:18" x14ac:dyDescent="0.3">
      <c r="A31" t="s">
        <v>1051</v>
      </c>
      <c r="B31">
        <v>2022</v>
      </c>
      <c r="C31">
        <v>13.08257400657374</v>
      </c>
      <c r="D31">
        <v>37809881.190747537</v>
      </c>
      <c r="E31">
        <v>3</v>
      </c>
      <c r="F31">
        <v>455</v>
      </c>
      <c r="G31">
        <v>5.5147856460989995E-4</v>
      </c>
      <c r="H31">
        <v>2</v>
      </c>
      <c r="I31">
        <v>1</v>
      </c>
      <c r="J31">
        <v>0.2947927295416376</v>
      </c>
      <c r="K31">
        <v>-0.17878129289294711</v>
      </c>
      <c r="L31">
        <v>86050043.461623311</v>
      </c>
      <c r="M31" t="s">
        <v>652</v>
      </c>
      <c r="N31" t="s">
        <v>817</v>
      </c>
      <c r="O31" t="s">
        <v>819</v>
      </c>
      <c r="P31">
        <v>6307</v>
      </c>
      <c r="Q31">
        <v>4638</v>
      </c>
      <c r="R31">
        <v>1669</v>
      </c>
    </row>
    <row r="32" spans="1:18" x14ac:dyDescent="0.3">
      <c r="A32" t="s">
        <v>1052</v>
      </c>
      <c r="B32">
        <v>2022</v>
      </c>
      <c r="C32">
        <v>3.1989826263017238</v>
      </c>
      <c r="D32">
        <v>37555714.187867656</v>
      </c>
      <c r="E32">
        <v>12</v>
      </c>
      <c r="F32">
        <v>219</v>
      </c>
      <c r="G32">
        <v>5.5941037814140001E-4</v>
      </c>
      <c r="H32">
        <v>3</v>
      </c>
      <c r="I32">
        <v>1</v>
      </c>
      <c r="J32">
        <v>0.2835769029357556</v>
      </c>
      <c r="K32">
        <v>-0.2459449681326964</v>
      </c>
      <c r="L32">
        <v>96351063.186507463</v>
      </c>
      <c r="M32" t="s">
        <v>652</v>
      </c>
      <c r="N32" t="s">
        <v>817</v>
      </c>
      <c r="O32" t="s">
        <v>820</v>
      </c>
      <c r="P32">
        <v>2028</v>
      </c>
      <c r="Q32">
        <v>1106</v>
      </c>
      <c r="R32">
        <v>922</v>
      </c>
    </row>
    <row r="33" spans="1:18" x14ac:dyDescent="0.3">
      <c r="A33" t="s">
        <v>1053</v>
      </c>
      <c r="B33">
        <v>2022</v>
      </c>
      <c r="C33">
        <v>5.9583803612946094</v>
      </c>
      <c r="D33">
        <v>5131009.8275122549</v>
      </c>
      <c r="E33">
        <v>2</v>
      </c>
      <c r="F33">
        <v>106</v>
      </c>
      <c r="G33">
        <v>2.1750362694065999E-3</v>
      </c>
      <c r="H33">
        <v>10</v>
      </c>
      <c r="I33">
        <v>2</v>
      </c>
      <c r="J33">
        <v>0.37129652413267311</v>
      </c>
      <c r="K33">
        <v>-0.29004983125696132</v>
      </c>
      <c r="L33">
        <v>7121429.9986603223</v>
      </c>
      <c r="M33" t="s">
        <v>232</v>
      </c>
      <c r="N33" t="s">
        <v>269</v>
      </c>
      <c r="O33" t="s">
        <v>45</v>
      </c>
      <c r="P33">
        <v>3281</v>
      </c>
      <c r="Q33">
        <v>1310</v>
      </c>
      <c r="R33">
        <v>1971</v>
      </c>
    </row>
    <row r="34" spans="1:18" x14ac:dyDescent="0.3">
      <c r="A34" t="s">
        <v>1054</v>
      </c>
      <c r="B34">
        <v>2022</v>
      </c>
      <c r="C34">
        <v>7.8299373980205296</v>
      </c>
      <c r="D34">
        <v>766388.08167892147</v>
      </c>
      <c r="E34">
        <v>1</v>
      </c>
      <c r="F34">
        <v>70</v>
      </c>
      <c r="G34">
        <v>3.2288416778091002E-3</v>
      </c>
      <c r="H34">
        <v>1</v>
      </c>
      <c r="I34">
        <v>1</v>
      </c>
      <c r="J34">
        <v>0.33071863315510958</v>
      </c>
      <c r="K34">
        <v>-0.27129112997976629</v>
      </c>
      <c r="L34">
        <v>11556744.26737513</v>
      </c>
      <c r="M34" t="s">
        <v>460</v>
      </c>
      <c r="N34" t="s">
        <v>468</v>
      </c>
      <c r="O34" t="s">
        <v>470</v>
      </c>
      <c r="P34">
        <v>1610</v>
      </c>
      <c r="Q34">
        <v>1161</v>
      </c>
      <c r="R34">
        <v>449</v>
      </c>
    </row>
    <row r="35" spans="1:18" x14ac:dyDescent="0.3">
      <c r="A35" t="s">
        <v>1055</v>
      </c>
      <c r="B35">
        <v>2022</v>
      </c>
      <c r="C35">
        <v>9.5349156714215919</v>
      </c>
      <c r="D35">
        <v>1662452.0013480389</v>
      </c>
      <c r="E35">
        <v>3</v>
      </c>
      <c r="F35">
        <v>38</v>
      </c>
      <c r="G35">
        <v>4.6281908990011E-3</v>
      </c>
      <c r="H35">
        <v>11</v>
      </c>
      <c r="I35">
        <v>0</v>
      </c>
      <c r="J35">
        <v>0.56996785437525577</v>
      </c>
      <c r="K35">
        <v>-0.37143751638834072</v>
      </c>
      <c r="L35">
        <v>3753863.736851105</v>
      </c>
      <c r="M35" t="s">
        <v>124</v>
      </c>
      <c r="N35" t="s">
        <v>133</v>
      </c>
      <c r="O35" t="s">
        <v>135</v>
      </c>
      <c r="P35">
        <v>1471</v>
      </c>
      <c r="Q35">
        <v>821</v>
      </c>
      <c r="R35">
        <v>650</v>
      </c>
    </row>
    <row r="36" spans="1:18" x14ac:dyDescent="0.3">
      <c r="A36" t="s">
        <v>1056</v>
      </c>
      <c r="B36">
        <v>2022</v>
      </c>
      <c r="C36">
        <v>12.701983655635059</v>
      </c>
      <c r="D36">
        <v>744975.734375</v>
      </c>
      <c r="E36">
        <v>1</v>
      </c>
      <c r="F36">
        <v>99</v>
      </c>
      <c r="G36">
        <v>2.5343250257347E-3</v>
      </c>
      <c r="H36">
        <v>2</v>
      </c>
      <c r="I36">
        <v>1</v>
      </c>
      <c r="J36">
        <v>0.55722878848400326</v>
      </c>
      <c r="K36">
        <v>-0.2846393720955156</v>
      </c>
      <c r="L36">
        <v>74835040.547736287</v>
      </c>
      <c r="M36" t="s">
        <v>922</v>
      </c>
      <c r="N36" t="s">
        <v>942</v>
      </c>
      <c r="O36" t="s">
        <v>945</v>
      </c>
      <c r="P36">
        <v>3636</v>
      </c>
      <c r="Q36">
        <v>1852</v>
      </c>
      <c r="R36">
        <v>1784</v>
      </c>
    </row>
    <row r="37" spans="1:18" x14ac:dyDescent="0.3">
      <c r="A37" t="s">
        <v>1057</v>
      </c>
      <c r="B37">
        <v>2022</v>
      </c>
      <c r="C37">
        <v>1.8721292289324061</v>
      </c>
      <c r="D37">
        <v>5458871.03125</v>
      </c>
      <c r="E37">
        <v>1</v>
      </c>
      <c r="F37">
        <v>136</v>
      </c>
      <c r="G37">
        <v>8.2791058188529999E-4</v>
      </c>
      <c r="H37">
        <v>3</v>
      </c>
      <c r="I37">
        <v>3</v>
      </c>
      <c r="J37">
        <v>0.2161443210931269</v>
      </c>
      <c r="K37">
        <v>-0.35057257734257208</v>
      </c>
      <c r="L37">
        <v>77443920.288919136</v>
      </c>
      <c r="M37" t="s">
        <v>940</v>
      </c>
      <c r="N37" t="s">
        <v>940</v>
      </c>
      <c r="O37" t="s">
        <v>295</v>
      </c>
      <c r="P37">
        <v>4004</v>
      </c>
      <c r="Q37">
        <v>1962</v>
      </c>
      <c r="R37">
        <v>2042</v>
      </c>
    </row>
    <row r="38" spans="1:18" x14ac:dyDescent="0.3">
      <c r="A38" t="s">
        <v>1058</v>
      </c>
      <c r="B38">
        <v>2022</v>
      </c>
      <c r="C38">
        <v>0.57658563841726085</v>
      </c>
      <c r="D38">
        <v>1123442.8039828429</v>
      </c>
      <c r="E38">
        <v>1</v>
      </c>
      <c r="F38">
        <v>27</v>
      </c>
      <c r="G38">
        <v>1.4025204203443999E-3</v>
      </c>
      <c r="H38">
        <v>1</v>
      </c>
      <c r="I38">
        <v>5</v>
      </c>
      <c r="J38">
        <v>0.52729402930832481</v>
      </c>
      <c r="K38">
        <v>-0.19614924005021461</v>
      </c>
      <c r="L38">
        <v>822209105.50553429</v>
      </c>
      <c r="M38" t="s">
        <v>674</v>
      </c>
      <c r="N38" t="s">
        <v>698</v>
      </c>
      <c r="O38" t="s">
        <v>286</v>
      </c>
      <c r="P38">
        <v>315</v>
      </c>
      <c r="Q38">
        <v>58</v>
      </c>
      <c r="R38">
        <v>257</v>
      </c>
    </row>
    <row r="39" spans="1:18" x14ac:dyDescent="0.3">
      <c r="A39" t="s">
        <v>1059</v>
      </c>
      <c r="B39">
        <v>2022</v>
      </c>
      <c r="C39">
        <v>5.3556455664325444</v>
      </c>
      <c r="D39">
        <v>7832231.9839460785</v>
      </c>
      <c r="E39">
        <v>7</v>
      </c>
      <c r="F39">
        <v>146</v>
      </c>
      <c r="G39">
        <v>1.2776156507532E-3</v>
      </c>
      <c r="H39">
        <v>9</v>
      </c>
      <c r="I39">
        <v>0</v>
      </c>
      <c r="J39">
        <v>0.37547389219790889</v>
      </c>
      <c r="K39">
        <v>-0.28146302625426489</v>
      </c>
      <c r="L39">
        <v>12930048.328284521</v>
      </c>
      <c r="M39" t="s">
        <v>232</v>
      </c>
      <c r="N39" t="s">
        <v>233</v>
      </c>
      <c r="O39" t="s">
        <v>236</v>
      </c>
      <c r="P39">
        <v>3264</v>
      </c>
      <c r="Q39">
        <v>1782</v>
      </c>
      <c r="R39">
        <v>1482</v>
      </c>
    </row>
    <row r="40" spans="1:18" x14ac:dyDescent="0.3">
      <c r="A40" t="s">
        <v>1060</v>
      </c>
      <c r="B40">
        <v>2022</v>
      </c>
      <c r="C40">
        <v>4.0625581236297128</v>
      </c>
      <c r="D40">
        <v>4615263.770710784</v>
      </c>
      <c r="E40">
        <v>4</v>
      </c>
      <c r="F40">
        <v>197</v>
      </c>
      <c r="G40">
        <v>3.3100199969279999E-4</v>
      </c>
      <c r="H40">
        <v>5</v>
      </c>
      <c r="I40">
        <v>0</v>
      </c>
      <c r="J40">
        <v>0.48755833520229369</v>
      </c>
      <c r="K40">
        <v>-0.34881194259618298</v>
      </c>
      <c r="L40">
        <v>22751995.234142579</v>
      </c>
      <c r="M40" t="s">
        <v>20</v>
      </c>
      <c r="N40" t="s">
        <v>59</v>
      </c>
      <c r="O40" t="s">
        <v>62</v>
      </c>
      <c r="P40">
        <v>3361</v>
      </c>
      <c r="Q40">
        <v>2359</v>
      </c>
      <c r="R40">
        <v>1002</v>
      </c>
    </row>
    <row r="41" spans="1:18" x14ac:dyDescent="0.3">
      <c r="A41" t="s">
        <v>1061</v>
      </c>
      <c r="B41">
        <v>2022</v>
      </c>
      <c r="C41">
        <v>20.572087143930201</v>
      </c>
      <c r="D41">
        <v>11740482.456188731</v>
      </c>
      <c r="E41">
        <v>55</v>
      </c>
      <c r="F41">
        <v>139</v>
      </c>
      <c r="G41">
        <v>6.8419536409160004E-4</v>
      </c>
      <c r="H41">
        <v>6</v>
      </c>
      <c r="I41">
        <v>0</v>
      </c>
      <c r="J41">
        <v>0.31945001208312918</v>
      </c>
      <c r="K41">
        <v>-0.32460403687463291</v>
      </c>
      <c r="L41">
        <v>24382182.091236729</v>
      </c>
      <c r="M41" t="s">
        <v>652</v>
      </c>
      <c r="N41" t="s">
        <v>803</v>
      </c>
      <c r="O41" t="s">
        <v>806</v>
      </c>
      <c r="P41">
        <v>3166</v>
      </c>
      <c r="Q41">
        <v>1660</v>
      </c>
      <c r="R41">
        <v>1506</v>
      </c>
    </row>
    <row r="42" spans="1:18" x14ac:dyDescent="0.3">
      <c r="A42" t="s">
        <v>1062</v>
      </c>
      <c r="B42">
        <v>2022</v>
      </c>
      <c r="C42">
        <v>9.9477182981823464</v>
      </c>
      <c r="D42">
        <v>6058698.2280024514</v>
      </c>
      <c r="E42">
        <v>6</v>
      </c>
      <c r="F42">
        <v>247</v>
      </c>
      <c r="G42">
        <v>5.3021932261619999E-4</v>
      </c>
      <c r="H42">
        <v>51</v>
      </c>
      <c r="I42">
        <v>3</v>
      </c>
      <c r="J42">
        <v>0.44322654848282389</v>
      </c>
      <c r="K42">
        <v>-0.33544204568802372</v>
      </c>
      <c r="L42">
        <v>15981659.48574033</v>
      </c>
      <c r="M42" t="s">
        <v>20</v>
      </c>
      <c r="N42" t="s">
        <v>21</v>
      </c>
      <c r="O42" t="s">
        <v>27</v>
      </c>
      <c r="P42">
        <v>7464</v>
      </c>
      <c r="Q42">
        <v>5435</v>
      </c>
      <c r="R42">
        <v>2029</v>
      </c>
    </row>
    <row r="43" spans="1:18" x14ac:dyDescent="0.3">
      <c r="A43" t="s">
        <v>1063</v>
      </c>
      <c r="B43">
        <v>2022</v>
      </c>
      <c r="C43">
        <v>1.4501347927188271</v>
      </c>
      <c r="D43">
        <v>1437278.125061275</v>
      </c>
      <c r="E43">
        <v>1</v>
      </c>
      <c r="F43">
        <v>54</v>
      </c>
      <c r="G43">
        <v>8.3537279756759999E-4</v>
      </c>
      <c r="H43">
        <v>4</v>
      </c>
      <c r="I43">
        <v>1</v>
      </c>
      <c r="J43">
        <v>0.5350771561548906</v>
      </c>
      <c r="K43">
        <v>-0.28747254231465152</v>
      </c>
      <c r="L43">
        <v>65845607.214847408</v>
      </c>
      <c r="M43" t="s">
        <v>156</v>
      </c>
      <c r="N43" t="s">
        <v>157</v>
      </c>
      <c r="O43" t="s">
        <v>158</v>
      </c>
      <c r="P43">
        <v>2162</v>
      </c>
      <c r="Q43">
        <v>937</v>
      </c>
      <c r="R43">
        <v>1225</v>
      </c>
    </row>
    <row r="44" spans="1:18" x14ac:dyDescent="0.3">
      <c r="A44" t="s">
        <v>1064</v>
      </c>
      <c r="B44">
        <v>2022</v>
      </c>
      <c r="C44">
        <v>6.1435468716895523</v>
      </c>
      <c r="D44">
        <v>3971685.2929534321</v>
      </c>
      <c r="E44">
        <v>7</v>
      </c>
      <c r="F44">
        <v>120</v>
      </c>
      <c r="G44">
        <v>1.0799073403524001E-3</v>
      </c>
      <c r="H44">
        <v>11</v>
      </c>
      <c r="I44">
        <v>12</v>
      </c>
      <c r="J44">
        <v>0.49517006704189981</v>
      </c>
      <c r="K44">
        <v>-0.36569756553420502</v>
      </c>
      <c r="L44">
        <v>19061296.469221611</v>
      </c>
      <c r="M44" t="s">
        <v>124</v>
      </c>
      <c r="N44" t="s">
        <v>125</v>
      </c>
      <c r="O44" t="s">
        <v>126</v>
      </c>
      <c r="P44">
        <v>3612</v>
      </c>
      <c r="Q44">
        <v>1860</v>
      </c>
      <c r="R44">
        <v>1752</v>
      </c>
    </row>
    <row r="45" spans="1:18" x14ac:dyDescent="0.3">
      <c r="A45" t="s">
        <v>1065</v>
      </c>
      <c r="B45">
        <v>2022</v>
      </c>
      <c r="C45">
        <v>1.3347510868252279</v>
      </c>
      <c r="D45">
        <v>1240713.859375</v>
      </c>
      <c r="E45">
        <v>1</v>
      </c>
      <c r="F45">
        <v>97</v>
      </c>
      <c r="G45">
        <v>1.0881491284626E-3</v>
      </c>
      <c r="H45">
        <v>4</v>
      </c>
      <c r="I45">
        <v>0</v>
      </c>
      <c r="J45">
        <v>0.3830214152536085</v>
      </c>
      <c r="K45">
        <v>-0.36267998331434442</v>
      </c>
      <c r="L45">
        <v>46746714.480885379</v>
      </c>
      <c r="M45" t="s">
        <v>232</v>
      </c>
      <c r="N45" t="s">
        <v>244</v>
      </c>
      <c r="O45" t="s">
        <v>246</v>
      </c>
      <c r="P45">
        <v>1820</v>
      </c>
      <c r="Q45">
        <v>466</v>
      </c>
      <c r="R45">
        <v>1354</v>
      </c>
    </row>
    <row r="46" spans="1:18" x14ac:dyDescent="0.3">
      <c r="A46" t="s">
        <v>1066</v>
      </c>
      <c r="B46">
        <v>2022</v>
      </c>
      <c r="C46">
        <v>4.0794528722969474</v>
      </c>
      <c r="D46">
        <v>1111779.601776961</v>
      </c>
      <c r="E46">
        <v>3</v>
      </c>
      <c r="F46">
        <v>151</v>
      </c>
      <c r="G46">
        <v>9.0082552431949999E-4</v>
      </c>
      <c r="H46">
        <v>8</v>
      </c>
      <c r="I46">
        <v>0</v>
      </c>
      <c r="J46">
        <v>0.47822297945082359</v>
      </c>
      <c r="K46">
        <v>-0.37926745730840927</v>
      </c>
      <c r="L46">
        <v>16891873.68506011</v>
      </c>
      <c r="M46" t="s">
        <v>124</v>
      </c>
      <c r="N46" t="s">
        <v>153</v>
      </c>
      <c r="O46" t="s">
        <v>154</v>
      </c>
      <c r="P46">
        <v>1773</v>
      </c>
      <c r="Q46">
        <v>955</v>
      </c>
      <c r="R46">
        <v>818</v>
      </c>
    </row>
    <row r="47" spans="1:18" x14ac:dyDescent="0.3">
      <c r="A47" t="s">
        <v>1067</v>
      </c>
      <c r="B47">
        <v>2022</v>
      </c>
      <c r="C47">
        <v>0.9028170350969712</v>
      </c>
      <c r="D47">
        <v>1737329.15625</v>
      </c>
      <c r="E47">
        <v>1</v>
      </c>
      <c r="F47">
        <v>105</v>
      </c>
      <c r="G47">
        <v>9.8280946349229995E-4</v>
      </c>
      <c r="H47">
        <v>5</v>
      </c>
      <c r="I47">
        <v>8</v>
      </c>
      <c r="J47">
        <v>0.39340638120878918</v>
      </c>
      <c r="K47">
        <v>-0.15813587106447091</v>
      </c>
      <c r="L47">
        <v>1388963067.4562731</v>
      </c>
      <c r="M47" t="s">
        <v>674</v>
      </c>
      <c r="N47" t="s">
        <v>727</v>
      </c>
      <c r="O47" t="s">
        <v>727</v>
      </c>
      <c r="P47">
        <v>2263</v>
      </c>
      <c r="Q47">
        <v>952</v>
      </c>
      <c r="R47">
        <v>1311</v>
      </c>
    </row>
    <row r="48" spans="1:18" x14ac:dyDescent="0.3">
      <c r="A48" t="s">
        <v>1068</v>
      </c>
      <c r="B48">
        <v>2022</v>
      </c>
      <c r="C48">
        <v>8.6276975874389965</v>
      </c>
      <c r="D48">
        <v>15910811.790747549</v>
      </c>
      <c r="E48">
        <v>17</v>
      </c>
      <c r="F48">
        <v>386</v>
      </c>
      <c r="G48">
        <v>8.061354202013E-4</v>
      </c>
      <c r="H48">
        <v>6</v>
      </c>
      <c r="I48">
        <v>1</v>
      </c>
      <c r="J48">
        <v>0.24432129412984499</v>
      </c>
      <c r="K48">
        <v>-0.25645147614252861</v>
      </c>
      <c r="L48">
        <v>21014977.930509809</v>
      </c>
      <c r="M48" t="s">
        <v>232</v>
      </c>
      <c r="N48" t="s">
        <v>233</v>
      </c>
      <c r="O48" t="s">
        <v>238</v>
      </c>
      <c r="P48">
        <v>11723</v>
      </c>
      <c r="Q48">
        <v>6747</v>
      </c>
      <c r="R48">
        <v>4976</v>
      </c>
    </row>
    <row r="49" spans="1:18" x14ac:dyDescent="0.3">
      <c r="A49" t="s">
        <v>1069</v>
      </c>
      <c r="B49">
        <v>2022</v>
      </c>
      <c r="C49">
        <v>7.9933064444161666</v>
      </c>
      <c r="D49">
        <v>2301502.4291053922</v>
      </c>
      <c r="E49">
        <v>7</v>
      </c>
      <c r="F49">
        <v>181</v>
      </c>
      <c r="G49">
        <v>8.3997260806589996E-4</v>
      </c>
      <c r="H49">
        <v>20</v>
      </c>
      <c r="I49">
        <v>7</v>
      </c>
      <c r="J49">
        <v>0.52058333340591001</v>
      </c>
      <c r="K49">
        <v>-0.33068848379902188</v>
      </c>
      <c r="L49">
        <v>24297462.962555841</v>
      </c>
      <c r="M49" t="s">
        <v>124</v>
      </c>
      <c r="N49" t="s">
        <v>125</v>
      </c>
      <c r="O49" t="s">
        <v>129</v>
      </c>
      <c r="P49">
        <v>3931</v>
      </c>
      <c r="Q49">
        <v>2803</v>
      </c>
      <c r="R49">
        <v>1128</v>
      </c>
    </row>
    <row r="50" spans="1:18" x14ac:dyDescent="0.3">
      <c r="A50" t="s">
        <v>1070</v>
      </c>
      <c r="B50">
        <v>2022</v>
      </c>
      <c r="C50">
        <v>1.541113420810269</v>
      </c>
      <c r="D50">
        <v>922821.51691176463</v>
      </c>
      <c r="E50">
        <v>3</v>
      </c>
      <c r="F50">
        <v>46</v>
      </c>
      <c r="G50">
        <v>2.3003881271596999E-3</v>
      </c>
      <c r="H50">
        <v>2</v>
      </c>
      <c r="I50">
        <v>1</v>
      </c>
      <c r="J50">
        <v>0.52469452627655766</v>
      </c>
      <c r="K50">
        <v>-0.35745457091789778</v>
      </c>
      <c r="L50">
        <v>22926055.985119969</v>
      </c>
      <c r="M50" t="s">
        <v>20</v>
      </c>
      <c r="N50" t="s">
        <v>69</v>
      </c>
      <c r="O50" t="s">
        <v>70</v>
      </c>
      <c r="P50">
        <v>753</v>
      </c>
      <c r="Q50">
        <v>631</v>
      </c>
      <c r="R50">
        <v>122</v>
      </c>
    </row>
    <row r="51" spans="1:18" x14ac:dyDescent="0.3">
      <c r="A51" t="s">
        <v>1071</v>
      </c>
      <c r="B51">
        <v>2022</v>
      </c>
      <c r="C51">
        <v>3.1774111311421258</v>
      </c>
      <c r="D51">
        <v>279404.68216911767</v>
      </c>
      <c r="E51">
        <v>1</v>
      </c>
      <c r="F51">
        <v>69</v>
      </c>
      <c r="G51">
        <v>7.7271212307260001E-4</v>
      </c>
      <c r="H51">
        <v>2</v>
      </c>
      <c r="I51">
        <v>1</v>
      </c>
      <c r="J51">
        <v>0.48850007268854989</v>
      </c>
      <c r="K51">
        <v>-0.29279696649626569</v>
      </c>
      <c r="L51">
        <v>39464465.314002693</v>
      </c>
      <c r="M51" t="s">
        <v>830</v>
      </c>
      <c r="N51" t="s">
        <v>855</v>
      </c>
      <c r="O51" t="s">
        <v>856</v>
      </c>
      <c r="P51">
        <v>1646</v>
      </c>
      <c r="Q51">
        <v>1162</v>
      </c>
      <c r="R51">
        <v>484</v>
      </c>
    </row>
    <row r="52" spans="1:18" x14ac:dyDescent="0.3">
      <c r="A52" t="s">
        <v>1072</v>
      </c>
      <c r="B52">
        <v>2022</v>
      </c>
      <c r="C52">
        <v>16.20674768559368</v>
      </c>
      <c r="D52">
        <v>8346688.0025122548</v>
      </c>
      <c r="E52">
        <v>44</v>
      </c>
      <c r="F52">
        <v>172</v>
      </c>
      <c r="G52">
        <v>6.7929774901809997E-4</v>
      </c>
      <c r="H52">
        <v>9</v>
      </c>
      <c r="I52">
        <v>2</v>
      </c>
      <c r="J52">
        <v>0.37214609895216288</v>
      </c>
      <c r="K52">
        <v>-0.3471412754620628</v>
      </c>
      <c r="L52">
        <v>21809586.081948452</v>
      </c>
      <c r="M52" t="s">
        <v>652</v>
      </c>
      <c r="N52" t="s">
        <v>803</v>
      </c>
      <c r="O52" t="s">
        <v>807</v>
      </c>
      <c r="P52">
        <v>5992</v>
      </c>
      <c r="Q52">
        <v>4333</v>
      </c>
      <c r="R52">
        <v>1659</v>
      </c>
    </row>
    <row r="53" spans="1:18" x14ac:dyDescent="0.3">
      <c r="A53" t="s">
        <v>1073</v>
      </c>
      <c r="B53">
        <v>2022</v>
      </c>
      <c r="C53">
        <v>2.6956563962872462</v>
      </c>
      <c r="D53">
        <v>13903216.8848652</v>
      </c>
      <c r="E53">
        <v>31</v>
      </c>
      <c r="F53">
        <v>134</v>
      </c>
      <c r="G53">
        <v>6.7494618581450002E-4</v>
      </c>
      <c r="H53">
        <v>8</v>
      </c>
      <c r="I53">
        <v>0</v>
      </c>
      <c r="J53">
        <v>0.35691505065580681</v>
      </c>
      <c r="K53">
        <v>-0.37780571430538501</v>
      </c>
      <c r="L53">
        <v>28558624.408813369</v>
      </c>
      <c r="M53" t="s">
        <v>232</v>
      </c>
      <c r="N53" t="s">
        <v>233</v>
      </c>
      <c r="O53" t="s">
        <v>234</v>
      </c>
      <c r="P53">
        <v>2362</v>
      </c>
      <c r="Q53">
        <v>88</v>
      </c>
      <c r="R53">
        <v>2274</v>
      </c>
    </row>
    <row r="54" spans="1:18" x14ac:dyDescent="0.3">
      <c r="A54" t="s">
        <v>1074</v>
      </c>
      <c r="B54">
        <v>2022</v>
      </c>
      <c r="C54">
        <v>16.27437639260344</v>
      </c>
      <c r="D54">
        <v>15875354.22567402</v>
      </c>
      <c r="E54">
        <v>25</v>
      </c>
      <c r="F54">
        <v>735</v>
      </c>
      <c r="G54">
        <v>3.2173385333760001E-4</v>
      </c>
      <c r="H54">
        <v>6</v>
      </c>
      <c r="I54">
        <v>8</v>
      </c>
      <c r="J54">
        <v>0.43475243464099028</v>
      </c>
      <c r="K54">
        <v>-0.3399416515745004</v>
      </c>
      <c r="L54">
        <v>55499928.2386408</v>
      </c>
      <c r="M54" t="s">
        <v>652</v>
      </c>
      <c r="N54" t="s">
        <v>772</v>
      </c>
      <c r="O54" t="s">
        <v>783</v>
      </c>
      <c r="P54">
        <v>20511</v>
      </c>
      <c r="Q54">
        <v>14760</v>
      </c>
      <c r="R54">
        <v>5751</v>
      </c>
    </row>
    <row r="55" spans="1:18" x14ac:dyDescent="0.3">
      <c r="A55" t="s">
        <v>1075</v>
      </c>
      <c r="B55">
        <v>2022</v>
      </c>
      <c r="C55">
        <v>1.8110611227100379</v>
      </c>
      <c r="D55">
        <v>1628229.6936887249</v>
      </c>
      <c r="E55">
        <v>1</v>
      </c>
      <c r="F55">
        <v>268</v>
      </c>
      <c r="G55">
        <v>2.9999985443319999E-4</v>
      </c>
      <c r="H55">
        <v>13</v>
      </c>
      <c r="I55">
        <v>11</v>
      </c>
      <c r="J55">
        <v>0.64423469182263249</v>
      </c>
      <c r="K55">
        <v>-0.29705131923849259</v>
      </c>
      <c r="L55">
        <v>524983708.36451191</v>
      </c>
      <c r="M55" t="s">
        <v>922</v>
      </c>
      <c r="N55" t="s">
        <v>923</v>
      </c>
      <c r="O55" t="s">
        <v>926</v>
      </c>
      <c r="P55">
        <v>6666</v>
      </c>
      <c r="Q55">
        <v>1777</v>
      </c>
      <c r="R55">
        <v>4889</v>
      </c>
    </row>
    <row r="56" spans="1:18" x14ac:dyDescent="0.3">
      <c r="A56" t="s">
        <v>1076</v>
      </c>
      <c r="B56">
        <v>2022</v>
      </c>
      <c r="C56">
        <v>7.524342140480444</v>
      </c>
      <c r="D56">
        <v>4357224.5248774486</v>
      </c>
      <c r="E56">
        <v>11</v>
      </c>
      <c r="F56">
        <v>224</v>
      </c>
      <c r="G56">
        <v>5.9356696333880002E-4</v>
      </c>
      <c r="H56">
        <v>5</v>
      </c>
      <c r="I56">
        <v>2</v>
      </c>
      <c r="J56">
        <v>0.48532678982976341</v>
      </c>
      <c r="K56">
        <v>-0.33556435689847769</v>
      </c>
      <c r="L56">
        <v>16309725.79654119</v>
      </c>
      <c r="M56" t="s">
        <v>20</v>
      </c>
      <c r="N56" t="s">
        <v>85</v>
      </c>
      <c r="O56" t="s">
        <v>85</v>
      </c>
      <c r="P56">
        <v>6814</v>
      </c>
      <c r="Q56">
        <v>5191</v>
      </c>
      <c r="R56">
        <v>1623</v>
      </c>
    </row>
    <row r="57" spans="1:18" x14ac:dyDescent="0.3">
      <c r="A57" t="s">
        <v>1077</v>
      </c>
      <c r="B57">
        <v>2022</v>
      </c>
      <c r="C57">
        <v>1.937771826499372</v>
      </c>
      <c r="D57">
        <v>972054.97444852942</v>
      </c>
      <c r="E57">
        <v>1</v>
      </c>
      <c r="F57">
        <v>119</v>
      </c>
      <c r="G57">
        <v>3.1630224436683002E-3</v>
      </c>
      <c r="H57">
        <v>2</v>
      </c>
      <c r="I57">
        <v>2</v>
      </c>
      <c r="J57">
        <v>0.42193709503145782</v>
      </c>
      <c r="K57">
        <v>-0.25700682030100169</v>
      </c>
      <c r="L57">
        <v>60706964.176083647</v>
      </c>
      <c r="M57" t="s">
        <v>124</v>
      </c>
      <c r="N57" t="s">
        <v>149</v>
      </c>
      <c r="O57" t="s">
        <v>150</v>
      </c>
      <c r="P57">
        <v>4720</v>
      </c>
      <c r="Q57">
        <v>1674</v>
      </c>
      <c r="R57">
        <v>3046</v>
      </c>
    </row>
    <row r="58" spans="1:18" x14ac:dyDescent="0.3">
      <c r="A58" t="s">
        <v>1078</v>
      </c>
      <c r="B58">
        <v>2022</v>
      </c>
      <c r="C58">
        <v>2.1829774485445701</v>
      </c>
      <c r="D58">
        <v>801035.21911764704</v>
      </c>
      <c r="E58">
        <v>1</v>
      </c>
      <c r="F58">
        <v>127</v>
      </c>
      <c r="G58">
        <v>1.2434542725492999E-3</v>
      </c>
      <c r="H58">
        <v>14</v>
      </c>
      <c r="I58">
        <v>0</v>
      </c>
      <c r="J58">
        <v>0.37103750273760427</v>
      </c>
      <c r="K58">
        <v>-8.7153646096833001E-3</v>
      </c>
      <c r="L58">
        <v>126541460.7839538</v>
      </c>
      <c r="M58" t="s">
        <v>287</v>
      </c>
      <c r="N58" t="s">
        <v>288</v>
      </c>
      <c r="O58" t="s">
        <v>289</v>
      </c>
      <c r="P58">
        <v>4483</v>
      </c>
      <c r="Q58">
        <v>1636</v>
      </c>
      <c r="R58">
        <v>2847</v>
      </c>
    </row>
    <row r="59" spans="1:18" x14ac:dyDescent="0.3">
      <c r="A59" t="s">
        <v>1079</v>
      </c>
      <c r="B59">
        <v>2022</v>
      </c>
      <c r="C59">
        <v>21.03945169839794</v>
      </c>
      <c r="D59">
        <v>5069740.7517156862</v>
      </c>
      <c r="E59">
        <v>21</v>
      </c>
      <c r="F59">
        <v>408</v>
      </c>
      <c r="G59">
        <v>1.2607538541373E-3</v>
      </c>
      <c r="H59">
        <v>18</v>
      </c>
      <c r="I59">
        <v>6</v>
      </c>
      <c r="L59">
        <v>7517041.950958401</v>
      </c>
      <c r="M59" t="s">
        <v>652</v>
      </c>
      <c r="N59" t="s">
        <v>772</v>
      </c>
      <c r="O59" t="s">
        <v>785</v>
      </c>
      <c r="P59">
        <v>15109</v>
      </c>
      <c r="Q59">
        <v>11873</v>
      </c>
      <c r="R59">
        <v>3236</v>
      </c>
    </row>
    <row r="60" spans="1:18" x14ac:dyDescent="0.3">
      <c r="A60" t="s">
        <v>1080</v>
      </c>
      <c r="B60">
        <v>2022</v>
      </c>
      <c r="C60">
        <v>1.8380273217293881</v>
      </c>
      <c r="D60">
        <v>12037907.272610299</v>
      </c>
      <c r="E60">
        <v>15</v>
      </c>
      <c r="F60">
        <v>211</v>
      </c>
      <c r="G60">
        <v>4.3413842105749999E-4</v>
      </c>
      <c r="H60">
        <v>15</v>
      </c>
      <c r="I60">
        <v>2</v>
      </c>
      <c r="J60">
        <v>0.41656331745510711</v>
      </c>
      <c r="K60">
        <v>-0.35403700848641623</v>
      </c>
      <c r="L60">
        <v>51663602.462946333</v>
      </c>
      <c r="M60" t="s">
        <v>232</v>
      </c>
      <c r="N60" t="s">
        <v>233</v>
      </c>
      <c r="O60" t="s">
        <v>241</v>
      </c>
      <c r="P60">
        <v>4681</v>
      </c>
      <c r="Q60">
        <v>1073</v>
      </c>
      <c r="R60">
        <v>3608</v>
      </c>
    </row>
    <row r="61" spans="1:18" x14ac:dyDescent="0.3">
      <c r="A61" t="s">
        <v>1081</v>
      </c>
      <c r="B61">
        <v>2022</v>
      </c>
      <c r="C61">
        <v>8.8901720114801286</v>
      </c>
      <c r="D61">
        <v>1658933.4121936271</v>
      </c>
      <c r="E61">
        <v>34</v>
      </c>
      <c r="F61">
        <v>119</v>
      </c>
      <c r="G61">
        <v>3.6473429951690002E-3</v>
      </c>
      <c r="H61">
        <v>14</v>
      </c>
      <c r="I61">
        <v>1</v>
      </c>
      <c r="J61">
        <v>0.43474874669788288</v>
      </c>
      <c r="K61">
        <v>-0.27534471509713682</v>
      </c>
      <c r="L61">
        <v>5888177.7672750279</v>
      </c>
      <c r="M61" t="s">
        <v>830</v>
      </c>
      <c r="N61" t="s">
        <v>852</v>
      </c>
      <c r="O61" t="s">
        <v>853</v>
      </c>
      <c r="P61">
        <v>1440</v>
      </c>
      <c r="Q61">
        <v>838</v>
      </c>
      <c r="R61">
        <v>602</v>
      </c>
    </row>
    <row r="62" spans="1:18" x14ac:dyDescent="0.3">
      <c r="A62" t="s">
        <v>1082</v>
      </c>
      <c r="B62">
        <v>2022</v>
      </c>
      <c r="C62">
        <v>4.664992863061129</v>
      </c>
      <c r="D62">
        <v>1499862.6087622549</v>
      </c>
      <c r="E62">
        <v>9</v>
      </c>
      <c r="F62">
        <v>134</v>
      </c>
      <c r="G62">
        <v>7.4256692128409996E-4</v>
      </c>
      <c r="H62">
        <v>1</v>
      </c>
      <c r="I62">
        <v>0</v>
      </c>
      <c r="J62">
        <v>0.44213004604061612</v>
      </c>
      <c r="K62">
        <v>-0.32532764320200719</v>
      </c>
      <c r="L62">
        <v>16993698.233887721</v>
      </c>
      <c r="M62" t="s">
        <v>20</v>
      </c>
      <c r="N62" t="s">
        <v>59</v>
      </c>
      <c r="O62" t="s">
        <v>64</v>
      </c>
      <c r="P62">
        <v>2805</v>
      </c>
      <c r="Q62">
        <v>1318</v>
      </c>
      <c r="R62">
        <v>1487</v>
      </c>
    </row>
    <row r="63" spans="1:18" x14ac:dyDescent="0.3">
      <c r="A63" t="s">
        <v>1083</v>
      </c>
      <c r="B63">
        <v>2022</v>
      </c>
      <c r="C63">
        <v>1.13428381022041</v>
      </c>
      <c r="D63">
        <v>2178071.73927696</v>
      </c>
      <c r="E63">
        <v>1</v>
      </c>
      <c r="F63">
        <v>118</v>
      </c>
      <c r="G63">
        <v>1.0068113477630001E-3</v>
      </c>
      <c r="H63">
        <v>6</v>
      </c>
      <c r="I63">
        <v>0</v>
      </c>
      <c r="J63">
        <v>0.4955392544332205</v>
      </c>
      <c r="K63">
        <v>-0.23131489646164871</v>
      </c>
      <c r="L63">
        <v>200087314.0661132</v>
      </c>
      <c r="M63" t="s">
        <v>348</v>
      </c>
      <c r="N63" t="s">
        <v>357</v>
      </c>
      <c r="O63" t="s">
        <v>360</v>
      </c>
      <c r="P63">
        <v>9057</v>
      </c>
      <c r="Q63">
        <v>2513</v>
      </c>
      <c r="R63">
        <v>6544</v>
      </c>
    </row>
    <row r="64" spans="1:18" x14ac:dyDescent="0.3">
      <c r="A64" t="s">
        <v>1084</v>
      </c>
      <c r="B64">
        <v>2022</v>
      </c>
      <c r="C64">
        <v>5.3450526925207544</v>
      </c>
      <c r="D64">
        <v>13783198.116176469</v>
      </c>
      <c r="E64">
        <v>24</v>
      </c>
      <c r="F64">
        <v>422</v>
      </c>
      <c r="G64">
        <v>1.7331415603009999E-4</v>
      </c>
      <c r="H64">
        <v>16</v>
      </c>
      <c r="I64">
        <v>4</v>
      </c>
      <c r="J64">
        <v>0.46749006142626942</v>
      </c>
      <c r="K64">
        <v>-0.31153563280068158</v>
      </c>
      <c r="L64">
        <v>52957550.689621747</v>
      </c>
      <c r="M64" t="s">
        <v>20</v>
      </c>
      <c r="N64" t="s">
        <v>59</v>
      </c>
      <c r="O64" t="s">
        <v>59</v>
      </c>
      <c r="P64">
        <v>11457</v>
      </c>
      <c r="Q64">
        <v>9310</v>
      </c>
      <c r="R64">
        <v>2147</v>
      </c>
    </row>
    <row r="65" spans="1:18" x14ac:dyDescent="0.3">
      <c r="A65" t="s">
        <v>1085</v>
      </c>
      <c r="B65">
        <v>2022</v>
      </c>
      <c r="C65">
        <v>3.8280340129623771</v>
      </c>
      <c r="D65">
        <v>2726098.625</v>
      </c>
      <c r="E65">
        <v>2</v>
      </c>
      <c r="F65">
        <v>347</v>
      </c>
      <c r="G65">
        <v>1.529619752789E-4</v>
      </c>
      <c r="H65">
        <v>12</v>
      </c>
      <c r="I65">
        <v>5</v>
      </c>
      <c r="J65">
        <v>0.46668867928622793</v>
      </c>
      <c r="K65">
        <v>-0.29731541650500098</v>
      </c>
      <c r="L65">
        <v>119635384.90191451</v>
      </c>
      <c r="M65" t="s">
        <v>287</v>
      </c>
      <c r="N65" t="s">
        <v>319</v>
      </c>
      <c r="O65" t="s">
        <v>319</v>
      </c>
      <c r="P65">
        <v>20471</v>
      </c>
      <c r="Q65">
        <v>15192</v>
      </c>
      <c r="R65">
        <v>5279</v>
      </c>
    </row>
    <row r="66" spans="1:18" x14ac:dyDescent="0.3">
      <c r="A66" t="s">
        <v>1086</v>
      </c>
      <c r="B66">
        <v>2022</v>
      </c>
      <c r="C66">
        <v>4.2263902481453641</v>
      </c>
      <c r="D66">
        <v>1678672.349142157</v>
      </c>
      <c r="E66">
        <v>4</v>
      </c>
      <c r="F66">
        <v>200</v>
      </c>
      <c r="G66">
        <v>2.7792971960189999E-4</v>
      </c>
      <c r="H66">
        <v>6</v>
      </c>
      <c r="I66">
        <v>1</v>
      </c>
      <c r="J66">
        <v>0.51991190906827611</v>
      </c>
      <c r="K66">
        <v>-0.316480949153156</v>
      </c>
      <c r="L66">
        <v>44956905.365974657</v>
      </c>
      <c r="M66" t="s">
        <v>20</v>
      </c>
      <c r="N66" t="s">
        <v>21</v>
      </c>
      <c r="O66" t="s">
        <v>35</v>
      </c>
      <c r="P66">
        <v>7027</v>
      </c>
      <c r="Q66">
        <v>3499</v>
      </c>
      <c r="R66">
        <v>3528</v>
      </c>
    </row>
    <row r="67" spans="1:18" x14ac:dyDescent="0.3">
      <c r="A67" t="s">
        <v>1087</v>
      </c>
      <c r="B67">
        <v>2022</v>
      </c>
      <c r="C67">
        <v>3.8807149894439248</v>
      </c>
      <c r="D67">
        <v>17899607.348284312</v>
      </c>
      <c r="E67">
        <v>47</v>
      </c>
      <c r="F67">
        <v>345</v>
      </c>
      <c r="G67">
        <v>5.0951552548989996E-4</v>
      </c>
      <c r="H67">
        <v>17</v>
      </c>
      <c r="I67">
        <v>0</v>
      </c>
      <c r="J67">
        <v>0.3399872641340636</v>
      </c>
      <c r="K67">
        <v>-0.30980335829476591</v>
      </c>
      <c r="L67">
        <v>51864417.489446573</v>
      </c>
      <c r="M67" t="s">
        <v>232</v>
      </c>
      <c r="N67" t="s">
        <v>233</v>
      </c>
      <c r="O67" t="s">
        <v>235</v>
      </c>
      <c r="P67">
        <v>6223</v>
      </c>
      <c r="Q67">
        <v>3494</v>
      </c>
      <c r="R67">
        <v>2729</v>
      </c>
    </row>
    <row r="68" spans="1:18" x14ac:dyDescent="0.3">
      <c r="A68" t="s">
        <v>1088</v>
      </c>
      <c r="B68">
        <v>2022</v>
      </c>
      <c r="C68">
        <v>1.3794936135199249</v>
      </c>
      <c r="D68">
        <v>304464.94485294109</v>
      </c>
      <c r="E68">
        <v>1</v>
      </c>
      <c r="F68">
        <v>70</v>
      </c>
      <c r="G68">
        <v>6.3550181205780003E-4</v>
      </c>
      <c r="H68">
        <v>7</v>
      </c>
      <c r="I68">
        <v>1</v>
      </c>
      <c r="J68">
        <v>0.56176586957751329</v>
      </c>
      <c r="K68">
        <v>-0.3435922251321793</v>
      </c>
      <c r="L68">
        <v>37101794.425209582</v>
      </c>
      <c r="M68" t="s">
        <v>20</v>
      </c>
      <c r="N68" t="s">
        <v>59</v>
      </c>
      <c r="O68" t="s">
        <v>66</v>
      </c>
      <c r="P68">
        <v>1779</v>
      </c>
      <c r="Q68">
        <v>870</v>
      </c>
      <c r="R68">
        <v>909</v>
      </c>
    </row>
    <row r="69" spans="1:18" x14ac:dyDescent="0.3">
      <c r="A69" t="s">
        <v>1089</v>
      </c>
      <c r="B69">
        <v>2022</v>
      </c>
      <c r="C69">
        <v>0.71181916183131488</v>
      </c>
      <c r="D69">
        <v>743550.78125</v>
      </c>
      <c r="E69">
        <v>1</v>
      </c>
      <c r="F69">
        <v>46</v>
      </c>
      <c r="G69">
        <v>5.3589530669580004E-4</v>
      </c>
      <c r="H69">
        <v>1</v>
      </c>
      <c r="I69">
        <v>0</v>
      </c>
      <c r="J69">
        <v>0.42347821631387628</v>
      </c>
      <c r="K69">
        <v>-0.314663918537193</v>
      </c>
      <c r="L69">
        <v>54966380.527086079</v>
      </c>
      <c r="M69" t="s">
        <v>499</v>
      </c>
      <c r="N69" t="s">
        <v>557</v>
      </c>
      <c r="O69" t="s">
        <v>558</v>
      </c>
      <c r="P69">
        <v>2244</v>
      </c>
      <c r="Q69">
        <v>535</v>
      </c>
      <c r="R69">
        <v>1709</v>
      </c>
    </row>
    <row r="70" spans="1:18" x14ac:dyDescent="0.3">
      <c r="A70" t="s">
        <v>1090</v>
      </c>
      <c r="B70">
        <v>2022</v>
      </c>
      <c r="C70">
        <v>11.97801969502507</v>
      </c>
      <c r="D70">
        <v>1778206.684375</v>
      </c>
      <c r="E70">
        <v>15</v>
      </c>
      <c r="F70">
        <v>188</v>
      </c>
      <c r="G70">
        <v>1.7209058086352E-3</v>
      </c>
      <c r="H70">
        <v>16</v>
      </c>
      <c r="I70">
        <v>2</v>
      </c>
      <c r="L70">
        <v>7573758.0401183376</v>
      </c>
      <c r="M70" t="s">
        <v>652</v>
      </c>
      <c r="N70" t="s">
        <v>772</v>
      </c>
      <c r="O70" t="s">
        <v>802</v>
      </c>
      <c r="P70">
        <v>6152</v>
      </c>
      <c r="Q70">
        <v>4283</v>
      </c>
      <c r="R70">
        <v>1869</v>
      </c>
    </row>
    <row r="71" spans="1:18" x14ac:dyDescent="0.3">
      <c r="A71" t="s">
        <v>1091</v>
      </c>
      <c r="B71">
        <v>2022</v>
      </c>
      <c r="C71">
        <v>1.773645167859256</v>
      </c>
      <c r="D71">
        <v>1402290.059742647</v>
      </c>
      <c r="E71">
        <v>2</v>
      </c>
      <c r="F71">
        <v>187</v>
      </c>
      <c r="G71">
        <v>1.1926743791687E-3</v>
      </c>
      <c r="H71">
        <v>2</v>
      </c>
      <c r="I71">
        <v>1</v>
      </c>
      <c r="J71">
        <v>0.63175474703743739</v>
      </c>
      <c r="K71">
        <v>-0.29376067699525038</v>
      </c>
      <c r="L71">
        <v>57571718.290260427</v>
      </c>
      <c r="M71" t="s">
        <v>730</v>
      </c>
      <c r="N71" t="s">
        <v>743</v>
      </c>
      <c r="O71" t="s">
        <v>743</v>
      </c>
      <c r="P71">
        <v>5601</v>
      </c>
      <c r="Q71">
        <v>3972</v>
      </c>
      <c r="R71">
        <v>1629</v>
      </c>
    </row>
    <row r="72" spans="1:18" x14ac:dyDescent="0.3">
      <c r="A72" t="s">
        <v>1092</v>
      </c>
      <c r="B72">
        <v>2022</v>
      </c>
      <c r="C72">
        <v>24.92380472323546</v>
      </c>
      <c r="D72">
        <v>8278236.9174019611</v>
      </c>
      <c r="E72">
        <v>36</v>
      </c>
      <c r="F72">
        <v>481</v>
      </c>
      <c r="G72">
        <v>6.0328579140010003E-4</v>
      </c>
      <c r="H72">
        <v>55</v>
      </c>
      <c r="I72">
        <v>6</v>
      </c>
      <c r="J72">
        <v>0.42507716582060961</v>
      </c>
      <c r="K72">
        <v>-0.34829741591522168</v>
      </c>
      <c r="L72">
        <v>13947128.15711464</v>
      </c>
      <c r="M72" t="s">
        <v>20</v>
      </c>
      <c r="N72" t="s">
        <v>21</v>
      </c>
      <c r="O72" t="s">
        <v>33</v>
      </c>
      <c r="P72">
        <v>26904</v>
      </c>
      <c r="Q72">
        <v>22262</v>
      </c>
      <c r="R72">
        <v>4642</v>
      </c>
    </row>
    <row r="73" spans="1:18" x14ac:dyDescent="0.3">
      <c r="A73" t="s">
        <v>1093</v>
      </c>
      <c r="B73">
        <v>2022</v>
      </c>
      <c r="C73">
        <v>11.33138118092111</v>
      </c>
      <c r="D73">
        <v>4712280.7338235294</v>
      </c>
      <c r="E73">
        <v>12</v>
      </c>
      <c r="F73">
        <v>440</v>
      </c>
      <c r="G73">
        <v>9.0887631104060005E-4</v>
      </c>
      <c r="H73">
        <v>12</v>
      </c>
      <c r="I73">
        <v>2</v>
      </c>
      <c r="J73">
        <v>0.36677421549390671</v>
      </c>
      <c r="K73">
        <v>-0.30900122730846308</v>
      </c>
      <c r="L73">
        <v>29038548.332060698</v>
      </c>
      <c r="M73" t="s">
        <v>460</v>
      </c>
      <c r="N73" t="s">
        <v>461</v>
      </c>
      <c r="O73" t="s">
        <v>145</v>
      </c>
      <c r="P73">
        <v>21370</v>
      </c>
      <c r="Q73">
        <v>15810</v>
      </c>
      <c r="R73">
        <v>5560</v>
      </c>
    </row>
    <row r="74" spans="1:18" x14ac:dyDescent="0.3">
      <c r="A74" t="s">
        <v>1094</v>
      </c>
      <c r="B74">
        <v>2022</v>
      </c>
      <c r="C74">
        <v>7.7933268777341027</v>
      </c>
      <c r="D74">
        <v>9746307.5666666664</v>
      </c>
      <c r="E74">
        <v>45</v>
      </c>
      <c r="F74">
        <v>453</v>
      </c>
      <c r="G74">
        <v>4.8520734390089998E-4</v>
      </c>
      <c r="H74">
        <v>13</v>
      </c>
      <c r="I74">
        <v>16</v>
      </c>
      <c r="J74">
        <v>0.41124509261419939</v>
      </c>
      <c r="K74">
        <v>-0.33110620103115651</v>
      </c>
      <c r="L74">
        <v>30647711.366911441</v>
      </c>
      <c r="M74" t="s">
        <v>124</v>
      </c>
      <c r="N74" t="s">
        <v>125</v>
      </c>
      <c r="O74" t="s">
        <v>128</v>
      </c>
      <c r="P74">
        <v>8591</v>
      </c>
      <c r="Q74">
        <v>5683</v>
      </c>
      <c r="R74">
        <v>2908</v>
      </c>
    </row>
    <row r="75" spans="1:18" x14ac:dyDescent="0.3">
      <c r="A75" t="s">
        <v>1095</v>
      </c>
      <c r="B75">
        <v>2022</v>
      </c>
      <c r="C75">
        <v>6.2614296192203218</v>
      </c>
      <c r="D75">
        <v>1885100.8011642159</v>
      </c>
      <c r="E75">
        <v>18</v>
      </c>
      <c r="F75">
        <v>182</v>
      </c>
      <c r="G75">
        <v>7.2858479247700004E-4</v>
      </c>
      <c r="H75">
        <v>16</v>
      </c>
      <c r="I75">
        <v>8</v>
      </c>
      <c r="J75">
        <v>0.47098744195034131</v>
      </c>
      <c r="K75">
        <v>-0.34318467169652911</v>
      </c>
      <c r="L75">
        <v>26775142.877814028</v>
      </c>
      <c r="M75" t="s">
        <v>124</v>
      </c>
      <c r="N75" t="s">
        <v>125</v>
      </c>
      <c r="O75" t="s">
        <v>116</v>
      </c>
      <c r="P75">
        <v>3614</v>
      </c>
      <c r="Q75">
        <v>2288</v>
      </c>
      <c r="R75">
        <v>1326</v>
      </c>
    </row>
    <row r="76" spans="1:18" x14ac:dyDescent="0.3">
      <c r="A76" t="s">
        <v>1096</v>
      </c>
      <c r="B76">
        <v>2022</v>
      </c>
      <c r="C76">
        <v>2.5425710294281152</v>
      </c>
      <c r="D76">
        <v>5032109.4267769596</v>
      </c>
      <c r="E76">
        <v>8</v>
      </c>
      <c r="F76">
        <v>283</v>
      </c>
      <c r="G76">
        <v>2.969537255878E-4</v>
      </c>
      <c r="H76">
        <v>31</v>
      </c>
      <c r="I76">
        <v>20</v>
      </c>
      <c r="J76">
        <v>0.60345829398304862</v>
      </c>
      <c r="K76">
        <v>-0.39150385152667538</v>
      </c>
      <c r="L76">
        <v>77597610.625594959</v>
      </c>
      <c r="M76" t="s">
        <v>124</v>
      </c>
      <c r="N76" t="s">
        <v>125</v>
      </c>
      <c r="O76" t="s">
        <v>127</v>
      </c>
      <c r="P76">
        <v>8921</v>
      </c>
      <c r="Q76">
        <v>6038</v>
      </c>
      <c r="R76">
        <v>2883</v>
      </c>
    </row>
    <row r="77" spans="1:18" x14ac:dyDescent="0.3">
      <c r="A77" t="s">
        <v>1097</v>
      </c>
      <c r="B77">
        <v>2022</v>
      </c>
      <c r="C77">
        <v>2.506061999059563</v>
      </c>
      <c r="D77">
        <v>8043268.3742034314</v>
      </c>
      <c r="E77">
        <v>11</v>
      </c>
      <c r="F77">
        <v>614</v>
      </c>
      <c r="G77">
        <v>1.17935080834E-4</v>
      </c>
      <c r="H77">
        <v>9</v>
      </c>
      <c r="I77">
        <v>6</v>
      </c>
      <c r="J77">
        <v>0.38477928884031037</v>
      </c>
      <c r="K77">
        <v>-0.33186584145464421</v>
      </c>
      <c r="L77">
        <v>184759342.810873</v>
      </c>
      <c r="M77" t="s">
        <v>20</v>
      </c>
      <c r="N77" t="s">
        <v>71</v>
      </c>
      <c r="O77" t="s">
        <v>71</v>
      </c>
      <c r="P77">
        <v>10406</v>
      </c>
      <c r="Q77">
        <v>7891</v>
      </c>
      <c r="R77">
        <v>2515</v>
      </c>
    </row>
    <row r="78" spans="1:18" x14ac:dyDescent="0.3">
      <c r="A78" t="s">
        <v>1098</v>
      </c>
      <c r="B78">
        <v>2022</v>
      </c>
      <c r="C78">
        <v>1.8523647941962511</v>
      </c>
      <c r="D78">
        <v>631992.45159313723</v>
      </c>
      <c r="E78">
        <v>3</v>
      </c>
      <c r="F78">
        <v>122</v>
      </c>
      <c r="G78">
        <v>4.2688082605540001E-4</v>
      </c>
      <c r="H78">
        <v>4</v>
      </c>
      <c r="I78">
        <v>3</v>
      </c>
      <c r="J78">
        <v>0.27356573577222082</v>
      </c>
      <c r="K78">
        <v>-0.24905465043005429</v>
      </c>
      <c r="L78">
        <v>42468218.748980649</v>
      </c>
      <c r="M78" t="s">
        <v>156</v>
      </c>
      <c r="N78" t="s">
        <v>97</v>
      </c>
      <c r="O78" t="s">
        <v>170</v>
      </c>
      <c r="P78">
        <v>2254</v>
      </c>
      <c r="Q78">
        <v>1350</v>
      </c>
      <c r="R78">
        <v>904</v>
      </c>
    </row>
    <row r="79" spans="1:18" x14ac:dyDescent="0.3">
      <c r="A79" t="s">
        <v>1099</v>
      </c>
      <c r="B79">
        <v>2022</v>
      </c>
      <c r="C79">
        <v>5.4706115210228283</v>
      </c>
      <c r="D79">
        <v>2044691.788602941</v>
      </c>
      <c r="E79">
        <v>16</v>
      </c>
      <c r="F79">
        <v>167</v>
      </c>
      <c r="G79">
        <v>5.4239145322550002E-4</v>
      </c>
      <c r="H79">
        <v>9</v>
      </c>
      <c r="I79">
        <v>3</v>
      </c>
      <c r="J79">
        <v>0.37872808757584631</v>
      </c>
      <c r="K79">
        <v>-0.29678826700010708</v>
      </c>
      <c r="L79">
        <v>16514786.912249461</v>
      </c>
      <c r="M79" t="s">
        <v>191</v>
      </c>
      <c r="N79" t="s">
        <v>218</v>
      </c>
      <c r="O79" t="s">
        <v>223</v>
      </c>
      <c r="P79">
        <v>4075</v>
      </c>
      <c r="Q79">
        <v>2316</v>
      </c>
      <c r="R79">
        <v>1759</v>
      </c>
    </row>
    <row r="80" spans="1:18" x14ac:dyDescent="0.3">
      <c r="A80" t="s">
        <v>1100</v>
      </c>
      <c r="B80">
        <v>2022</v>
      </c>
      <c r="C80">
        <v>5.1977843170390718</v>
      </c>
      <c r="D80">
        <v>4291615.9738970594</v>
      </c>
      <c r="E80">
        <v>16</v>
      </c>
      <c r="F80">
        <v>213</v>
      </c>
      <c r="G80">
        <v>7.0903608447530004E-4</v>
      </c>
      <c r="H80">
        <v>7</v>
      </c>
      <c r="I80">
        <v>6</v>
      </c>
      <c r="J80">
        <v>0.37956512929508468</v>
      </c>
      <c r="K80">
        <v>-0.3138385311741072</v>
      </c>
      <c r="L80">
        <v>45602953.826002978</v>
      </c>
      <c r="M80" t="s">
        <v>460</v>
      </c>
      <c r="N80" t="s">
        <v>473</v>
      </c>
      <c r="O80" t="s">
        <v>478</v>
      </c>
      <c r="P80">
        <v>8245</v>
      </c>
      <c r="Q80">
        <v>4760</v>
      </c>
      <c r="R80">
        <v>3485</v>
      </c>
    </row>
    <row r="81" spans="1:18" x14ac:dyDescent="0.3">
      <c r="A81" t="s">
        <v>1101</v>
      </c>
      <c r="B81">
        <v>2022</v>
      </c>
      <c r="C81">
        <v>1.198583537667026</v>
      </c>
      <c r="D81">
        <v>545341.08719362749</v>
      </c>
      <c r="E81">
        <v>4</v>
      </c>
      <c r="F81">
        <v>92</v>
      </c>
      <c r="G81">
        <v>6.5103960445170002E-4</v>
      </c>
      <c r="H81">
        <v>8</v>
      </c>
      <c r="I81">
        <v>0</v>
      </c>
      <c r="J81">
        <v>0.42573785027943117</v>
      </c>
      <c r="K81">
        <v>-0.38869808603134809</v>
      </c>
      <c r="L81">
        <v>96702544.099731818</v>
      </c>
      <c r="M81" t="s">
        <v>499</v>
      </c>
      <c r="N81" t="s">
        <v>557</v>
      </c>
      <c r="O81" t="s">
        <v>559</v>
      </c>
      <c r="P81">
        <v>972</v>
      </c>
      <c r="Q81">
        <v>248</v>
      </c>
      <c r="R81">
        <v>724</v>
      </c>
    </row>
    <row r="82" spans="1:18" x14ac:dyDescent="0.3">
      <c r="A82" t="s">
        <v>1102</v>
      </c>
      <c r="B82">
        <v>2022</v>
      </c>
      <c r="C82">
        <v>1.974968849809738</v>
      </c>
      <c r="D82">
        <v>397781.24528186268</v>
      </c>
      <c r="E82">
        <v>1</v>
      </c>
      <c r="F82">
        <v>98</v>
      </c>
      <c r="G82">
        <v>5.8169954243850002E-4</v>
      </c>
      <c r="H82">
        <v>2</v>
      </c>
      <c r="I82">
        <v>1</v>
      </c>
      <c r="J82">
        <v>0.53099509930457345</v>
      </c>
      <c r="K82">
        <v>-0.36002999509350569</v>
      </c>
      <c r="L82">
        <v>35774223.717953414</v>
      </c>
      <c r="M82" t="s">
        <v>20</v>
      </c>
      <c r="N82" t="s">
        <v>46</v>
      </c>
      <c r="O82" t="s">
        <v>51</v>
      </c>
      <c r="P82">
        <v>4696</v>
      </c>
      <c r="Q82">
        <v>1407</v>
      </c>
      <c r="R82">
        <v>3289</v>
      </c>
    </row>
    <row r="83" spans="1:18" x14ac:dyDescent="0.3">
      <c r="A83" t="s">
        <v>1103</v>
      </c>
      <c r="B83">
        <v>2022</v>
      </c>
      <c r="C83">
        <v>0.91633534384636095</v>
      </c>
      <c r="D83">
        <v>998323.5321078432</v>
      </c>
      <c r="E83">
        <v>5</v>
      </c>
      <c r="F83">
        <v>95</v>
      </c>
      <c r="G83">
        <v>4.7269959540109999E-4</v>
      </c>
      <c r="H83">
        <v>9</v>
      </c>
      <c r="I83">
        <v>1</v>
      </c>
      <c r="J83">
        <v>0.49559679706844151</v>
      </c>
      <c r="K83">
        <v>-0.37373386001664022</v>
      </c>
      <c r="L83">
        <v>77699639.637299612</v>
      </c>
      <c r="M83" t="s">
        <v>499</v>
      </c>
      <c r="N83" t="s">
        <v>557</v>
      </c>
      <c r="O83" t="s">
        <v>562</v>
      </c>
      <c r="P83">
        <v>1110</v>
      </c>
      <c r="Q83">
        <v>211</v>
      </c>
      <c r="R83">
        <v>899</v>
      </c>
    </row>
    <row r="84" spans="1:18" x14ac:dyDescent="0.3">
      <c r="A84" t="s">
        <v>1104</v>
      </c>
      <c r="B84">
        <v>2022</v>
      </c>
      <c r="C84">
        <v>0.99635045666023603</v>
      </c>
      <c r="D84">
        <v>3394763.1814338239</v>
      </c>
      <c r="E84">
        <v>1</v>
      </c>
      <c r="F84">
        <v>706</v>
      </c>
      <c r="G84">
        <v>3.333332845433E-4</v>
      </c>
      <c r="H84">
        <v>14</v>
      </c>
      <c r="I84">
        <v>1</v>
      </c>
      <c r="J84">
        <v>0.27747533540136049</v>
      </c>
      <c r="K84">
        <v>-0.27832672589689827</v>
      </c>
      <c r="L84">
        <v>771024593.17299366</v>
      </c>
      <c r="M84" t="s">
        <v>940</v>
      </c>
      <c r="N84" t="s">
        <v>940</v>
      </c>
      <c r="O84" t="s">
        <v>1005</v>
      </c>
      <c r="P84">
        <v>20544</v>
      </c>
      <c r="Q84">
        <v>10441</v>
      </c>
      <c r="R84">
        <v>10103</v>
      </c>
    </row>
    <row r="85" spans="1:18" x14ac:dyDescent="0.3">
      <c r="A85" t="s">
        <v>1105</v>
      </c>
      <c r="B85">
        <v>2022</v>
      </c>
      <c r="C85">
        <v>4.1397454302914589</v>
      </c>
      <c r="D85">
        <v>10311875.14963235</v>
      </c>
      <c r="E85">
        <v>56</v>
      </c>
      <c r="F85">
        <v>111</v>
      </c>
      <c r="G85">
        <v>1.4038769693273999E-3</v>
      </c>
      <c r="H85">
        <v>6</v>
      </c>
      <c r="I85">
        <v>2</v>
      </c>
      <c r="J85">
        <v>0.34259315308809779</v>
      </c>
      <c r="K85">
        <v>-0.28198176463538371</v>
      </c>
      <c r="L85">
        <v>37882764.940535873</v>
      </c>
      <c r="M85" t="s">
        <v>652</v>
      </c>
      <c r="N85" t="s">
        <v>817</v>
      </c>
      <c r="O85" t="s">
        <v>466</v>
      </c>
      <c r="P85">
        <v>4689</v>
      </c>
      <c r="Q85">
        <v>3073</v>
      </c>
      <c r="R85">
        <v>1616</v>
      </c>
    </row>
    <row r="86" spans="1:18" x14ac:dyDescent="0.3">
      <c r="A86" t="s">
        <v>1106</v>
      </c>
      <c r="B86">
        <v>2022</v>
      </c>
      <c r="C86">
        <v>5.8498380301395549</v>
      </c>
      <c r="D86">
        <v>308496.38909313717</v>
      </c>
      <c r="E86">
        <v>3</v>
      </c>
      <c r="F86">
        <v>111</v>
      </c>
      <c r="G86">
        <v>1.2398523985238999E-3</v>
      </c>
      <c r="H86">
        <v>9</v>
      </c>
      <c r="I86">
        <v>1</v>
      </c>
      <c r="J86">
        <v>0.4281247714109912</v>
      </c>
      <c r="K86">
        <v>-0.25537424631712902</v>
      </c>
      <c r="L86">
        <v>39127489.416809529</v>
      </c>
      <c r="M86" t="s">
        <v>406</v>
      </c>
      <c r="N86" t="s">
        <v>298</v>
      </c>
      <c r="O86" t="s">
        <v>427</v>
      </c>
      <c r="P86">
        <v>3761</v>
      </c>
      <c r="Q86">
        <v>1132</v>
      </c>
      <c r="R86">
        <v>2629</v>
      </c>
    </row>
    <row r="87" spans="1:18" x14ac:dyDescent="0.3">
      <c r="A87" t="s">
        <v>1107</v>
      </c>
      <c r="B87">
        <v>2022</v>
      </c>
      <c r="C87">
        <v>6.398989844522907</v>
      </c>
      <c r="D87">
        <v>2828613.645833333</v>
      </c>
      <c r="E87">
        <v>34</v>
      </c>
      <c r="F87">
        <v>157</v>
      </c>
      <c r="G87">
        <v>3.4475609534059999E-4</v>
      </c>
      <c r="H87">
        <v>11</v>
      </c>
      <c r="I87">
        <v>0</v>
      </c>
      <c r="J87">
        <v>0.50887666948724053</v>
      </c>
      <c r="K87">
        <v>-0.32951166991253328</v>
      </c>
      <c r="L87">
        <v>24540674.514061991</v>
      </c>
      <c r="M87" t="s">
        <v>20</v>
      </c>
      <c r="N87" t="s">
        <v>59</v>
      </c>
      <c r="O87" t="s">
        <v>61</v>
      </c>
      <c r="P87">
        <v>3392</v>
      </c>
      <c r="Q87">
        <v>2030</v>
      </c>
      <c r="R87">
        <v>1362</v>
      </c>
    </row>
    <row r="88" spans="1:18" x14ac:dyDescent="0.3">
      <c r="A88" t="s">
        <v>1108</v>
      </c>
      <c r="B88">
        <v>2022</v>
      </c>
      <c r="C88">
        <v>14.75400317620689</v>
      </c>
      <c r="D88">
        <v>9579240.8906862736</v>
      </c>
      <c r="E88">
        <v>25</v>
      </c>
      <c r="F88">
        <v>818</v>
      </c>
      <c r="G88">
        <v>5.3514228440339998E-4</v>
      </c>
      <c r="H88">
        <v>20</v>
      </c>
      <c r="I88">
        <v>3</v>
      </c>
      <c r="J88">
        <v>7.8912960264562501E-2</v>
      </c>
      <c r="K88">
        <v>-0.1462930698740095</v>
      </c>
      <c r="L88">
        <v>35695700.753802359</v>
      </c>
      <c r="M88" t="s">
        <v>940</v>
      </c>
      <c r="N88" t="s">
        <v>101</v>
      </c>
      <c r="O88" t="s">
        <v>1009</v>
      </c>
      <c r="P88">
        <v>36660</v>
      </c>
      <c r="Q88">
        <v>19498</v>
      </c>
      <c r="R88">
        <v>17162</v>
      </c>
    </row>
    <row r="89" spans="1:18" x14ac:dyDescent="0.3">
      <c r="A89" t="s">
        <v>1109</v>
      </c>
      <c r="B89">
        <v>2022</v>
      </c>
      <c r="C89">
        <v>0.5900822306610588</v>
      </c>
      <c r="D89">
        <v>87643.080882352951</v>
      </c>
      <c r="E89">
        <v>2</v>
      </c>
      <c r="F89">
        <v>33</v>
      </c>
      <c r="G89">
        <v>3.1595576619273002E-3</v>
      </c>
      <c r="H89">
        <v>3</v>
      </c>
      <c r="I89">
        <v>0</v>
      </c>
      <c r="J89">
        <v>0.57633419595072399</v>
      </c>
      <c r="K89">
        <v>-0.21622021926962429</v>
      </c>
      <c r="L89">
        <v>243934452.9997668</v>
      </c>
      <c r="M89" t="s">
        <v>730</v>
      </c>
      <c r="N89" t="s">
        <v>743</v>
      </c>
      <c r="O89" t="s">
        <v>745</v>
      </c>
      <c r="P89">
        <v>174</v>
      </c>
      <c r="Q89">
        <v>65</v>
      </c>
      <c r="R89">
        <v>109</v>
      </c>
    </row>
    <row r="90" spans="1:18" x14ac:dyDescent="0.3">
      <c r="A90" t="s">
        <v>1110</v>
      </c>
      <c r="B90">
        <v>2022</v>
      </c>
      <c r="C90">
        <v>19.156452340972571</v>
      </c>
      <c r="D90">
        <v>11986847.415073531</v>
      </c>
      <c r="E90">
        <v>84</v>
      </c>
      <c r="F90">
        <v>448</v>
      </c>
      <c r="G90">
        <v>4.112155178816E-4</v>
      </c>
      <c r="H90">
        <v>3</v>
      </c>
      <c r="I90">
        <v>12</v>
      </c>
      <c r="J90">
        <v>0.43904743302215621</v>
      </c>
      <c r="K90">
        <v>-0.32945363716600568</v>
      </c>
      <c r="L90">
        <v>75952661.447258249</v>
      </c>
      <c r="M90" t="s">
        <v>652</v>
      </c>
      <c r="N90" t="s">
        <v>772</v>
      </c>
      <c r="O90" t="s">
        <v>780</v>
      </c>
      <c r="P90">
        <v>18463</v>
      </c>
      <c r="Q90">
        <v>13594</v>
      </c>
      <c r="R90">
        <v>4869</v>
      </c>
    </row>
    <row r="91" spans="1:18" x14ac:dyDescent="0.3">
      <c r="A91" t="s">
        <v>1111</v>
      </c>
      <c r="B91">
        <v>2022</v>
      </c>
      <c r="C91">
        <v>0.67686622750580949</v>
      </c>
      <c r="D91">
        <v>3483975.0509803919</v>
      </c>
      <c r="E91">
        <v>4</v>
      </c>
      <c r="F91">
        <v>191</v>
      </c>
      <c r="G91">
        <v>2.2256228674329999E-4</v>
      </c>
      <c r="H91">
        <v>6</v>
      </c>
      <c r="I91">
        <v>22</v>
      </c>
      <c r="J91">
        <v>0.39122663617682357</v>
      </c>
      <c r="K91">
        <v>-0.32431252166764862</v>
      </c>
      <c r="L91">
        <v>126041686.988334</v>
      </c>
      <c r="M91" t="s">
        <v>191</v>
      </c>
      <c r="N91" t="s">
        <v>211</v>
      </c>
      <c r="O91" t="s">
        <v>213</v>
      </c>
      <c r="P91">
        <v>4109</v>
      </c>
      <c r="Q91">
        <v>90</v>
      </c>
      <c r="R91">
        <v>4019</v>
      </c>
    </row>
    <row r="92" spans="1:18" x14ac:dyDescent="0.3">
      <c r="A92" t="s">
        <v>1112</v>
      </c>
      <c r="B92">
        <v>2022</v>
      </c>
      <c r="C92">
        <v>1.686300076827207</v>
      </c>
      <c r="D92">
        <v>1020545.138357843</v>
      </c>
      <c r="E92">
        <v>5</v>
      </c>
      <c r="F92">
        <v>110</v>
      </c>
      <c r="G92">
        <v>2.0371303763440001E-3</v>
      </c>
      <c r="H92">
        <v>3</v>
      </c>
      <c r="I92">
        <v>1</v>
      </c>
      <c r="J92">
        <v>0.62299647973197592</v>
      </c>
      <c r="K92">
        <v>-0.30867113605722302</v>
      </c>
      <c r="L92">
        <v>89609156.909708321</v>
      </c>
      <c r="M92" t="s">
        <v>730</v>
      </c>
      <c r="N92" t="s">
        <v>748</v>
      </c>
      <c r="O92" t="s">
        <v>753</v>
      </c>
      <c r="P92">
        <v>2474</v>
      </c>
      <c r="Q92">
        <v>1267</v>
      </c>
      <c r="R92">
        <v>1207</v>
      </c>
    </row>
    <row r="93" spans="1:18" x14ac:dyDescent="0.3">
      <c r="A93" t="s">
        <v>1113</v>
      </c>
      <c r="B93">
        <v>2022</v>
      </c>
      <c r="C93">
        <v>4.868919136958076</v>
      </c>
      <c r="D93">
        <v>293773.09754901961</v>
      </c>
      <c r="E93">
        <v>10</v>
      </c>
      <c r="F93">
        <v>56</v>
      </c>
      <c r="G93">
        <v>2.2675736961451001E-3</v>
      </c>
      <c r="H93">
        <v>7</v>
      </c>
      <c r="I93">
        <v>1</v>
      </c>
      <c r="J93">
        <v>0.59159662315331574</v>
      </c>
      <c r="K93">
        <v>-0.38290352857378851</v>
      </c>
      <c r="L93">
        <v>6535497.8823005669</v>
      </c>
      <c r="M93" t="s">
        <v>124</v>
      </c>
      <c r="N93" t="s">
        <v>133</v>
      </c>
      <c r="O93" t="s">
        <v>136</v>
      </c>
      <c r="P93">
        <v>1078</v>
      </c>
      <c r="Q93">
        <v>377</v>
      </c>
      <c r="R93">
        <v>701</v>
      </c>
    </row>
    <row r="94" spans="1:18" x14ac:dyDescent="0.3">
      <c r="A94" t="s">
        <v>1114</v>
      </c>
      <c r="B94">
        <v>2022</v>
      </c>
      <c r="C94">
        <v>1.9317359860824941</v>
      </c>
      <c r="D94">
        <v>2461767.046629902</v>
      </c>
      <c r="E94">
        <v>6</v>
      </c>
      <c r="F94">
        <v>277</v>
      </c>
      <c r="G94">
        <v>5.0569141374140003E-4</v>
      </c>
      <c r="H94">
        <v>5</v>
      </c>
      <c r="I94">
        <v>4</v>
      </c>
      <c r="J94">
        <v>0.27079568191001352</v>
      </c>
      <c r="K94">
        <v>-0.2753936531540398</v>
      </c>
      <c r="L94">
        <v>125942443.6147677</v>
      </c>
      <c r="M94" t="s">
        <v>460</v>
      </c>
      <c r="N94" t="s">
        <v>461</v>
      </c>
      <c r="O94" t="s">
        <v>463</v>
      </c>
      <c r="P94">
        <v>6142</v>
      </c>
      <c r="Q94">
        <v>3892</v>
      </c>
      <c r="R94">
        <v>2250</v>
      </c>
    </row>
    <row r="95" spans="1:18" x14ac:dyDescent="0.3">
      <c r="A95" t="s">
        <v>1115</v>
      </c>
      <c r="B95">
        <v>2022</v>
      </c>
      <c r="C95">
        <v>13.253881790482099</v>
      </c>
      <c r="D95">
        <v>5043379.8027573526</v>
      </c>
      <c r="E95">
        <v>19</v>
      </c>
      <c r="F95">
        <v>470</v>
      </c>
      <c r="G95">
        <v>1.1618957288997999E-3</v>
      </c>
      <c r="H95">
        <v>7</v>
      </c>
      <c r="I95">
        <v>8</v>
      </c>
      <c r="J95">
        <v>0.36783502878351271</v>
      </c>
      <c r="K95">
        <v>-0.32101547797176189</v>
      </c>
      <c r="L95">
        <v>22420950.076243792</v>
      </c>
      <c r="M95" t="s">
        <v>460</v>
      </c>
      <c r="N95" t="s">
        <v>468</v>
      </c>
      <c r="O95" t="s">
        <v>469</v>
      </c>
      <c r="P95">
        <v>28066</v>
      </c>
      <c r="Q95">
        <v>22981</v>
      </c>
      <c r="R95">
        <v>5085</v>
      </c>
    </row>
    <row r="96" spans="1:18" x14ac:dyDescent="0.3">
      <c r="A96" t="s">
        <v>1116</v>
      </c>
      <c r="B96">
        <v>2022</v>
      </c>
      <c r="C96">
        <v>1.6774922327016599</v>
      </c>
      <c r="D96">
        <v>3215039.7272671568</v>
      </c>
      <c r="E96">
        <v>2</v>
      </c>
      <c r="F96">
        <v>335</v>
      </c>
      <c r="G96">
        <v>3.4091843064930002E-4</v>
      </c>
      <c r="H96">
        <v>9</v>
      </c>
      <c r="I96">
        <v>0</v>
      </c>
      <c r="J96">
        <v>0.44079350324722738</v>
      </c>
      <c r="K96">
        <v>-0.17115687084035761</v>
      </c>
      <c r="L96">
        <v>171144875.35615221</v>
      </c>
      <c r="M96" t="s">
        <v>586</v>
      </c>
      <c r="N96" t="s">
        <v>591</v>
      </c>
      <c r="O96" t="s">
        <v>591</v>
      </c>
      <c r="P96">
        <v>21564</v>
      </c>
      <c r="Q96">
        <v>5496</v>
      </c>
      <c r="R96">
        <v>16068</v>
      </c>
    </row>
    <row r="97" spans="1:18" x14ac:dyDescent="0.3">
      <c r="A97" t="s">
        <v>1117</v>
      </c>
      <c r="B97">
        <v>2022</v>
      </c>
      <c r="C97">
        <v>0.88506223812493146</v>
      </c>
      <c r="D97">
        <v>938718.44454656879</v>
      </c>
      <c r="E97">
        <v>2</v>
      </c>
      <c r="F97">
        <v>150</v>
      </c>
      <c r="G97">
        <v>9.2561410321089996E-4</v>
      </c>
      <c r="H97">
        <v>2</v>
      </c>
      <c r="I97">
        <v>1</v>
      </c>
      <c r="J97">
        <v>0.42605113617997947</v>
      </c>
      <c r="K97">
        <v>-0.12741699018793939</v>
      </c>
      <c r="L97">
        <v>287341123.16906089</v>
      </c>
      <c r="M97" t="s">
        <v>674</v>
      </c>
      <c r="N97" t="s">
        <v>121</v>
      </c>
      <c r="O97" t="s">
        <v>702</v>
      </c>
      <c r="P97">
        <v>3358</v>
      </c>
      <c r="Q97">
        <v>1975</v>
      </c>
      <c r="R97">
        <v>1383</v>
      </c>
    </row>
    <row r="98" spans="1:18" x14ac:dyDescent="0.3">
      <c r="A98" t="s">
        <v>1118</v>
      </c>
      <c r="B98">
        <v>2022</v>
      </c>
      <c r="C98">
        <v>0.84827329907151694</v>
      </c>
      <c r="D98">
        <v>495651.96875</v>
      </c>
      <c r="E98">
        <v>2</v>
      </c>
      <c r="F98">
        <v>64</v>
      </c>
      <c r="G98">
        <v>2.1579022468086002E-3</v>
      </c>
      <c r="H98">
        <v>5</v>
      </c>
      <c r="I98">
        <v>0</v>
      </c>
      <c r="J98">
        <v>0.57172475604231132</v>
      </c>
      <c r="K98">
        <v>-0.23065114904045131</v>
      </c>
      <c r="L98">
        <v>127403104.0982175</v>
      </c>
      <c r="M98" t="s">
        <v>874</v>
      </c>
      <c r="N98" t="s">
        <v>898</v>
      </c>
      <c r="O98" t="s">
        <v>900</v>
      </c>
      <c r="P98">
        <v>1724</v>
      </c>
      <c r="Q98">
        <v>768</v>
      </c>
      <c r="R98">
        <v>956</v>
      </c>
    </row>
    <row r="99" spans="1:18" x14ac:dyDescent="0.3">
      <c r="A99" t="s">
        <v>1119</v>
      </c>
      <c r="B99">
        <v>2022</v>
      </c>
      <c r="C99">
        <v>6.9269461305052458</v>
      </c>
      <c r="D99">
        <v>2161899.6732230391</v>
      </c>
      <c r="E99">
        <v>24</v>
      </c>
      <c r="F99">
        <v>191</v>
      </c>
      <c r="G99">
        <v>2.739271465142E-4</v>
      </c>
      <c r="H99">
        <v>5</v>
      </c>
      <c r="I99">
        <v>6</v>
      </c>
      <c r="L99">
        <v>72666203.249821156</v>
      </c>
      <c r="M99" t="s">
        <v>652</v>
      </c>
      <c r="N99" t="s">
        <v>772</v>
      </c>
      <c r="O99" t="s">
        <v>796</v>
      </c>
      <c r="P99">
        <v>5152</v>
      </c>
      <c r="Q99">
        <v>3246</v>
      </c>
      <c r="R99">
        <v>1906</v>
      </c>
    </row>
    <row r="100" spans="1:18" x14ac:dyDescent="0.3">
      <c r="A100" t="s">
        <v>1120</v>
      </c>
      <c r="B100">
        <v>2022</v>
      </c>
      <c r="C100">
        <v>11.251790366598501</v>
      </c>
      <c r="D100">
        <v>817035.22187500005</v>
      </c>
      <c r="E100">
        <v>11</v>
      </c>
      <c r="F100">
        <v>235</v>
      </c>
      <c r="G100">
        <v>2.020539620807E-3</v>
      </c>
      <c r="H100">
        <v>12</v>
      </c>
      <c r="I100">
        <v>4</v>
      </c>
      <c r="J100">
        <v>0.31932828937218161</v>
      </c>
      <c r="K100">
        <v>-0.25599928896283891</v>
      </c>
      <c r="L100">
        <v>10131644.96673909</v>
      </c>
      <c r="M100" t="s">
        <v>460</v>
      </c>
      <c r="N100" t="s">
        <v>481</v>
      </c>
      <c r="O100" t="s">
        <v>482</v>
      </c>
      <c r="P100">
        <v>6913</v>
      </c>
      <c r="Q100">
        <v>3583</v>
      </c>
      <c r="R100">
        <v>3330</v>
      </c>
    </row>
    <row r="101" spans="1:18" x14ac:dyDescent="0.3">
      <c r="A101" t="s">
        <v>1121</v>
      </c>
      <c r="B101">
        <v>2022</v>
      </c>
      <c r="C101">
        <v>5.1461571910546704</v>
      </c>
      <c r="D101">
        <v>3204864.0896446081</v>
      </c>
      <c r="E101">
        <v>12</v>
      </c>
      <c r="F101">
        <v>282</v>
      </c>
      <c r="G101">
        <v>5.1561326863279998E-4</v>
      </c>
      <c r="H101">
        <v>3</v>
      </c>
      <c r="I101">
        <v>6</v>
      </c>
      <c r="J101">
        <v>0.4428699353274933</v>
      </c>
      <c r="K101">
        <v>-0.31951883693370742</v>
      </c>
      <c r="L101">
        <v>87698890.641658172</v>
      </c>
      <c r="M101" t="s">
        <v>652</v>
      </c>
      <c r="N101" t="s">
        <v>772</v>
      </c>
      <c r="O101" t="s">
        <v>25</v>
      </c>
      <c r="P101">
        <v>11455</v>
      </c>
      <c r="Q101">
        <v>8172</v>
      </c>
      <c r="R101">
        <v>3283</v>
      </c>
    </row>
    <row r="102" spans="1:18" x14ac:dyDescent="0.3">
      <c r="A102" t="s">
        <v>1122</v>
      </c>
      <c r="B102">
        <v>2022</v>
      </c>
      <c r="C102">
        <v>4.2850521600282372</v>
      </c>
      <c r="D102">
        <v>10981029.82696078</v>
      </c>
      <c r="E102">
        <v>23</v>
      </c>
      <c r="F102">
        <v>449</v>
      </c>
      <c r="G102">
        <v>3.1135892236039999E-4</v>
      </c>
      <c r="H102">
        <v>13</v>
      </c>
      <c r="I102">
        <v>2</v>
      </c>
      <c r="J102">
        <v>0.48165275022585308</v>
      </c>
      <c r="K102">
        <v>-0.39138211025852893</v>
      </c>
      <c r="L102">
        <v>76187341.005297109</v>
      </c>
      <c r="M102" t="s">
        <v>124</v>
      </c>
      <c r="N102" t="s">
        <v>124</v>
      </c>
      <c r="O102" t="s">
        <v>124</v>
      </c>
      <c r="P102">
        <v>17183</v>
      </c>
      <c r="Q102">
        <v>13086</v>
      </c>
      <c r="R102">
        <v>4097</v>
      </c>
    </row>
    <row r="103" spans="1:18" x14ac:dyDescent="0.3">
      <c r="A103" t="s">
        <v>1123</v>
      </c>
      <c r="B103">
        <v>2022</v>
      </c>
      <c r="C103">
        <v>1.6818590420920601</v>
      </c>
      <c r="D103">
        <v>1489862.375</v>
      </c>
      <c r="E103">
        <v>2</v>
      </c>
      <c r="F103">
        <v>215</v>
      </c>
      <c r="G103">
        <v>3.033126349267E-4</v>
      </c>
      <c r="H103">
        <v>9</v>
      </c>
      <c r="I103">
        <v>5</v>
      </c>
      <c r="J103">
        <v>0.44338108859278458</v>
      </c>
      <c r="K103">
        <v>-0.27764700203818538</v>
      </c>
      <c r="L103">
        <v>92605695.418687493</v>
      </c>
      <c r="M103" t="s">
        <v>156</v>
      </c>
      <c r="N103" t="s">
        <v>157</v>
      </c>
      <c r="O103" t="s">
        <v>159</v>
      </c>
      <c r="P103">
        <v>10593</v>
      </c>
      <c r="Q103">
        <v>5294</v>
      </c>
      <c r="R103">
        <v>5299</v>
      </c>
    </row>
    <row r="104" spans="1:18" x14ac:dyDescent="0.3">
      <c r="A104" t="s">
        <v>1124</v>
      </c>
      <c r="B104">
        <v>2022</v>
      </c>
      <c r="C104">
        <v>0.50291289718250587</v>
      </c>
      <c r="D104">
        <v>496629.59375</v>
      </c>
      <c r="E104">
        <v>5</v>
      </c>
      <c r="F104">
        <v>4</v>
      </c>
      <c r="G104">
        <v>0.125</v>
      </c>
      <c r="H104">
        <v>1</v>
      </c>
      <c r="I104">
        <v>1</v>
      </c>
      <c r="J104">
        <v>0.5745326195490531</v>
      </c>
      <c r="K104">
        <v>-0.18243151171734781</v>
      </c>
      <c r="L104">
        <v>849485573.50067782</v>
      </c>
      <c r="M104" t="s">
        <v>959</v>
      </c>
      <c r="N104" t="s">
        <v>971</v>
      </c>
      <c r="O104" t="s">
        <v>976</v>
      </c>
      <c r="P104">
        <v>422</v>
      </c>
      <c r="Q104">
        <v>61</v>
      </c>
      <c r="R104">
        <v>361</v>
      </c>
    </row>
    <row r="105" spans="1:18" x14ac:dyDescent="0.3">
      <c r="A105" t="s">
        <v>1125</v>
      </c>
      <c r="B105">
        <v>2022</v>
      </c>
      <c r="C105">
        <v>0.75207390119943873</v>
      </c>
      <c r="D105">
        <v>495559.765625</v>
      </c>
      <c r="E105">
        <v>2</v>
      </c>
      <c r="F105">
        <v>80</v>
      </c>
      <c r="G105">
        <v>3.8475271782420002E-4</v>
      </c>
      <c r="H105">
        <v>2</v>
      </c>
      <c r="I105">
        <v>3</v>
      </c>
      <c r="J105">
        <v>0.46659628600702918</v>
      </c>
      <c r="K105">
        <v>-0.3160939301082491</v>
      </c>
      <c r="L105">
        <v>108628251.6965344</v>
      </c>
      <c r="M105" t="s">
        <v>499</v>
      </c>
      <c r="N105" t="s">
        <v>499</v>
      </c>
      <c r="O105" t="s">
        <v>502</v>
      </c>
      <c r="P105">
        <v>1622</v>
      </c>
      <c r="Q105">
        <v>752</v>
      </c>
      <c r="R105">
        <v>870</v>
      </c>
    </row>
    <row r="106" spans="1:18" x14ac:dyDescent="0.3">
      <c r="A106" t="s">
        <v>1126</v>
      </c>
      <c r="B106">
        <v>2022</v>
      </c>
      <c r="C106">
        <v>7.8459288258120568</v>
      </c>
      <c r="D106">
        <v>1127218.9616421571</v>
      </c>
      <c r="E106">
        <v>13</v>
      </c>
      <c r="F106">
        <v>145</v>
      </c>
      <c r="G106">
        <v>8.2532986741809999E-4</v>
      </c>
      <c r="H106">
        <v>5</v>
      </c>
      <c r="I106">
        <v>3</v>
      </c>
      <c r="J106">
        <v>0.33199848778111613</v>
      </c>
      <c r="K106">
        <v>-0.37055919278718358</v>
      </c>
      <c r="L106">
        <v>14674615.99576026</v>
      </c>
      <c r="M106" t="s">
        <v>97</v>
      </c>
      <c r="N106" t="s">
        <v>109</v>
      </c>
      <c r="O106" t="s">
        <v>110</v>
      </c>
      <c r="P106">
        <v>6015</v>
      </c>
      <c r="Q106">
        <v>4202</v>
      </c>
      <c r="R106">
        <v>1813</v>
      </c>
    </row>
    <row r="107" spans="1:18" x14ac:dyDescent="0.3">
      <c r="A107" t="s">
        <v>1127</v>
      </c>
      <c r="B107">
        <v>2022</v>
      </c>
      <c r="C107">
        <v>1.513541682245368</v>
      </c>
      <c r="D107">
        <v>1058946.872794118</v>
      </c>
      <c r="E107">
        <v>5</v>
      </c>
      <c r="F107">
        <v>204</v>
      </c>
      <c r="G107">
        <v>3.8563569065520003E-4</v>
      </c>
      <c r="H107">
        <v>9</v>
      </c>
      <c r="I107">
        <v>6</v>
      </c>
      <c r="J107">
        <v>0.56346866500773662</v>
      </c>
      <c r="K107">
        <v>-0.37764555240408959</v>
      </c>
      <c r="L107">
        <v>120213890.75005411</v>
      </c>
      <c r="M107" t="s">
        <v>20</v>
      </c>
      <c r="N107" t="s">
        <v>69</v>
      </c>
      <c r="O107" t="s">
        <v>69</v>
      </c>
      <c r="P107">
        <v>2985</v>
      </c>
      <c r="Q107">
        <v>1936</v>
      </c>
      <c r="R107">
        <v>1049</v>
      </c>
    </row>
    <row r="108" spans="1:18" x14ac:dyDescent="0.3">
      <c r="A108" t="s">
        <v>1128</v>
      </c>
      <c r="B108">
        <v>2022</v>
      </c>
      <c r="C108">
        <v>3.392128393306304</v>
      </c>
      <c r="D108">
        <v>3722206.15625</v>
      </c>
      <c r="E108">
        <v>12</v>
      </c>
      <c r="F108">
        <v>324</v>
      </c>
      <c r="G108">
        <v>3.1539558858259997E-4</v>
      </c>
      <c r="H108">
        <v>6</v>
      </c>
      <c r="I108">
        <v>0</v>
      </c>
      <c r="J108">
        <v>0.38605692295537852</v>
      </c>
      <c r="K108">
        <v>-0.31486935064806371</v>
      </c>
      <c r="L108">
        <v>53092715.861168183</v>
      </c>
      <c r="M108" t="s">
        <v>232</v>
      </c>
      <c r="N108" t="s">
        <v>244</v>
      </c>
      <c r="O108" t="s">
        <v>244</v>
      </c>
      <c r="P108">
        <v>10102</v>
      </c>
      <c r="Q108">
        <v>5735</v>
      </c>
      <c r="R108">
        <v>4367</v>
      </c>
    </row>
    <row r="109" spans="1:18" x14ac:dyDescent="0.3">
      <c r="A109" t="s">
        <v>1129</v>
      </c>
      <c r="B109">
        <v>2022</v>
      </c>
      <c r="C109">
        <v>4.940534233041614</v>
      </c>
      <c r="D109">
        <v>7335642.8530024504</v>
      </c>
      <c r="E109">
        <v>30</v>
      </c>
      <c r="F109">
        <v>482</v>
      </c>
      <c r="G109">
        <v>2.3460252176889999E-4</v>
      </c>
      <c r="H109">
        <v>29</v>
      </c>
      <c r="I109">
        <v>6</v>
      </c>
      <c r="J109">
        <v>0.60615276227752479</v>
      </c>
      <c r="K109">
        <v>-0.38383428697768929</v>
      </c>
      <c r="L109">
        <v>59946403.568803944</v>
      </c>
      <c r="M109" t="s">
        <v>124</v>
      </c>
      <c r="N109" t="s">
        <v>133</v>
      </c>
      <c r="O109" t="s">
        <v>133</v>
      </c>
      <c r="P109">
        <v>12375</v>
      </c>
      <c r="Q109">
        <v>7825</v>
      </c>
      <c r="R109">
        <v>4550</v>
      </c>
    </row>
    <row r="110" spans="1:18" x14ac:dyDescent="0.3">
      <c r="A110" t="s">
        <v>1130</v>
      </c>
      <c r="B110">
        <v>2022</v>
      </c>
      <c r="C110">
        <v>2.289243369595058</v>
      </c>
      <c r="D110">
        <v>578704.2323529413</v>
      </c>
      <c r="E110">
        <v>10</v>
      </c>
      <c r="F110">
        <v>64</v>
      </c>
      <c r="G110">
        <v>1.1737007928538999E-3</v>
      </c>
      <c r="H110">
        <v>10</v>
      </c>
      <c r="I110">
        <v>0</v>
      </c>
      <c r="J110">
        <v>0.47487280010798488</v>
      </c>
      <c r="K110">
        <v>-0.262574750730868</v>
      </c>
      <c r="L110">
        <v>30609471.61896506</v>
      </c>
      <c r="M110" t="s">
        <v>20</v>
      </c>
      <c r="N110" t="s">
        <v>46</v>
      </c>
      <c r="O110" t="s">
        <v>50</v>
      </c>
      <c r="P110">
        <v>1380</v>
      </c>
      <c r="Q110">
        <v>804</v>
      </c>
      <c r="R110">
        <v>576</v>
      </c>
    </row>
    <row r="111" spans="1:18" x14ac:dyDescent="0.3">
      <c r="A111" t="s">
        <v>1131</v>
      </c>
      <c r="B111">
        <v>2022</v>
      </c>
      <c r="C111">
        <v>1.8011395138739821</v>
      </c>
      <c r="D111">
        <v>993268.703125</v>
      </c>
      <c r="E111">
        <v>8</v>
      </c>
      <c r="F111">
        <v>116</v>
      </c>
      <c r="G111">
        <v>1.1090211447543001E-3</v>
      </c>
      <c r="H111">
        <v>7</v>
      </c>
      <c r="I111">
        <v>3</v>
      </c>
      <c r="J111">
        <v>0.39225901006081831</v>
      </c>
      <c r="K111">
        <v>-0.31136607229491231</v>
      </c>
      <c r="L111">
        <v>76562607.72302264</v>
      </c>
      <c r="M111" t="s">
        <v>460</v>
      </c>
      <c r="N111" t="s">
        <v>461</v>
      </c>
      <c r="O111" t="s">
        <v>101</v>
      </c>
      <c r="P111">
        <v>2367</v>
      </c>
      <c r="Q111">
        <v>1686</v>
      </c>
      <c r="R111">
        <v>681</v>
      </c>
    </row>
    <row r="112" spans="1:18" x14ac:dyDescent="0.3">
      <c r="A112" t="s">
        <v>1132</v>
      </c>
      <c r="B112">
        <v>2022</v>
      </c>
      <c r="C112">
        <v>8.252692561950397</v>
      </c>
      <c r="D112">
        <v>3971155.265625</v>
      </c>
      <c r="E112">
        <v>16</v>
      </c>
      <c r="F112">
        <v>254</v>
      </c>
      <c r="G112">
        <v>7.8807479275860002E-4</v>
      </c>
      <c r="H112">
        <v>8</v>
      </c>
      <c r="I112">
        <v>2</v>
      </c>
      <c r="J112">
        <v>0.26713928432720069</v>
      </c>
      <c r="K112">
        <v>-0.25312834911869148</v>
      </c>
      <c r="L112">
        <v>71846739.981580824</v>
      </c>
      <c r="M112" t="s">
        <v>406</v>
      </c>
      <c r="N112" t="s">
        <v>454</v>
      </c>
      <c r="O112" t="s">
        <v>454</v>
      </c>
      <c r="P112">
        <v>22188</v>
      </c>
      <c r="Q112">
        <v>9267</v>
      </c>
      <c r="R112">
        <v>12921</v>
      </c>
    </row>
    <row r="113" spans="1:18" x14ac:dyDescent="0.3">
      <c r="A113" t="s">
        <v>1133</v>
      </c>
      <c r="B113">
        <v>2022</v>
      </c>
      <c r="C113">
        <v>5.9200283946735563</v>
      </c>
      <c r="D113">
        <v>248325.625</v>
      </c>
      <c r="E113">
        <v>6</v>
      </c>
      <c r="F113">
        <v>86</v>
      </c>
      <c r="G113">
        <v>1.0548400803866E-3</v>
      </c>
      <c r="H113">
        <v>8</v>
      </c>
      <c r="I113">
        <v>0</v>
      </c>
      <c r="J113">
        <v>0.66123948269754418</v>
      </c>
      <c r="K113">
        <v>-0.29532344794277299</v>
      </c>
      <c r="L113">
        <v>498796479.2906372</v>
      </c>
      <c r="M113" t="s">
        <v>922</v>
      </c>
      <c r="N113" t="s">
        <v>935</v>
      </c>
      <c r="O113" t="s">
        <v>941</v>
      </c>
      <c r="P113">
        <v>2667</v>
      </c>
      <c r="Q113">
        <v>307</v>
      </c>
      <c r="R113">
        <v>2360</v>
      </c>
    </row>
    <row r="114" spans="1:18" x14ac:dyDescent="0.3">
      <c r="A114" t="s">
        <v>1134</v>
      </c>
      <c r="B114">
        <v>2022</v>
      </c>
      <c r="C114">
        <v>26.025714569778401</v>
      </c>
      <c r="D114">
        <v>5711429.796875</v>
      </c>
      <c r="E114">
        <v>64</v>
      </c>
      <c r="F114">
        <v>711</v>
      </c>
      <c r="G114">
        <v>5.8843930341020002E-4</v>
      </c>
      <c r="H114">
        <v>13</v>
      </c>
      <c r="I114">
        <v>9</v>
      </c>
      <c r="J114">
        <v>0.55820738834784522</v>
      </c>
      <c r="K114">
        <v>-0.2927019614786715</v>
      </c>
      <c r="L114">
        <v>191325549.84620291</v>
      </c>
      <c r="M114" t="s">
        <v>959</v>
      </c>
      <c r="N114" t="s">
        <v>977</v>
      </c>
      <c r="O114" t="s">
        <v>977</v>
      </c>
      <c r="P114">
        <v>25968</v>
      </c>
      <c r="Q114">
        <v>8323</v>
      </c>
      <c r="R114">
        <v>17645</v>
      </c>
    </row>
    <row r="115" spans="1:18" x14ac:dyDescent="0.3">
      <c r="A115" t="s">
        <v>1135</v>
      </c>
      <c r="B115">
        <v>2022</v>
      </c>
      <c r="C115">
        <v>0.75816464102605263</v>
      </c>
      <c r="D115">
        <v>1241338.640625</v>
      </c>
      <c r="E115">
        <v>3</v>
      </c>
      <c r="F115">
        <v>170</v>
      </c>
      <c r="G115">
        <v>8.851557848114E-4</v>
      </c>
      <c r="H115">
        <v>3</v>
      </c>
      <c r="I115">
        <v>5</v>
      </c>
      <c r="J115">
        <v>0.70830227269726398</v>
      </c>
      <c r="K115">
        <v>-0.30441436734359961</v>
      </c>
      <c r="L115">
        <v>243443063.40325409</v>
      </c>
      <c r="M115" t="s">
        <v>756</v>
      </c>
      <c r="N115" t="s">
        <v>769</v>
      </c>
      <c r="O115" t="s">
        <v>769</v>
      </c>
      <c r="P115">
        <v>3642</v>
      </c>
      <c r="Q115">
        <v>1898</v>
      </c>
      <c r="R115">
        <v>1744</v>
      </c>
    </row>
    <row r="116" spans="1:18" x14ac:dyDescent="0.3">
      <c r="A116" t="s">
        <v>1136</v>
      </c>
      <c r="B116">
        <v>2022</v>
      </c>
      <c r="C116">
        <v>27.94598435340972</v>
      </c>
      <c r="D116">
        <v>13991572.75116422</v>
      </c>
      <c r="E116">
        <v>132</v>
      </c>
      <c r="F116">
        <v>793</v>
      </c>
      <c r="G116">
        <v>9.4865080774009995E-4</v>
      </c>
      <c r="H116">
        <v>6</v>
      </c>
      <c r="I116">
        <v>8</v>
      </c>
      <c r="J116">
        <v>1.8730404506421501E-2</v>
      </c>
      <c r="K116">
        <v>-8.1028648066845996E-2</v>
      </c>
      <c r="L116">
        <v>17124925.87614895</v>
      </c>
      <c r="M116" t="s">
        <v>940</v>
      </c>
      <c r="N116" t="s">
        <v>101</v>
      </c>
      <c r="O116" t="s">
        <v>101</v>
      </c>
      <c r="P116">
        <v>35048</v>
      </c>
      <c r="Q116">
        <v>22347</v>
      </c>
      <c r="R116">
        <v>12701</v>
      </c>
    </row>
    <row r="117" spans="1:18" x14ac:dyDescent="0.3">
      <c r="A117" t="s">
        <v>1137</v>
      </c>
      <c r="B117">
        <v>2022</v>
      </c>
      <c r="C117">
        <v>0.67432476881311454</v>
      </c>
      <c r="D117">
        <v>495756.34375</v>
      </c>
      <c r="E117">
        <v>2</v>
      </c>
      <c r="F117">
        <v>96</v>
      </c>
      <c r="G117">
        <v>3.2288586952700001E-4</v>
      </c>
      <c r="H117">
        <v>4</v>
      </c>
      <c r="I117">
        <v>0</v>
      </c>
      <c r="J117">
        <v>0.48481438333079407</v>
      </c>
      <c r="K117">
        <v>-0.33276776411048409</v>
      </c>
      <c r="L117">
        <v>181284461.5066494</v>
      </c>
      <c r="M117" t="s">
        <v>499</v>
      </c>
      <c r="N117" t="s">
        <v>557</v>
      </c>
      <c r="O117" t="s">
        <v>561</v>
      </c>
      <c r="P117">
        <v>2142</v>
      </c>
      <c r="Q117">
        <v>635</v>
      </c>
      <c r="R117">
        <v>1507</v>
      </c>
    </row>
    <row r="118" spans="1:18" x14ac:dyDescent="0.3">
      <c r="A118" t="s">
        <v>1138</v>
      </c>
      <c r="B118">
        <v>2022</v>
      </c>
      <c r="C118">
        <v>0.97951838026564297</v>
      </c>
      <c r="D118">
        <v>52529.12205882353</v>
      </c>
      <c r="E118">
        <v>1</v>
      </c>
      <c r="F118">
        <v>53</v>
      </c>
      <c r="G118">
        <v>1.6233174516389001E-3</v>
      </c>
      <c r="H118">
        <v>3</v>
      </c>
      <c r="I118">
        <v>0</v>
      </c>
      <c r="J118">
        <v>0.48513553862093989</v>
      </c>
      <c r="K118">
        <v>-0.1461597836932983</v>
      </c>
      <c r="L118">
        <v>101112437.51520351</v>
      </c>
      <c r="M118" t="s">
        <v>674</v>
      </c>
      <c r="N118" t="s">
        <v>121</v>
      </c>
      <c r="O118" t="s">
        <v>704</v>
      </c>
      <c r="P118">
        <v>663</v>
      </c>
      <c r="Q118">
        <v>227</v>
      </c>
      <c r="R118">
        <v>436</v>
      </c>
    </row>
    <row r="119" spans="1:18" x14ac:dyDescent="0.3">
      <c r="A119" t="s">
        <v>1139</v>
      </c>
      <c r="B119">
        <v>2022</v>
      </c>
      <c r="C119">
        <v>4.9497679313269778</v>
      </c>
      <c r="D119">
        <v>1401251.1904411761</v>
      </c>
      <c r="E119">
        <v>5</v>
      </c>
      <c r="F119">
        <v>303</v>
      </c>
      <c r="G119">
        <v>9.2579962028789997E-4</v>
      </c>
      <c r="H119">
        <v>11</v>
      </c>
      <c r="I119">
        <v>1</v>
      </c>
      <c r="J119">
        <v>0.4035942438975661</v>
      </c>
      <c r="K119">
        <v>-0.2285852572900825</v>
      </c>
      <c r="L119">
        <v>51738962.560907677</v>
      </c>
      <c r="M119" t="s">
        <v>406</v>
      </c>
      <c r="N119" t="s">
        <v>446</v>
      </c>
      <c r="O119" t="s">
        <v>449</v>
      </c>
      <c r="P119">
        <v>18180</v>
      </c>
      <c r="Q119">
        <v>8924</v>
      </c>
      <c r="R119">
        <v>9256</v>
      </c>
    </row>
    <row r="120" spans="1:18" x14ac:dyDescent="0.3">
      <c r="A120" t="s">
        <v>1140</v>
      </c>
      <c r="B120">
        <v>2022</v>
      </c>
      <c r="C120">
        <v>2.314787993473375</v>
      </c>
      <c r="D120">
        <v>437553.3703431373</v>
      </c>
      <c r="E120">
        <v>5</v>
      </c>
      <c r="F120">
        <v>231</v>
      </c>
      <c r="G120">
        <v>3.1452961642929999E-4</v>
      </c>
      <c r="H120">
        <v>2</v>
      </c>
      <c r="I120">
        <v>0</v>
      </c>
      <c r="J120">
        <v>0.56760496365746149</v>
      </c>
      <c r="K120">
        <v>-0.36885299309645048</v>
      </c>
      <c r="L120">
        <v>53500496.612351149</v>
      </c>
      <c r="M120" t="s">
        <v>20</v>
      </c>
      <c r="N120" t="s">
        <v>43</v>
      </c>
      <c r="O120" t="s">
        <v>44</v>
      </c>
      <c r="P120">
        <v>2681</v>
      </c>
      <c r="Q120">
        <v>1969</v>
      </c>
      <c r="R120">
        <v>712</v>
      </c>
    </row>
    <row r="121" spans="1:18" x14ac:dyDescent="0.3">
      <c r="A121" t="s">
        <v>1141</v>
      </c>
      <c r="B121">
        <v>2022</v>
      </c>
      <c r="C121">
        <v>1.9377961798011041</v>
      </c>
      <c r="D121">
        <v>2731433.3125</v>
      </c>
      <c r="E121">
        <v>10</v>
      </c>
      <c r="F121">
        <v>255</v>
      </c>
      <c r="G121">
        <v>5.5095602719229997E-4</v>
      </c>
      <c r="H121">
        <v>17</v>
      </c>
      <c r="I121">
        <v>6</v>
      </c>
      <c r="J121">
        <v>0.50236264812664044</v>
      </c>
      <c r="K121">
        <v>-0.37796099608390299</v>
      </c>
      <c r="L121">
        <v>114236110.3673362</v>
      </c>
      <c r="M121" t="s">
        <v>156</v>
      </c>
      <c r="N121" t="s">
        <v>172</v>
      </c>
      <c r="O121" t="s">
        <v>173</v>
      </c>
      <c r="P121">
        <v>7075</v>
      </c>
      <c r="Q121">
        <v>4809</v>
      </c>
      <c r="R121">
        <v>2266</v>
      </c>
    </row>
    <row r="122" spans="1:18" x14ac:dyDescent="0.3">
      <c r="A122" t="s">
        <v>1142</v>
      </c>
      <c r="B122">
        <v>2022</v>
      </c>
      <c r="C122">
        <v>3.6546354223391928</v>
      </c>
      <c r="D122">
        <v>1228527.481801471</v>
      </c>
      <c r="E122">
        <v>25</v>
      </c>
      <c r="F122">
        <v>116</v>
      </c>
      <c r="G122">
        <v>8.1765577855520005E-4</v>
      </c>
      <c r="H122">
        <v>14</v>
      </c>
      <c r="I122">
        <v>1</v>
      </c>
      <c r="J122">
        <v>0.60277123857967296</v>
      </c>
      <c r="K122">
        <v>-0.37586560578324257</v>
      </c>
      <c r="L122">
        <v>20940358.185414221</v>
      </c>
      <c r="M122" t="s">
        <v>20</v>
      </c>
      <c r="N122" t="s">
        <v>21</v>
      </c>
      <c r="O122" t="s">
        <v>30</v>
      </c>
      <c r="P122">
        <v>2516</v>
      </c>
      <c r="Q122">
        <v>1552</v>
      </c>
      <c r="R122">
        <v>964</v>
      </c>
    </row>
    <row r="123" spans="1:18" x14ac:dyDescent="0.3">
      <c r="A123" t="s">
        <v>1143</v>
      </c>
      <c r="B123">
        <v>2022</v>
      </c>
      <c r="C123">
        <v>20.46628784731033</v>
      </c>
      <c r="D123">
        <v>2742297.7333333329</v>
      </c>
      <c r="E123">
        <v>205</v>
      </c>
      <c r="F123">
        <v>420</v>
      </c>
      <c r="G123">
        <v>7.3721653627289996E-4</v>
      </c>
      <c r="H123">
        <v>7</v>
      </c>
      <c r="I123">
        <v>6</v>
      </c>
      <c r="L123">
        <v>25376239.79687769</v>
      </c>
      <c r="M123" t="s">
        <v>652</v>
      </c>
      <c r="N123" t="s">
        <v>772</v>
      </c>
      <c r="O123" t="s">
        <v>799</v>
      </c>
      <c r="P123">
        <v>3846</v>
      </c>
      <c r="Q123">
        <v>2983</v>
      </c>
      <c r="R123">
        <v>863</v>
      </c>
    </row>
    <row r="124" spans="1:18" x14ac:dyDescent="0.3">
      <c r="A124" t="s">
        <v>1144</v>
      </c>
      <c r="B124">
        <v>2022</v>
      </c>
      <c r="C124">
        <v>1.04434447909058</v>
      </c>
      <c r="D124">
        <v>337792.17126225488</v>
      </c>
      <c r="E124">
        <v>2</v>
      </c>
      <c r="F124">
        <v>89</v>
      </c>
      <c r="G124">
        <v>5.0876134663259995E-4</v>
      </c>
      <c r="H124">
        <v>4</v>
      </c>
      <c r="I124">
        <v>13</v>
      </c>
      <c r="J124">
        <v>0.49880531535199779</v>
      </c>
      <c r="K124">
        <v>-0.308134154999607</v>
      </c>
      <c r="L124">
        <v>83279343.071894914</v>
      </c>
      <c r="M124" t="s">
        <v>97</v>
      </c>
      <c r="N124" t="s">
        <v>98</v>
      </c>
      <c r="O124" t="s">
        <v>100</v>
      </c>
      <c r="P124">
        <v>2527</v>
      </c>
      <c r="Q124">
        <v>143</v>
      </c>
      <c r="R124">
        <v>2384</v>
      </c>
    </row>
    <row r="125" spans="1:18" x14ac:dyDescent="0.3">
      <c r="A125" t="s">
        <v>1145</v>
      </c>
      <c r="B125">
        <v>2022</v>
      </c>
      <c r="C125">
        <v>3.477368556894048</v>
      </c>
      <c r="D125">
        <v>67187.868933823527</v>
      </c>
      <c r="E125">
        <v>2</v>
      </c>
      <c r="F125">
        <v>58</v>
      </c>
      <c r="G125">
        <v>1.0712153518122999E-3</v>
      </c>
      <c r="H125">
        <v>7</v>
      </c>
      <c r="I125">
        <v>1</v>
      </c>
      <c r="J125">
        <v>0.41863521490544298</v>
      </c>
      <c r="K125">
        <v>-0.29327576903822727</v>
      </c>
      <c r="L125">
        <v>39918328.212049998</v>
      </c>
      <c r="M125" t="s">
        <v>156</v>
      </c>
      <c r="N125" t="s">
        <v>157</v>
      </c>
      <c r="O125" t="s">
        <v>164</v>
      </c>
      <c r="P125">
        <v>1769</v>
      </c>
      <c r="Q125">
        <v>578</v>
      </c>
      <c r="R125">
        <v>1191</v>
      </c>
    </row>
    <row r="126" spans="1:18" x14ac:dyDescent="0.3">
      <c r="A126" t="s">
        <v>1146</v>
      </c>
      <c r="B126">
        <v>2022</v>
      </c>
      <c r="C126">
        <v>1.8049903721932219</v>
      </c>
      <c r="D126">
        <v>1982727.3794117649</v>
      </c>
      <c r="E126">
        <v>20</v>
      </c>
      <c r="F126">
        <v>82</v>
      </c>
      <c r="G126">
        <v>8.8731109748230001E-4</v>
      </c>
      <c r="H126">
        <v>11</v>
      </c>
      <c r="I126">
        <v>0</v>
      </c>
      <c r="J126">
        <v>0.39386403052026059</v>
      </c>
      <c r="K126">
        <v>-0.33582294529331169</v>
      </c>
      <c r="L126">
        <v>44526706.593909927</v>
      </c>
      <c r="M126" t="s">
        <v>232</v>
      </c>
      <c r="N126" t="s">
        <v>233</v>
      </c>
      <c r="O126" t="s">
        <v>237</v>
      </c>
      <c r="P126">
        <v>2731</v>
      </c>
      <c r="Q126">
        <v>126</v>
      </c>
      <c r="R126">
        <v>2605</v>
      </c>
    </row>
    <row r="127" spans="1:18" x14ac:dyDescent="0.3">
      <c r="A127" t="s">
        <v>1147</v>
      </c>
      <c r="B127">
        <v>2022</v>
      </c>
      <c r="C127">
        <v>1.783463090798568</v>
      </c>
      <c r="D127">
        <v>34029732.617034309</v>
      </c>
      <c r="E127">
        <v>65</v>
      </c>
      <c r="F127">
        <v>578</v>
      </c>
      <c r="G127">
        <v>1.5126698804930001E-4</v>
      </c>
      <c r="H127">
        <v>22</v>
      </c>
      <c r="I127">
        <v>0</v>
      </c>
      <c r="J127">
        <v>0.45249074495450492</v>
      </c>
      <c r="K127">
        <v>-0.38408934049433319</v>
      </c>
      <c r="L127">
        <v>219885547.920333</v>
      </c>
      <c r="M127" t="s">
        <v>232</v>
      </c>
      <c r="N127" t="s">
        <v>254</v>
      </c>
      <c r="O127" t="s">
        <v>255</v>
      </c>
      <c r="P127">
        <v>14387</v>
      </c>
      <c r="Q127">
        <v>4606</v>
      </c>
      <c r="R127">
        <v>9781</v>
      </c>
    </row>
    <row r="128" spans="1:18" x14ac:dyDescent="0.3">
      <c r="A128" t="s">
        <v>1148</v>
      </c>
      <c r="B128">
        <v>2022</v>
      </c>
      <c r="C128">
        <v>1.3483665033950101</v>
      </c>
      <c r="D128">
        <v>3698736.2879901961</v>
      </c>
      <c r="E128">
        <v>2</v>
      </c>
      <c r="F128">
        <v>416</v>
      </c>
      <c r="G128">
        <v>2.4350915609369999E-4</v>
      </c>
      <c r="H128">
        <v>8</v>
      </c>
      <c r="I128">
        <v>20</v>
      </c>
      <c r="J128">
        <v>0.30014298465672851</v>
      </c>
      <c r="K128">
        <v>-0.3106947232176801</v>
      </c>
      <c r="L128">
        <v>520179189.54845822</v>
      </c>
      <c r="M128" t="s">
        <v>406</v>
      </c>
      <c r="N128" t="s">
        <v>436</v>
      </c>
      <c r="O128" t="s">
        <v>436</v>
      </c>
      <c r="P128">
        <v>38306</v>
      </c>
      <c r="Q128">
        <v>12653</v>
      </c>
      <c r="R128">
        <v>25653</v>
      </c>
    </row>
    <row r="129" spans="1:18" x14ac:dyDescent="0.3">
      <c r="A129" t="s">
        <v>1149</v>
      </c>
      <c r="B129">
        <v>2022</v>
      </c>
      <c r="C129">
        <v>1.630928719253526</v>
      </c>
      <c r="D129">
        <v>1665232.7466299019</v>
      </c>
      <c r="E129">
        <v>5</v>
      </c>
      <c r="F129">
        <v>220</v>
      </c>
      <c r="G129">
        <v>2.8591239951850003E-4</v>
      </c>
      <c r="H129">
        <v>11</v>
      </c>
      <c r="I129">
        <v>2</v>
      </c>
      <c r="J129">
        <v>0.4316533138167471</v>
      </c>
      <c r="K129">
        <v>-0.30520507124718987</v>
      </c>
      <c r="L129">
        <v>165127451.38143101</v>
      </c>
      <c r="M129" t="s">
        <v>460</v>
      </c>
      <c r="N129" t="s">
        <v>481</v>
      </c>
      <c r="O129" t="s">
        <v>486</v>
      </c>
      <c r="P129">
        <v>8435</v>
      </c>
      <c r="Q129">
        <v>2897</v>
      </c>
      <c r="R129">
        <v>5538</v>
      </c>
    </row>
    <row r="130" spans="1:18" x14ac:dyDescent="0.3">
      <c r="A130" t="s">
        <v>1150</v>
      </c>
      <c r="B130">
        <v>2022</v>
      </c>
      <c r="C130">
        <v>5.6376269247302968</v>
      </c>
      <c r="D130">
        <v>1489090.03125</v>
      </c>
      <c r="E130">
        <v>8</v>
      </c>
      <c r="F130">
        <v>338</v>
      </c>
      <c r="G130">
        <v>9.913233213143999E-4</v>
      </c>
      <c r="H130">
        <v>21</v>
      </c>
      <c r="I130">
        <v>1</v>
      </c>
      <c r="J130">
        <v>0.50814735358045748</v>
      </c>
      <c r="K130">
        <v>-0.14519401713746991</v>
      </c>
      <c r="L130">
        <v>93161981.380779594</v>
      </c>
      <c r="M130" t="s">
        <v>406</v>
      </c>
      <c r="N130" t="s">
        <v>439</v>
      </c>
      <c r="O130" t="s">
        <v>440</v>
      </c>
      <c r="P130">
        <v>16686</v>
      </c>
      <c r="Q130">
        <v>6143</v>
      </c>
      <c r="R130">
        <v>10543</v>
      </c>
    </row>
    <row r="131" spans="1:18" x14ac:dyDescent="0.3">
      <c r="A131" t="s">
        <v>1151</v>
      </c>
      <c r="B131">
        <v>2022</v>
      </c>
      <c r="C131">
        <v>7.2104669413260796</v>
      </c>
      <c r="D131">
        <v>14405479.776899509</v>
      </c>
      <c r="E131">
        <v>85</v>
      </c>
      <c r="F131">
        <v>504</v>
      </c>
      <c r="G131">
        <v>5.2319836414829995E-4</v>
      </c>
      <c r="H131">
        <v>15</v>
      </c>
      <c r="I131">
        <v>0</v>
      </c>
      <c r="J131">
        <v>0.38323304439784828</v>
      </c>
      <c r="K131">
        <v>-0.28658242088687208</v>
      </c>
      <c r="L131">
        <v>29871441.9154393</v>
      </c>
      <c r="M131" t="s">
        <v>232</v>
      </c>
      <c r="N131" t="s">
        <v>233</v>
      </c>
      <c r="O131" t="s">
        <v>243</v>
      </c>
      <c r="P131">
        <v>19061</v>
      </c>
      <c r="Q131">
        <v>10119</v>
      </c>
      <c r="R131">
        <v>8942</v>
      </c>
    </row>
    <row r="132" spans="1:18" x14ac:dyDescent="0.3">
      <c r="A132" t="s">
        <v>1152</v>
      </c>
      <c r="B132">
        <v>2022</v>
      </c>
      <c r="C132">
        <v>3.510164948065047</v>
      </c>
      <c r="D132">
        <v>1986492.921875</v>
      </c>
      <c r="E132">
        <v>18</v>
      </c>
      <c r="F132">
        <v>179</v>
      </c>
      <c r="G132">
        <v>5.2643389412090002E-4</v>
      </c>
      <c r="H132">
        <v>6</v>
      </c>
      <c r="I132">
        <v>5</v>
      </c>
      <c r="J132">
        <v>0.43064723663116838</v>
      </c>
      <c r="K132">
        <v>-0.26217216758432882</v>
      </c>
      <c r="L132">
        <v>43251462.597660869</v>
      </c>
      <c r="M132" t="s">
        <v>156</v>
      </c>
      <c r="N132" t="s">
        <v>188</v>
      </c>
      <c r="O132" t="s">
        <v>189</v>
      </c>
      <c r="P132">
        <v>6391</v>
      </c>
      <c r="Q132">
        <v>4599</v>
      </c>
      <c r="R132">
        <v>1792</v>
      </c>
    </row>
    <row r="133" spans="1:18" x14ac:dyDescent="0.3">
      <c r="A133" t="s">
        <v>1153</v>
      </c>
      <c r="B133">
        <v>2022</v>
      </c>
      <c r="C133">
        <v>7.6194333908433736</v>
      </c>
      <c r="D133">
        <v>6121937.6761642164</v>
      </c>
      <c r="E133">
        <v>296</v>
      </c>
      <c r="F133">
        <v>101</v>
      </c>
      <c r="G133">
        <v>9.7177608041919999E-4</v>
      </c>
      <c r="H133">
        <v>13</v>
      </c>
      <c r="I133">
        <v>1</v>
      </c>
      <c r="J133">
        <v>0.41806354889764558</v>
      </c>
      <c r="K133">
        <v>-0.33285216640189458</v>
      </c>
      <c r="L133">
        <v>11615794.32999501</v>
      </c>
      <c r="M133" t="s">
        <v>830</v>
      </c>
      <c r="N133" t="s">
        <v>857</v>
      </c>
      <c r="O133" t="s">
        <v>425</v>
      </c>
      <c r="P133">
        <v>2674</v>
      </c>
      <c r="Q133">
        <v>551</v>
      </c>
      <c r="R133">
        <v>2123</v>
      </c>
    </row>
    <row r="134" spans="1:18" x14ac:dyDescent="0.3">
      <c r="A134" t="s">
        <v>1154</v>
      </c>
      <c r="B134">
        <v>2022</v>
      </c>
      <c r="C134">
        <v>47.165561070140363</v>
      </c>
      <c r="D134">
        <v>17913957.325980391</v>
      </c>
      <c r="E134">
        <v>132</v>
      </c>
      <c r="F134">
        <v>1094</v>
      </c>
      <c r="G134">
        <v>4.4410556822079998E-4</v>
      </c>
      <c r="H134">
        <v>50</v>
      </c>
      <c r="I134">
        <v>6</v>
      </c>
      <c r="J134">
        <v>7.9652965956861096E-2</v>
      </c>
      <c r="K134">
        <v>-0.20947034992972149</v>
      </c>
      <c r="L134">
        <v>25279089.335742369</v>
      </c>
      <c r="M134" t="s">
        <v>940</v>
      </c>
      <c r="N134" t="s">
        <v>175</v>
      </c>
      <c r="O134" t="s">
        <v>175</v>
      </c>
      <c r="P134">
        <v>112114</v>
      </c>
      <c r="Q134">
        <v>62143</v>
      </c>
      <c r="R134">
        <v>49971</v>
      </c>
    </row>
    <row r="135" spans="1:18" x14ac:dyDescent="0.3">
      <c r="A135" t="s">
        <v>1155</v>
      </c>
      <c r="B135">
        <v>2022</v>
      </c>
      <c r="C135">
        <v>5.3935477050384089</v>
      </c>
      <c r="D135">
        <v>9358460.5775735285</v>
      </c>
      <c r="E135">
        <v>15</v>
      </c>
      <c r="F135">
        <v>999</v>
      </c>
      <c r="G135">
        <v>5.5073472108949995E-4</v>
      </c>
      <c r="H135">
        <v>5</v>
      </c>
      <c r="I135">
        <v>23</v>
      </c>
      <c r="J135">
        <v>0.40986011521564919</v>
      </c>
      <c r="K135">
        <v>-0.15830631861593819</v>
      </c>
      <c r="L135">
        <v>141817149.76429909</v>
      </c>
      <c r="M135" t="s">
        <v>287</v>
      </c>
      <c r="N135" t="s">
        <v>330</v>
      </c>
      <c r="O135" t="s">
        <v>330</v>
      </c>
      <c r="P135">
        <v>61430</v>
      </c>
      <c r="Q135">
        <v>45080</v>
      </c>
      <c r="R135">
        <v>16350</v>
      </c>
    </row>
    <row r="136" spans="1:18" x14ac:dyDescent="0.3">
      <c r="A136" t="s">
        <v>1156</v>
      </c>
      <c r="B136">
        <v>2022</v>
      </c>
      <c r="C136">
        <v>0.65366090933568088</v>
      </c>
      <c r="D136">
        <v>991357.21875</v>
      </c>
      <c r="E136">
        <v>4</v>
      </c>
      <c r="F136">
        <v>136</v>
      </c>
      <c r="G136">
        <v>4.0645703121740002E-4</v>
      </c>
      <c r="H136">
        <v>5</v>
      </c>
      <c r="I136">
        <v>2</v>
      </c>
      <c r="J136">
        <v>0.53798497969851067</v>
      </c>
      <c r="K136">
        <v>-0.24995011704385639</v>
      </c>
      <c r="L136">
        <v>430341752.68475097</v>
      </c>
      <c r="M136" t="s">
        <v>874</v>
      </c>
      <c r="N136" t="s">
        <v>892</v>
      </c>
      <c r="O136" t="s">
        <v>893</v>
      </c>
      <c r="P136">
        <v>2979</v>
      </c>
      <c r="Q136">
        <v>980</v>
      </c>
      <c r="R136">
        <v>1999</v>
      </c>
    </row>
    <row r="137" spans="1:18" x14ac:dyDescent="0.3">
      <c r="A137" t="s">
        <v>1157</v>
      </c>
      <c r="B137">
        <v>2022</v>
      </c>
      <c r="C137">
        <v>4.0301949292020716</v>
      </c>
      <c r="D137">
        <v>1985058.609375</v>
      </c>
      <c r="E137">
        <v>19</v>
      </c>
      <c r="F137">
        <v>331</v>
      </c>
      <c r="G137">
        <v>3.8851052481549998E-4</v>
      </c>
      <c r="H137">
        <v>4</v>
      </c>
      <c r="I137">
        <v>7</v>
      </c>
      <c r="J137">
        <v>0.17551992036885489</v>
      </c>
      <c r="K137">
        <v>-0.34647961003491429</v>
      </c>
      <c r="L137">
        <v>65755370.373904079</v>
      </c>
      <c r="M137" t="s">
        <v>940</v>
      </c>
      <c r="N137" t="s">
        <v>940</v>
      </c>
      <c r="O137" t="s">
        <v>1007</v>
      </c>
      <c r="P137">
        <v>7895</v>
      </c>
      <c r="Q137">
        <v>4785</v>
      </c>
      <c r="R137">
        <v>3110</v>
      </c>
    </row>
    <row r="138" spans="1:18" x14ac:dyDescent="0.3">
      <c r="A138" t="s">
        <v>1158</v>
      </c>
      <c r="B138">
        <v>2022</v>
      </c>
      <c r="C138">
        <v>12.250827865651081</v>
      </c>
      <c r="D138">
        <v>931938.80686274497</v>
      </c>
      <c r="E138">
        <v>27</v>
      </c>
      <c r="F138">
        <v>173</v>
      </c>
      <c r="G138">
        <v>3.8859870587035E-3</v>
      </c>
      <c r="H138">
        <v>15</v>
      </c>
      <c r="I138">
        <v>2</v>
      </c>
      <c r="J138">
        <v>0.35739066577488898</v>
      </c>
      <c r="K138">
        <v>-0.33088921269450589</v>
      </c>
      <c r="L138">
        <v>10608826.07083467</v>
      </c>
      <c r="M138" t="s">
        <v>460</v>
      </c>
      <c r="N138" t="s">
        <v>468</v>
      </c>
      <c r="O138" t="s">
        <v>471</v>
      </c>
      <c r="P138">
        <v>7974</v>
      </c>
      <c r="Q138">
        <v>5749</v>
      </c>
      <c r="R138">
        <v>2225</v>
      </c>
    </row>
    <row r="139" spans="1:18" x14ac:dyDescent="0.3">
      <c r="A139" t="s">
        <v>1159</v>
      </c>
      <c r="B139">
        <v>2022</v>
      </c>
      <c r="C139">
        <v>1.701509381623592</v>
      </c>
      <c r="D139">
        <v>2233977.9375</v>
      </c>
      <c r="E139">
        <v>11</v>
      </c>
      <c r="F139">
        <v>164</v>
      </c>
      <c r="G139">
        <v>2.3893530602519001E-3</v>
      </c>
      <c r="H139">
        <v>1</v>
      </c>
      <c r="I139">
        <v>4</v>
      </c>
      <c r="J139">
        <v>0.64411923503398871</v>
      </c>
      <c r="K139">
        <v>-0.31619309177259181</v>
      </c>
      <c r="L139">
        <v>120848770.5861191</v>
      </c>
      <c r="M139" t="s">
        <v>674</v>
      </c>
      <c r="N139" t="s">
        <v>698</v>
      </c>
      <c r="O139" t="s">
        <v>698</v>
      </c>
      <c r="P139">
        <v>6706</v>
      </c>
      <c r="Q139">
        <v>4474</v>
      </c>
      <c r="R139">
        <v>2232</v>
      </c>
    </row>
    <row r="140" spans="1:18" x14ac:dyDescent="0.3">
      <c r="A140" t="s">
        <v>1160</v>
      </c>
      <c r="B140">
        <v>2022</v>
      </c>
      <c r="C140">
        <v>1.8306409724817241</v>
      </c>
      <c r="D140">
        <v>248312.96875</v>
      </c>
      <c r="E140">
        <v>3</v>
      </c>
      <c r="F140">
        <v>127</v>
      </c>
      <c r="G140">
        <v>8.7743099351730001E-4</v>
      </c>
      <c r="H140">
        <v>11</v>
      </c>
      <c r="I140">
        <v>2</v>
      </c>
      <c r="J140">
        <v>0.48056218967250658</v>
      </c>
      <c r="K140">
        <v>-0.36790015398109871</v>
      </c>
      <c r="L140">
        <v>46420833.582064718</v>
      </c>
      <c r="M140" t="s">
        <v>156</v>
      </c>
      <c r="N140" t="s">
        <v>172</v>
      </c>
      <c r="O140" t="s">
        <v>176</v>
      </c>
      <c r="P140">
        <v>2982</v>
      </c>
      <c r="Q140">
        <v>2048</v>
      </c>
      <c r="R140">
        <v>934</v>
      </c>
    </row>
    <row r="141" spans="1:18" x14ac:dyDescent="0.3">
      <c r="A141" t="s">
        <v>1161</v>
      </c>
      <c r="B141">
        <v>2022</v>
      </c>
      <c r="C141">
        <v>7.3970698246191766</v>
      </c>
      <c r="D141">
        <v>6936724.421875</v>
      </c>
      <c r="E141">
        <v>36</v>
      </c>
      <c r="F141">
        <v>973</v>
      </c>
      <c r="G141">
        <v>1.9106827891320001E-4</v>
      </c>
      <c r="H141">
        <v>3</v>
      </c>
      <c r="I141">
        <v>8</v>
      </c>
      <c r="J141">
        <v>0.37068881692276651</v>
      </c>
      <c r="K141">
        <v>-0.30801576463473218</v>
      </c>
      <c r="L141">
        <v>147408320.92059529</v>
      </c>
      <c r="M141" t="s">
        <v>499</v>
      </c>
      <c r="N141" t="s">
        <v>518</v>
      </c>
      <c r="O141" t="s">
        <v>518</v>
      </c>
      <c r="P141">
        <v>28123</v>
      </c>
      <c r="Q141">
        <v>20273</v>
      </c>
      <c r="R141">
        <v>7850</v>
      </c>
    </row>
    <row r="142" spans="1:18" x14ac:dyDescent="0.3">
      <c r="A142" t="s">
        <v>1162</v>
      </c>
      <c r="B142">
        <v>2022</v>
      </c>
      <c r="C142">
        <v>20.597490019697421</v>
      </c>
      <c r="D142">
        <v>4290670.4570465675</v>
      </c>
      <c r="E142">
        <v>80</v>
      </c>
      <c r="F142">
        <v>849</v>
      </c>
      <c r="G142">
        <v>4.2451217034009998E-4</v>
      </c>
      <c r="H142">
        <v>8</v>
      </c>
      <c r="I142">
        <v>11</v>
      </c>
      <c r="L142">
        <v>17717212.355703101</v>
      </c>
      <c r="M142" t="s">
        <v>652</v>
      </c>
      <c r="N142" t="s">
        <v>772</v>
      </c>
      <c r="O142" t="s">
        <v>789</v>
      </c>
      <c r="P142">
        <v>22052</v>
      </c>
      <c r="Q142">
        <v>19363</v>
      </c>
      <c r="R142">
        <v>2689</v>
      </c>
    </row>
    <row r="143" spans="1:18" x14ac:dyDescent="0.3">
      <c r="A143" t="s">
        <v>1163</v>
      </c>
      <c r="B143">
        <v>2022</v>
      </c>
      <c r="C143">
        <v>4.138718510443363</v>
      </c>
      <c r="D143">
        <v>744876.390625</v>
      </c>
      <c r="E143">
        <v>9</v>
      </c>
      <c r="F143">
        <v>112</v>
      </c>
      <c r="G143">
        <v>1.6191537930668001E-3</v>
      </c>
      <c r="H143">
        <v>7</v>
      </c>
      <c r="I143">
        <v>1</v>
      </c>
      <c r="J143">
        <v>0.48145098566863181</v>
      </c>
      <c r="K143">
        <v>-0.1586101202628411</v>
      </c>
      <c r="L143">
        <v>39438859.324688137</v>
      </c>
      <c r="M143" t="s">
        <v>586</v>
      </c>
      <c r="N143" t="s">
        <v>597</v>
      </c>
      <c r="O143" t="s">
        <v>466</v>
      </c>
      <c r="P143">
        <v>6868</v>
      </c>
      <c r="Q143">
        <v>2365</v>
      </c>
      <c r="R143">
        <v>4503</v>
      </c>
    </row>
    <row r="144" spans="1:18" x14ac:dyDescent="0.3">
      <c r="A144" t="s">
        <v>1164</v>
      </c>
      <c r="B144">
        <v>2022</v>
      </c>
      <c r="C144">
        <v>1.252252192760732</v>
      </c>
      <c r="D144">
        <v>991172.77892156865</v>
      </c>
      <c r="E144">
        <v>8</v>
      </c>
      <c r="F144">
        <v>147</v>
      </c>
      <c r="G144">
        <v>5.0336063585330003E-4</v>
      </c>
      <c r="H144">
        <v>3</v>
      </c>
      <c r="I144">
        <v>1</v>
      </c>
      <c r="J144">
        <v>0.4657103396510443</v>
      </c>
      <c r="K144">
        <v>-0.40076426442150248</v>
      </c>
      <c r="L144">
        <v>110846975.09621421</v>
      </c>
      <c r="M144" t="s">
        <v>20</v>
      </c>
      <c r="N144" t="s">
        <v>21</v>
      </c>
      <c r="O144" t="s">
        <v>25</v>
      </c>
      <c r="P144">
        <v>3184</v>
      </c>
      <c r="Q144">
        <v>2157</v>
      </c>
      <c r="R144">
        <v>1027</v>
      </c>
    </row>
    <row r="145" spans="1:18" x14ac:dyDescent="0.3">
      <c r="A145" t="s">
        <v>1165</v>
      </c>
      <c r="B145">
        <v>2022</v>
      </c>
      <c r="C145">
        <v>1.8178741490300621</v>
      </c>
      <c r="D145">
        <v>991220.21875</v>
      </c>
      <c r="E145">
        <v>6</v>
      </c>
      <c r="F145">
        <v>204</v>
      </c>
      <c r="G145">
        <v>4.206206587169E-4</v>
      </c>
      <c r="H145">
        <v>2</v>
      </c>
      <c r="I145">
        <v>3</v>
      </c>
      <c r="J145">
        <v>0.29354788697565481</v>
      </c>
      <c r="K145">
        <v>-0.1591195388939661</v>
      </c>
      <c r="L145">
        <v>55821946.8022938</v>
      </c>
      <c r="M145" t="s">
        <v>287</v>
      </c>
      <c r="N145" t="s">
        <v>301</v>
      </c>
      <c r="O145" t="s">
        <v>301</v>
      </c>
      <c r="P145">
        <v>6283</v>
      </c>
      <c r="Q145">
        <v>2823</v>
      </c>
      <c r="R145">
        <v>3460</v>
      </c>
    </row>
    <row r="146" spans="1:18" x14ac:dyDescent="0.3">
      <c r="A146" t="s">
        <v>1166</v>
      </c>
      <c r="B146">
        <v>2022</v>
      </c>
      <c r="C146">
        <v>0.83308951827834321</v>
      </c>
      <c r="D146">
        <v>2454944.06317402</v>
      </c>
      <c r="E146">
        <v>20</v>
      </c>
      <c r="F146">
        <v>104</v>
      </c>
      <c r="G146">
        <v>1.5981796686705999E-3</v>
      </c>
      <c r="H146">
        <v>3</v>
      </c>
      <c r="I146">
        <v>1</v>
      </c>
      <c r="J146">
        <v>0.59262590794778336</v>
      </c>
      <c r="K146">
        <v>-0.27910091633919798</v>
      </c>
      <c r="L146">
        <v>161111785.57104471</v>
      </c>
      <c r="M146" t="s">
        <v>730</v>
      </c>
      <c r="N146" t="s">
        <v>748</v>
      </c>
      <c r="O146" t="s">
        <v>749</v>
      </c>
      <c r="P146">
        <v>2243</v>
      </c>
      <c r="Q146">
        <v>1739</v>
      </c>
      <c r="R146">
        <v>504</v>
      </c>
    </row>
    <row r="147" spans="1:18" x14ac:dyDescent="0.3">
      <c r="A147" t="s">
        <v>1167</v>
      </c>
      <c r="B147">
        <v>2022</v>
      </c>
      <c r="C147">
        <v>2.594486943992083</v>
      </c>
      <c r="D147">
        <v>141145.16035539209</v>
      </c>
      <c r="E147">
        <v>7</v>
      </c>
      <c r="F147">
        <v>70</v>
      </c>
      <c r="G147">
        <v>8.5214062483100002E-4</v>
      </c>
      <c r="H147">
        <v>6</v>
      </c>
      <c r="I147">
        <v>1</v>
      </c>
      <c r="J147">
        <v>0.33626718945597062</v>
      </c>
      <c r="K147">
        <v>-0.34637166617014498</v>
      </c>
      <c r="L147">
        <v>10569541.37448634</v>
      </c>
      <c r="M147" t="s">
        <v>97</v>
      </c>
      <c r="N147" t="s">
        <v>109</v>
      </c>
      <c r="O147" t="s">
        <v>113</v>
      </c>
      <c r="P147">
        <v>1176</v>
      </c>
      <c r="Q147">
        <v>328</v>
      </c>
      <c r="R147">
        <v>848</v>
      </c>
    </row>
    <row r="148" spans="1:18" x14ac:dyDescent="0.3">
      <c r="A148" t="s">
        <v>1168</v>
      </c>
      <c r="B148">
        <v>2022</v>
      </c>
      <c r="C148">
        <v>2.13268852940076</v>
      </c>
      <c r="D148">
        <v>4461500.9375</v>
      </c>
      <c r="E148">
        <v>9</v>
      </c>
      <c r="F148">
        <v>985</v>
      </c>
      <c r="G148">
        <v>2.5435443887620001E-4</v>
      </c>
      <c r="H148">
        <v>18</v>
      </c>
      <c r="I148">
        <v>19</v>
      </c>
      <c r="J148">
        <v>0.35717125580396231</v>
      </c>
      <c r="K148">
        <v>-0.23147134159302851</v>
      </c>
      <c r="L148">
        <v>260373297.55376741</v>
      </c>
      <c r="M148" t="s">
        <v>287</v>
      </c>
      <c r="N148" t="s">
        <v>290</v>
      </c>
      <c r="O148" t="s">
        <v>290</v>
      </c>
      <c r="P148">
        <v>23915</v>
      </c>
      <c r="Q148">
        <v>15806</v>
      </c>
      <c r="R148">
        <v>8109</v>
      </c>
    </row>
    <row r="149" spans="1:18" x14ac:dyDescent="0.3">
      <c r="A149" t="s">
        <v>1169</v>
      </c>
      <c r="B149">
        <v>2022</v>
      </c>
      <c r="C149">
        <v>8.8457011833304868</v>
      </c>
      <c r="D149">
        <v>5027592.009681372</v>
      </c>
      <c r="E149">
        <v>38</v>
      </c>
      <c r="F149">
        <v>748</v>
      </c>
      <c r="G149">
        <v>2.6150150251560002E-4</v>
      </c>
      <c r="H149">
        <v>45</v>
      </c>
      <c r="I149">
        <v>7</v>
      </c>
      <c r="J149">
        <v>0.51690846793519019</v>
      </c>
      <c r="K149">
        <v>-0.3796345126504041</v>
      </c>
      <c r="L149">
        <v>46660249.90330404</v>
      </c>
      <c r="M149" t="s">
        <v>20</v>
      </c>
      <c r="N149" t="s">
        <v>21</v>
      </c>
      <c r="O149" t="s">
        <v>38</v>
      </c>
      <c r="P149">
        <v>26720</v>
      </c>
      <c r="Q149">
        <v>17784</v>
      </c>
      <c r="R149">
        <v>8936</v>
      </c>
    </row>
    <row r="150" spans="1:18" x14ac:dyDescent="0.3">
      <c r="A150" t="s">
        <v>1170</v>
      </c>
      <c r="B150">
        <v>2022</v>
      </c>
      <c r="C150">
        <v>0.7252912147539925</v>
      </c>
      <c r="D150">
        <v>552126.33566176472</v>
      </c>
      <c r="E150">
        <v>16</v>
      </c>
      <c r="F150">
        <v>41</v>
      </c>
      <c r="G150">
        <v>1.4902055828668001E-3</v>
      </c>
      <c r="H150">
        <v>1</v>
      </c>
      <c r="I150">
        <v>0</v>
      </c>
      <c r="J150">
        <v>0.57419429200308136</v>
      </c>
      <c r="K150">
        <v>-0.24619301776992411</v>
      </c>
      <c r="L150">
        <v>89025920.345823184</v>
      </c>
      <c r="M150" t="s">
        <v>922</v>
      </c>
      <c r="N150" t="s">
        <v>922</v>
      </c>
      <c r="O150" t="s">
        <v>951</v>
      </c>
      <c r="P150">
        <v>597</v>
      </c>
      <c r="Q150">
        <v>268</v>
      </c>
      <c r="R150">
        <v>329</v>
      </c>
    </row>
    <row r="151" spans="1:18" x14ac:dyDescent="0.3">
      <c r="A151" t="s">
        <v>1171</v>
      </c>
      <c r="B151">
        <v>2022</v>
      </c>
      <c r="C151">
        <v>8.302824638953167</v>
      </c>
      <c r="D151">
        <v>4673154.3247549012</v>
      </c>
      <c r="E151">
        <v>28</v>
      </c>
      <c r="F151">
        <v>460</v>
      </c>
      <c r="G151">
        <v>9.0857556028560004E-4</v>
      </c>
      <c r="H151">
        <v>3</v>
      </c>
      <c r="I151">
        <v>4</v>
      </c>
      <c r="J151">
        <v>0.1553858626100332</v>
      </c>
      <c r="K151">
        <v>-0.1146024685260375</v>
      </c>
      <c r="L151">
        <v>73829736.596663207</v>
      </c>
      <c r="M151" t="s">
        <v>406</v>
      </c>
      <c r="N151" t="s">
        <v>407</v>
      </c>
      <c r="O151" t="s">
        <v>410</v>
      </c>
      <c r="P151">
        <v>33691</v>
      </c>
      <c r="Q151">
        <v>18122</v>
      </c>
      <c r="R151">
        <v>15569</v>
      </c>
    </row>
    <row r="152" spans="1:18" x14ac:dyDescent="0.3">
      <c r="A152" t="s">
        <v>1172</v>
      </c>
      <c r="B152">
        <v>2022</v>
      </c>
      <c r="C152">
        <v>0.64456444435579485</v>
      </c>
      <c r="D152">
        <v>954871.5431985294</v>
      </c>
      <c r="E152">
        <v>6</v>
      </c>
      <c r="F152">
        <v>83</v>
      </c>
      <c r="G152">
        <v>2.1677445856616E-3</v>
      </c>
      <c r="H152">
        <v>8</v>
      </c>
      <c r="I152">
        <v>10</v>
      </c>
      <c r="J152">
        <v>0.63764186870205153</v>
      </c>
      <c r="K152">
        <v>-0.29723277699341327</v>
      </c>
      <c r="L152">
        <v>202212905.1262562</v>
      </c>
      <c r="M152" t="s">
        <v>674</v>
      </c>
      <c r="N152" t="s">
        <v>698</v>
      </c>
      <c r="O152" t="s">
        <v>700</v>
      </c>
      <c r="P152">
        <v>2515</v>
      </c>
      <c r="Q152">
        <v>511</v>
      </c>
      <c r="R152">
        <v>2004</v>
      </c>
    </row>
    <row r="153" spans="1:18" x14ac:dyDescent="0.3">
      <c r="A153" t="s">
        <v>1173</v>
      </c>
      <c r="B153">
        <v>2022</v>
      </c>
      <c r="C153">
        <v>1.9116473402348779</v>
      </c>
      <c r="D153">
        <v>2234049.65625</v>
      </c>
      <c r="E153">
        <v>6</v>
      </c>
      <c r="F153">
        <v>393</v>
      </c>
      <c r="G153">
        <v>3.910934426472E-4</v>
      </c>
      <c r="H153">
        <v>13</v>
      </c>
      <c r="I153">
        <v>7</v>
      </c>
      <c r="J153">
        <v>0.2976380776841987</v>
      </c>
      <c r="K153">
        <v>-0.25954290012219727</v>
      </c>
      <c r="L153">
        <v>186468253.3336665</v>
      </c>
      <c r="M153" t="s">
        <v>406</v>
      </c>
      <c r="N153" t="s">
        <v>435</v>
      </c>
      <c r="O153" t="s">
        <v>435</v>
      </c>
      <c r="P153">
        <v>17991</v>
      </c>
      <c r="Q153">
        <v>5872</v>
      </c>
      <c r="R153">
        <v>12119</v>
      </c>
    </row>
    <row r="154" spans="1:18" x14ac:dyDescent="0.3">
      <c r="A154" t="s">
        <v>1174</v>
      </c>
      <c r="B154">
        <v>2022</v>
      </c>
      <c r="C154">
        <v>16.28929995304031</v>
      </c>
      <c r="D154">
        <v>14311956.00520833</v>
      </c>
      <c r="E154">
        <v>145</v>
      </c>
      <c r="F154">
        <v>1627</v>
      </c>
      <c r="G154">
        <v>1.9825289392540001E-4</v>
      </c>
      <c r="H154">
        <v>51</v>
      </c>
      <c r="I154">
        <v>36</v>
      </c>
      <c r="J154">
        <v>0.52227352134283933</v>
      </c>
      <c r="K154">
        <v>-0.35140561392788089</v>
      </c>
      <c r="L154">
        <v>56554971.235437408</v>
      </c>
      <c r="M154" t="s">
        <v>124</v>
      </c>
      <c r="N154" t="s">
        <v>125</v>
      </c>
      <c r="O154" t="s">
        <v>125</v>
      </c>
      <c r="P154">
        <v>40922</v>
      </c>
      <c r="Q154">
        <v>34618</v>
      </c>
      <c r="R154">
        <v>6304</v>
      </c>
    </row>
    <row r="155" spans="1:18" x14ac:dyDescent="0.3">
      <c r="A155" t="s">
        <v>1175</v>
      </c>
      <c r="B155">
        <v>2022</v>
      </c>
      <c r="C155">
        <v>9.9184972171023364</v>
      </c>
      <c r="D155">
        <v>852984.04301470588</v>
      </c>
      <c r="E155">
        <v>103</v>
      </c>
      <c r="F155">
        <v>73</v>
      </c>
      <c r="G155">
        <v>5.1620947630922004E-3</v>
      </c>
      <c r="H155">
        <v>7</v>
      </c>
      <c r="I155">
        <v>2</v>
      </c>
      <c r="L155">
        <v>4710646.1177028902</v>
      </c>
      <c r="M155" t="s">
        <v>191</v>
      </c>
      <c r="N155" t="s">
        <v>224</v>
      </c>
      <c r="O155" t="s">
        <v>225</v>
      </c>
      <c r="P155">
        <v>2125</v>
      </c>
      <c r="Q155">
        <v>799</v>
      </c>
      <c r="R155">
        <v>1326</v>
      </c>
    </row>
    <row r="156" spans="1:18" x14ac:dyDescent="0.3">
      <c r="A156" t="s">
        <v>1176</v>
      </c>
      <c r="B156">
        <v>2022</v>
      </c>
      <c r="C156">
        <v>10.66496326637197</v>
      </c>
      <c r="D156">
        <v>4326591.290808823</v>
      </c>
      <c r="E156">
        <v>154</v>
      </c>
      <c r="F156">
        <v>208</v>
      </c>
      <c r="G156">
        <v>6.7473788984880002E-4</v>
      </c>
      <c r="H156">
        <v>25</v>
      </c>
      <c r="I156">
        <v>4</v>
      </c>
      <c r="J156">
        <v>0.43028870883625869</v>
      </c>
      <c r="K156">
        <v>-0.33198845701487689</v>
      </c>
      <c r="L156">
        <v>15663178.47386058</v>
      </c>
      <c r="M156" t="s">
        <v>830</v>
      </c>
      <c r="N156" t="s">
        <v>857</v>
      </c>
      <c r="O156" t="s">
        <v>167</v>
      </c>
      <c r="P156">
        <v>7836</v>
      </c>
      <c r="Q156">
        <v>4288</v>
      </c>
      <c r="R156">
        <v>3548</v>
      </c>
    </row>
    <row r="157" spans="1:18" x14ac:dyDescent="0.3">
      <c r="A157" t="s">
        <v>1177</v>
      </c>
      <c r="B157">
        <v>2022</v>
      </c>
      <c r="C157">
        <v>3.0232377690873218</v>
      </c>
      <c r="D157">
        <v>2233833.328125</v>
      </c>
      <c r="E157">
        <v>6</v>
      </c>
      <c r="F157">
        <v>313</v>
      </c>
      <c r="G157">
        <v>4.9359869431570003E-4</v>
      </c>
      <c r="H157">
        <v>25</v>
      </c>
      <c r="I157">
        <v>12</v>
      </c>
      <c r="J157">
        <v>0.4525015149671327</v>
      </c>
      <c r="K157">
        <v>-0.25697012265947511</v>
      </c>
      <c r="L157">
        <v>132360032.75546069</v>
      </c>
      <c r="M157" t="s">
        <v>406</v>
      </c>
      <c r="N157" t="s">
        <v>442</v>
      </c>
      <c r="O157" t="s">
        <v>443</v>
      </c>
      <c r="P157">
        <v>30540</v>
      </c>
      <c r="Q157">
        <v>5526</v>
      </c>
      <c r="R157">
        <v>25014</v>
      </c>
    </row>
    <row r="158" spans="1:18" x14ac:dyDescent="0.3">
      <c r="A158" t="s">
        <v>1178</v>
      </c>
      <c r="B158">
        <v>2022</v>
      </c>
      <c r="C158">
        <v>7.4661543572232807</v>
      </c>
      <c r="D158">
        <v>5540038.8656249996</v>
      </c>
      <c r="E158">
        <v>54</v>
      </c>
      <c r="F158">
        <v>382</v>
      </c>
      <c r="G158">
        <v>4.8774235888429998E-4</v>
      </c>
      <c r="H158">
        <v>6</v>
      </c>
      <c r="I158">
        <v>5</v>
      </c>
      <c r="J158">
        <v>0.42286521125330262</v>
      </c>
      <c r="K158">
        <v>-0.3635633156959408</v>
      </c>
      <c r="L158">
        <v>65791411.942562163</v>
      </c>
      <c r="M158" t="s">
        <v>460</v>
      </c>
      <c r="N158" t="s">
        <v>473</v>
      </c>
      <c r="O158" t="s">
        <v>473</v>
      </c>
      <c r="P158">
        <v>21362</v>
      </c>
      <c r="Q158">
        <v>13350</v>
      </c>
      <c r="R158">
        <v>8012</v>
      </c>
    </row>
    <row r="159" spans="1:18" x14ac:dyDescent="0.3">
      <c r="A159" t="s">
        <v>1179</v>
      </c>
      <c r="B159">
        <v>2022</v>
      </c>
      <c r="C159">
        <v>0.92601184524596925</v>
      </c>
      <c r="D159">
        <v>75945.425367647069</v>
      </c>
      <c r="E159">
        <v>1</v>
      </c>
      <c r="F159">
        <v>122</v>
      </c>
      <c r="G159">
        <v>7.4810836431559997E-4</v>
      </c>
      <c r="H159">
        <v>6</v>
      </c>
      <c r="I159">
        <v>0</v>
      </c>
      <c r="J159">
        <v>0.63747732659762935</v>
      </c>
      <c r="K159">
        <v>-0.2884355588147795</v>
      </c>
      <c r="L159">
        <v>218723675.1961152</v>
      </c>
      <c r="M159" t="s">
        <v>348</v>
      </c>
      <c r="N159" t="s">
        <v>102</v>
      </c>
      <c r="O159" t="s">
        <v>178</v>
      </c>
      <c r="P159">
        <v>1976</v>
      </c>
      <c r="Q159">
        <v>22</v>
      </c>
      <c r="R159">
        <v>1954</v>
      </c>
    </row>
    <row r="160" spans="1:18" x14ac:dyDescent="0.3">
      <c r="A160" t="s">
        <v>1180</v>
      </c>
      <c r="B160">
        <v>2022</v>
      </c>
      <c r="C160">
        <v>3.6138756181169271</v>
      </c>
      <c r="D160">
        <v>7627040.3794730389</v>
      </c>
      <c r="E160">
        <v>233</v>
      </c>
      <c r="F160">
        <v>142</v>
      </c>
      <c r="G160">
        <v>1.7130127083602E-3</v>
      </c>
      <c r="H160">
        <v>10</v>
      </c>
      <c r="I160">
        <v>2</v>
      </c>
      <c r="J160">
        <v>0.3411251394231184</v>
      </c>
      <c r="K160">
        <v>-0.37138078022007498</v>
      </c>
      <c r="L160">
        <v>18657909.866692249</v>
      </c>
      <c r="M160" t="s">
        <v>191</v>
      </c>
      <c r="N160" t="s">
        <v>211</v>
      </c>
      <c r="O160" t="s">
        <v>214</v>
      </c>
      <c r="P160">
        <v>3556</v>
      </c>
      <c r="Q160">
        <v>1263</v>
      </c>
      <c r="R160">
        <v>2293</v>
      </c>
    </row>
    <row r="161" spans="1:18" x14ac:dyDescent="0.3">
      <c r="A161" t="s">
        <v>1181</v>
      </c>
      <c r="B161">
        <v>2022</v>
      </c>
      <c r="C161">
        <v>1.817560973041862</v>
      </c>
      <c r="D161">
        <v>2234852.875</v>
      </c>
      <c r="E161">
        <v>21</v>
      </c>
      <c r="F161">
        <v>266</v>
      </c>
      <c r="G161">
        <v>4.055977344816E-4</v>
      </c>
      <c r="H161">
        <v>3</v>
      </c>
      <c r="I161">
        <v>6</v>
      </c>
      <c r="J161">
        <v>0.39028938414712389</v>
      </c>
      <c r="K161">
        <v>-0.30194580212479738</v>
      </c>
      <c r="L161">
        <v>99654807.710796326</v>
      </c>
      <c r="M161" t="s">
        <v>156</v>
      </c>
      <c r="N161" t="s">
        <v>97</v>
      </c>
      <c r="O161" t="s">
        <v>97</v>
      </c>
      <c r="P161">
        <v>5872</v>
      </c>
      <c r="Q161">
        <v>3972</v>
      </c>
      <c r="R161">
        <v>1900</v>
      </c>
    </row>
    <row r="162" spans="1:18" x14ac:dyDescent="0.3">
      <c r="A162" t="s">
        <v>1182</v>
      </c>
      <c r="B162">
        <v>2022</v>
      </c>
      <c r="C162">
        <v>1.804389975547088</v>
      </c>
      <c r="D162">
        <v>744636.03125</v>
      </c>
      <c r="E162">
        <v>4</v>
      </c>
      <c r="F162">
        <v>168</v>
      </c>
      <c r="G162">
        <v>8.5174378213139998E-4</v>
      </c>
      <c r="H162">
        <v>6</v>
      </c>
      <c r="I162">
        <v>3</v>
      </c>
      <c r="J162">
        <v>0.54599712946136003</v>
      </c>
      <c r="K162">
        <v>-0.2733730252793436</v>
      </c>
      <c r="L162">
        <v>85101810.389026284</v>
      </c>
      <c r="M162" t="s">
        <v>406</v>
      </c>
      <c r="N162" t="s">
        <v>442</v>
      </c>
      <c r="O162" t="s">
        <v>444</v>
      </c>
      <c r="P162">
        <v>10518</v>
      </c>
      <c r="Q162">
        <v>410</v>
      </c>
      <c r="R162">
        <v>10108</v>
      </c>
    </row>
    <row r="163" spans="1:18" x14ac:dyDescent="0.3">
      <c r="A163" t="s">
        <v>1183</v>
      </c>
      <c r="B163">
        <v>2022</v>
      </c>
      <c r="C163">
        <v>9.8972878462424241</v>
      </c>
      <c r="D163">
        <v>1439907.361642157</v>
      </c>
      <c r="E163">
        <v>173</v>
      </c>
      <c r="F163">
        <v>121</v>
      </c>
      <c r="G163">
        <v>2.8357286354503998E-3</v>
      </c>
      <c r="H163">
        <v>15</v>
      </c>
      <c r="I163">
        <v>1</v>
      </c>
      <c r="J163">
        <v>0.39705511127445681</v>
      </c>
      <c r="K163">
        <v>-0.26002644821155851</v>
      </c>
      <c r="L163">
        <v>5167582.5092525957</v>
      </c>
      <c r="M163" t="s">
        <v>830</v>
      </c>
      <c r="N163" t="s">
        <v>857</v>
      </c>
      <c r="O163" t="s">
        <v>859</v>
      </c>
      <c r="P163">
        <v>2626</v>
      </c>
      <c r="Q163">
        <v>1718</v>
      </c>
      <c r="R163">
        <v>908</v>
      </c>
    </row>
    <row r="164" spans="1:18" x14ac:dyDescent="0.3">
      <c r="A164" t="s">
        <v>1184</v>
      </c>
      <c r="B164">
        <v>2022</v>
      </c>
      <c r="C164">
        <v>0.51564568319505044</v>
      </c>
      <c r="D164">
        <v>993223.75</v>
      </c>
      <c r="E164">
        <v>3</v>
      </c>
      <c r="F164">
        <v>112</v>
      </c>
      <c r="G164">
        <v>7.8342649276900002E-4</v>
      </c>
      <c r="H164">
        <v>3</v>
      </c>
      <c r="I164">
        <v>0</v>
      </c>
      <c r="J164">
        <v>0.67824776984119739</v>
      </c>
      <c r="K164">
        <v>-0.30045738628360957</v>
      </c>
      <c r="L164">
        <v>501395987.91494077</v>
      </c>
      <c r="M164" t="s">
        <v>959</v>
      </c>
      <c r="N164" t="s">
        <v>984</v>
      </c>
      <c r="O164" t="s">
        <v>988</v>
      </c>
      <c r="P164">
        <v>5461</v>
      </c>
      <c r="Q164">
        <v>250</v>
      </c>
      <c r="R164">
        <v>5211</v>
      </c>
    </row>
    <row r="165" spans="1:18" x14ac:dyDescent="0.3">
      <c r="A165" t="s">
        <v>1185</v>
      </c>
      <c r="B165">
        <v>2022</v>
      </c>
      <c r="C165">
        <v>1.7681200540719451</v>
      </c>
      <c r="D165">
        <v>1488800.40625</v>
      </c>
      <c r="E165">
        <v>13</v>
      </c>
      <c r="F165">
        <v>204</v>
      </c>
      <c r="G165">
        <v>2.6401235481479998E-4</v>
      </c>
      <c r="H165">
        <v>2</v>
      </c>
      <c r="I165">
        <v>4</v>
      </c>
      <c r="J165">
        <v>0.50336488629821052</v>
      </c>
      <c r="K165">
        <v>-0.37541085409013081</v>
      </c>
      <c r="L165">
        <v>126895255.7567421</v>
      </c>
      <c r="M165" t="s">
        <v>232</v>
      </c>
      <c r="N165" t="s">
        <v>261</v>
      </c>
      <c r="O165" t="s">
        <v>261</v>
      </c>
      <c r="P165">
        <v>6796</v>
      </c>
      <c r="Q165">
        <v>3728</v>
      </c>
      <c r="R165">
        <v>3068</v>
      </c>
    </row>
    <row r="166" spans="1:18" x14ac:dyDescent="0.3">
      <c r="A166" t="s">
        <v>1186</v>
      </c>
      <c r="B166">
        <v>2022</v>
      </c>
      <c r="C166">
        <v>2.9095682783581438</v>
      </c>
      <c r="D166">
        <v>3724699.53125</v>
      </c>
      <c r="E166">
        <v>18</v>
      </c>
      <c r="F166">
        <v>593</v>
      </c>
      <c r="G166">
        <v>2.0159282541660001E-4</v>
      </c>
      <c r="H166">
        <v>15</v>
      </c>
      <c r="I166">
        <v>16</v>
      </c>
      <c r="J166">
        <v>0.44604731485517801</v>
      </c>
      <c r="K166">
        <v>-0.28788381161457421</v>
      </c>
      <c r="L166">
        <v>145817883.9327639</v>
      </c>
      <c r="M166" t="s">
        <v>156</v>
      </c>
      <c r="N166" t="s">
        <v>181</v>
      </c>
      <c r="O166" t="s">
        <v>182</v>
      </c>
      <c r="P166">
        <v>20567</v>
      </c>
      <c r="Q166">
        <v>14310</v>
      </c>
      <c r="R166">
        <v>6257</v>
      </c>
    </row>
    <row r="167" spans="1:18" x14ac:dyDescent="0.3">
      <c r="A167" t="s">
        <v>1187</v>
      </c>
      <c r="B167">
        <v>2022</v>
      </c>
      <c r="C167">
        <v>3.3159357355696901</v>
      </c>
      <c r="D167">
        <v>2101440.7673406862</v>
      </c>
      <c r="E167">
        <v>36</v>
      </c>
      <c r="F167">
        <v>251</v>
      </c>
      <c r="G167">
        <v>4.1983687982230001E-4</v>
      </c>
      <c r="H167">
        <v>3</v>
      </c>
      <c r="I167">
        <v>10</v>
      </c>
      <c r="J167">
        <v>0.36646844883779051</v>
      </c>
      <c r="K167">
        <v>-0.31954478695184119</v>
      </c>
      <c r="L167">
        <v>100734569.5577791</v>
      </c>
      <c r="M167" t="s">
        <v>156</v>
      </c>
      <c r="N167" t="s">
        <v>177</v>
      </c>
      <c r="O167" t="s">
        <v>177</v>
      </c>
      <c r="P167">
        <v>6701</v>
      </c>
      <c r="Q167">
        <v>5083</v>
      </c>
      <c r="R167">
        <v>1618</v>
      </c>
    </row>
    <row r="168" spans="1:18" x14ac:dyDescent="0.3">
      <c r="A168" t="s">
        <v>1188</v>
      </c>
      <c r="B168">
        <v>2022</v>
      </c>
      <c r="C168">
        <v>18.882092878835369</v>
      </c>
      <c r="D168">
        <v>1867797.3920955879</v>
      </c>
      <c r="E168">
        <v>72</v>
      </c>
      <c r="F168">
        <v>742</v>
      </c>
      <c r="G168">
        <v>5.5624840416210002E-4</v>
      </c>
      <c r="H168">
        <v>6</v>
      </c>
      <c r="I168">
        <v>8</v>
      </c>
      <c r="L168">
        <v>31743816.08391498</v>
      </c>
      <c r="M168" t="s">
        <v>652</v>
      </c>
      <c r="N168" t="s">
        <v>772</v>
      </c>
      <c r="O168" t="s">
        <v>797</v>
      </c>
      <c r="P168">
        <v>17779</v>
      </c>
      <c r="Q168">
        <v>14404</v>
      </c>
      <c r="R168">
        <v>3375</v>
      </c>
    </row>
    <row r="169" spans="1:18" x14ac:dyDescent="0.3">
      <c r="A169" t="s">
        <v>1189</v>
      </c>
      <c r="B169">
        <v>2022</v>
      </c>
      <c r="C169">
        <v>0.54351599534291506</v>
      </c>
      <c r="D169">
        <v>1241629.46875</v>
      </c>
      <c r="E169">
        <v>8</v>
      </c>
      <c r="F169">
        <v>53</v>
      </c>
      <c r="G169">
        <v>4.1911203086544002E-3</v>
      </c>
      <c r="H169">
        <v>2</v>
      </c>
      <c r="I169">
        <v>0</v>
      </c>
      <c r="J169">
        <v>0.58809244961333684</v>
      </c>
      <c r="K169">
        <v>-0.22076825904822411</v>
      </c>
      <c r="L169">
        <v>1076216148.3011069</v>
      </c>
      <c r="M169" t="s">
        <v>922</v>
      </c>
      <c r="N169" t="s">
        <v>935</v>
      </c>
      <c r="O169" t="s">
        <v>936</v>
      </c>
      <c r="P169">
        <v>3066</v>
      </c>
      <c r="Q169">
        <v>1292</v>
      </c>
      <c r="R169">
        <v>1774</v>
      </c>
    </row>
    <row r="170" spans="1:18" x14ac:dyDescent="0.3">
      <c r="A170" t="s">
        <v>1190</v>
      </c>
      <c r="B170">
        <v>2022</v>
      </c>
      <c r="C170">
        <v>1.293401308282895</v>
      </c>
      <c r="D170">
        <v>248284.515625</v>
      </c>
      <c r="E170">
        <v>2</v>
      </c>
      <c r="F170">
        <v>92</v>
      </c>
      <c r="G170">
        <v>1.8724409326464999E-3</v>
      </c>
      <c r="H170">
        <v>7</v>
      </c>
      <c r="I170">
        <v>0</v>
      </c>
      <c r="J170">
        <v>0.42228515987310722</v>
      </c>
      <c r="K170">
        <v>-0.16467823455262601</v>
      </c>
      <c r="L170">
        <v>154629055.6650863</v>
      </c>
      <c r="M170" t="s">
        <v>348</v>
      </c>
      <c r="N170" t="s">
        <v>400</v>
      </c>
      <c r="O170" t="s">
        <v>405</v>
      </c>
      <c r="P170">
        <v>6173</v>
      </c>
      <c r="Q170">
        <v>963</v>
      </c>
      <c r="R170">
        <v>5210</v>
      </c>
    </row>
    <row r="171" spans="1:18" x14ac:dyDescent="0.3">
      <c r="A171" t="s">
        <v>1191</v>
      </c>
      <c r="B171">
        <v>2022</v>
      </c>
      <c r="C171">
        <v>9.1064468513855896</v>
      </c>
      <c r="D171">
        <v>6443013.4837622549</v>
      </c>
      <c r="E171">
        <v>700</v>
      </c>
      <c r="F171">
        <v>115</v>
      </c>
      <c r="G171">
        <v>3.004830712264E-3</v>
      </c>
      <c r="H171">
        <v>16</v>
      </c>
      <c r="I171">
        <v>1</v>
      </c>
      <c r="J171">
        <v>0.2480081612911664</v>
      </c>
      <c r="K171">
        <v>-0.33313752735143187</v>
      </c>
      <c r="L171">
        <v>10400715.2846606</v>
      </c>
      <c r="M171" t="s">
        <v>191</v>
      </c>
      <c r="N171" t="s">
        <v>192</v>
      </c>
      <c r="O171" t="s">
        <v>198</v>
      </c>
      <c r="P171">
        <v>3230</v>
      </c>
      <c r="Q171">
        <v>1524</v>
      </c>
      <c r="R171">
        <v>1706</v>
      </c>
    </row>
    <row r="172" spans="1:18" x14ac:dyDescent="0.3">
      <c r="A172" t="s">
        <v>1192</v>
      </c>
      <c r="B172">
        <v>2022</v>
      </c>
      <c r="C172">
        <v>1.5178901316596469</v>
      </c>
      <c r="D172">
        <v>170392.29932598039</v>
      </c>
      <c r="E172">
        <v>1</v>
      </c>
      <c r="F172">
        <v>147</v>
      </c>
      <c r="G172">
        <v>4.4046665400249998E-4</v>
      </c>
      <c r="H172">
        <v>2</v>
      </c>
      <c r="I172">
        <v>9</v>
      </c>
      <c r="J172">
        <v>0.2301782444435149</v>
      </c>
      <c r="K172">
        <v>-0.21557946951513751</v>
      </c>
      <c r="L172">
        <v>137385853.31914711</v>
      </c>
      <c r="M172" t="s">
        <v>406</v>
      </c>
      <c r="N172" t="s">
        <v>423</v>
      </c>
      <c r="O172" t="s">
        <v>425</v>
      </c>
      <c r="P172">
        <v>10080</v>
      </c>
      <c r="Q172">
        <v>1529</v>
      </c>
      <c r="R172">
        <v>8551</v>
      </c>
    </row>
    <row r="173" spans="1:18" x14ac:dyDescent="0.3">
      <c r="A173" t="s">
        <v>1193</v>
      </c>
      <c r="B173">
        <v>2022</v>
      </c>
      <c r="C173">
        <v>1.5158755142226441</v>
      </c>
      <c r="D173">
        <v>506386.50821078429</v>
      </c>
      <c r="E173">
        <v>13</v>
      </c>
      <c r="F173">
        <v>124</v>
      </c>
      <c r="G173">
        <v>6.9659866034290003E-4</v>
      </c>
      <c r="H173">
        <v>9</v>
      </c>
      <c r="I173">
        <v>0</v>
      </c>
      <c r="J173">
        <v>0.64828022007353758</v>
      </c>
      <c r="K173">
        <v>-0.33581229964453468</v>
      </c>
      <c r="L173">
        <v>47401944.281787887</v>
      </c>
      <c r="M173" t="s">
        <v>287</v>
      </c>
      <c r="N173" t="s">
        <v>336</v>
      </c>
      <c r="O173" t="s">
        <v>341</v>
      </c>
      <c r="P173">
        <v>2308</v>
      </c>
      <c r="Q173">
        <v>1222</v>
      </c>
      <c r="R173">
        <v>1086</v>
      </c>
    </row>
    <row r="174" spans="1:18" x14ac:dyDescent="0.3">
      <c r="A174" t="s">
        <v>1194</v>
      </c>
      <c r="B174">
        <v>2022</v>
      </c>
      <c r="C174">
        <v>16.183488412157629</v>
      </c>
      <c r="D174">
        <v>18210596.126286771</v>
      </c>
      <c r="E174">
        <v>315</v>
      </c>
      <c r="F174">
        <v>1168</v>
      </c>
      <c r="G174">
        <v>3.5066307522180001E-4</v>
      </c>
      <c r="H174">
        <v>22</v>
      </c>
      <c r="I174">
        <v>11</v>
      </c>
      <c r="L174">
        <v>23720313.57290297</v>
      </c>
      <c r="M174" t="s">
        <v>652</v>
      </c>
      <c r="N174" t="s">
        <v>772</v>
      </c>
      <c r="O174" t="s">
        <v>795</v>
      </c>
      <c r="P174">
        <v>36749</v>
      </c>
      <c r="Q174">
        <v>31877</v>
      </c>
      <c r="R174">
        <v>4872</v>
      </c>
    </row>
    <row r="175" spans="1:18" x14ac:dyDescent="0.3">
      <c r="A175" t="s">
        <v>1195</v>
      </c>
      <c r="B175">
        <v>2022</v>
      </c>
      <c r="C175">
        <v>4.4082035689426071</v>
      </c>
      <c r="D175">
        <v>1481752.5919730391</v>
      </c>
      <c r="E175">
        <v>28</v>
      </c>
      <c r="F175">
        <v>406</v>
      </c>
      <c r="G175">
        <v>4.0797172191539999E-4</v>
      </c>
      <c r="H175">
        <v>3</v>
      </c>
      <c r="I175">
        <v>5</v>
      </c>
      <c r="J175">
        <v>0.50082799910391795</v>
      </c>
      <c r="K175">
        <v>-0.39452571823347171</v>
      </c>
      <c r="L175">
        <v>63104682.145040959</v>
      </c>
      <c r="M175" t="s">
        <v>124</v>
      </c>
      <c r="N175" t="s">
        <v>152</v>
      </c>
      <c r="O175" t="s">
        <v>152</v>
      </c>
      <c r="P175">
        <v>9264</v>
      </c>
      <c r="Q175">
        <v>6055</v>
      </c>
      <c r="R175">
        <v>3209</v>
      </c>
    </row>
    <row r="176" spans="1:18" x14ac:dyDescent="0.3">
      <c r="A176" t="s">
        <v>1196</v>
      </c>
      <c r="B176">
        <v>2022</v>
      </c>
      <c r="C176">
        <v>5.1647824438831744</v>
      </c>
      <c r="D176">
        <v>5461355.96875</v>
      </c>
      <c r="E176">
        <v>123</v>
      </c>
      <c r="F176">
        <v>254</v>
      </c>
      <c r="G176">
        <v>1.8699500557643001E-3</v>
      </c>
      <c r="H176">
        <v>7</v>
      </c>
      <c r="I176">
        <v>5</v>
      </c>
      <c r="J176">
        <v>0.58534506454066149</v>
      </c>
      <c r="K176">
        <v>-0.28693145828981759</v>
      </c>
      <c r="L176">
        <v>24161781.983644389</v>
      </c>
      <c r="M176" t="s">
        <v>756</v>
      </c>
      <c r="N176" t="s">
        <v>766</v>
      </c>
      <c r="O176" t="s">
        <v>768</v>
      </c>
      <c r="P176">
        <v>9441</v>
      </c>
      <c r="Q176">
        <v>5680</v>
      </c>
      <c r="R176">
        <v>3761</v>
      </c>
    </row>
    <row r="177" spans="1:18" x14ac:dyDescent="0.3">
      <c r="A177" t="s">
        <v>1197</v>
      </c>
      <c r="B177">
        <v>2022</v>
      </c>
      <c r="C177">
        <v>1.6036495929100569</v>
      </c>
      <c r="D177">
        <v>1486804.125</v>
      </c>
      <c r="E177">
        <v>15</v>
      </c>
      <c r="F177">
        <v>214</v>
      </c>
      <c r="G177">
        <v>3.2577518547820001E-4</v>
      </c>
      <c r="H177">
        <v>4</v>
      </c>
      <c r="I177">
        <v>2</v>
      </c>
      <c r="J177">
        <v>0.30182010208506072</v>
      </c>
      <c r="K177">
        <v>-0.20119646726047649</v>
      </c>
      <c r="L177">
        <v>129842551.12085781</v>
      </c>
      <c r="M177" t="s">
        <v>287</v>
      </c>
      <c r="N177" t="s">
        <v>310</v>
      </c>
      <c r="O177" t="s">
        <v>310</v>
      </c>
      <c r="P177">
        <v>6603</v>
      </c>
      <c r="Q177">
        <v>4732</v>
      </c>
      <c r="R177">
        <v>1871</v>
      </c>
    </row>
    <row r="178" spans="1:18" x14ac:dyDescent="0.3">
      <c r="A178" t="s">
        <v>1198</v>
      </c>
      <c r="B178">
        <v>2022</v>
      </c>
      <c r="C178">
        <v>5.1701432897421844</v>
      </c>
      <c r="D178">
        <v>744767.65625</v>
      </c>
      <c r="E178">
        <v>131</v>
      </c>
      <c r="F178">
        <v>81</v>
      </c>
      <c r="G178">
        <v>1.1104751561758E-3</v>
      </c>
      <c r="H178">
        <v>15</v>
      </c>
      <c r="I178">
        <v>0</v>
      </c>
      <c r="J178">
        <v>0.49440932739586901</v>
      </c>
      <c r="K178">
        <v>-0.30497313186285302</v>
      </c>
      <c r="L178">
        <v>11259654.65620539</v>
      </c>
      <c r="M178" t="s">
        <v>830</v>
      </c>
      <c r="N178" t="s">
        <v>872</v>
      </c>
      <c r="O178" t="s">
        <v>873</v>
      </c>
      <c r="P178">
        <v>1234</v>
      </c>
      <c r="Q178">
        <v>693</v>
      </c>
      <c r="R178">
        <v>541</v>
      </c>
    </row>
    <row r="179" spans="1:18" x14ac:dyDescent="0.3">
      <c r="A179" t="s">
        <v>1199</v>
      </c>
      <c r="B179">
        <v>2022</v>
      </c>
      <c r="C179">
        <v>5.7744348028492869</v>
      </c>
      <c r="D179">
        <v>1337058.510110294</v>
      </c>
      <c r="E179">
        <v>37</v>
      </c>
      <c r="F179">
        <v>381</v>
      </c>
      <c r="G179">
        <v>7.7179477758949997E-4</v>
      </c>
      <c r="H179">
        <v>7</v>
      </c>
      <c r="I179">
        <v>6</v>
      </c>
      <c r="J179">
        <v>0.387550571170166</v>
      </c>
      <c r="K179">
        <v>-0.25089974657093927</v>
      </c>
      <c r="L179">
        <v>27983090.52790102</v>
      </c>
      <c r="M179" t="s">
        <v>460</v>
      </c>
      <c r="N179" t="s">
        <v>481</v>
      </c>
      <c r="O179" t="s">
        <v>483</v>
      </c>
      <c r="P179">
        <v>8809</v>
      </c>
      <c r="Q179">
        <v>3462</v>
      </c>
      <c r="R179">
        <v>5347</v>
      </c>
    </row>
    <row r="180" spans="1:18" x14ac:dyDescent="0.3">
      <c r="A180" t="s">
        <v>1200</v>
      </c>
      <c r="B180">
        <v>2022</v>
      </c>
      <c r="C180">
        <v>1.8850651658675519</v>
      </c>
      <c r="D180">
        <v>1735887.140625</v>
      </c>
      <c r="E180">
        <v>13</v>
      </c>
      <c r="F180">
        <v>295</v>
      </c>
      <c r="G180">
        <v>3.2635383293839999E-4</v>
      </c>
      <c r="H180">
        <v>9</v>
      </c>
      <c r="I180">
        <v>10</v>
      </c>
      <c r="J180">
        <v>0.45302198343647759</v>
      </c>
      <c r="K180">
        <v>-0.28795865593312531</v>
      </c>
      <c r="L180">
        <v>144069841.30832109</v>
      </c>
      <c r="M180" t="s">
        <v>20</v>
      </c>
      <c r="N180" t="s">
        <v>76</v>
      </c>
      <c r="O180" t="s">
        <v>76</v>
      </c>
      <c r="P180">
        <v>10655</v>
      </c>
      <c r="Q180">
        <v>6370</v>
      </c>
      <c r="R180">
        <v>4285</v>
      </c>
    </row>
    <row r="181" spans="1:18" x14ac:dyDescent="0.3">
      <c r="A181" t="s">
        <v>1201</v>
      </c>
      <c r="B181">
        <v>2022</v>
      </c>
      <c r="C181">
        <v>0.95885753906347859</v>
      </c>
      <c r="D181">
        <v>1489432.71875</v>
      </c>
      <c r="E181">
        <v>3</v>
      </c>
      <c r="F181">
        <v>318</v>
      </c>
      <c r="G181">
        <v>2.0691521870279999E-4</v>
      </c>
      <c r="H181">
        <v>15</v>
      </c>
      <c r="I181">
        <v>2</v>
      </c>
      <c r="J181">
        <v>0.32133907192317662</v>
      </c>
      <c r="K181">
        <v>-0.29746494581864957</v>
      </c>
      <c r="L181">
        <v>544023925.07545185</v>
      </c>
      <c r="M181" t="s">
        <v>406</v>
      </c>
      <c r="N181" t="s">
        <v>416</v>
      </c>
      <c r="O181" t="s">
        <v>416</v>
      </c>
      <c r="P181">
        <v>20299</v>
      </c>
      <c r="Q181">
        <v>4363</v>
      </c>
      <c r="R181">
        <v>15936</v>
      </c>
    </row>
    <row r="182" spans="1:18" x14ac:dyDescent="0.3">
      <c r="A182" t="s">
        <v>1202</v>
      </c>
      <c r="B182">
        <v>2022</v>
      </c>
      <c r="C182">
        <v>9.1473590497282693</v>
      </c>
      <c r="D182">
        <v>19704434.839644611</v>
      </c>
      <c r="E182">
        <v>119</v>
      </c>
      <c r="F182">
        <v>1795</v>
      </c>
      <c r="G182">
        <v>2.5888489420639998E-4</v>
      </c>
      <c r="H182">
        <v>17</v>
      </c>
      <c r="I182">
        <v>23</v>
      </c>
      <c r="J182">
        <v>0.5629917547970138</v>
      </c>
      <c r="K182">
        <v>-0.27234381883984859</v>
      </c>
      <c r="L182">
        <v>216958363.03748101</v>
      </c>
      <c r="M182" t="s">
        <v>922</v>
      </c>
      <c r="N182" t="s">
        <v>923</v>
      </c>
      <c r="O182" t="s">
        <v>924</v>
      </c>
      <c r="P182">
        <v>64904</v>
      </c>
      <c r="Q182">
        <v>37197</v>
      </c>
      <c r="R182">
        <v>27707</v>
      </c>
    </row>
    <row r="183" spans="1:18" x14ac:dyDescent="0.3">
      <c r="A183" t="s">
        <v>1203</v>
      </c>
      <c r="B183">
        <v>2022</v>
      </c>
      <c r="C183">
        <v>1.3534565905597979</v>
      </c>
      <c r="D183">
        <v>1738283.34375</v>
      </c>
      <c r="E183">
        <v>12</v>
      </c>
      <c r="F183">
        <v>372</v>
      </c>
      <c r="G183">
        <v>7.7426685925190001E-4</v>
      </c>
      <c r="H183">
        <v>20</v>
      </c>
      <c r="I183">
        <v>6</v>
      </c>
      <c r="J183">
        <v>0.63811482788413243</v>
      </c>
      <c r="K183">
        <v>-0.29982825056000978</v>
      </c>
      <c r="L183">
        <v>239149072.1365118</v>
      </c>
      <c r="M183" t="s">
        <v>922</v>
      </c>
      <c r="N183" t="s">
        <v>923</v>
      </c>
      <c r="O183" t="s">
        <v>929</v>
      </c>
      <c r="P183">
        <v>8662</v>
      </c>
      <c r="Q183">
        <v>2683</v>
      </c>
      <c r="R183">
        <v>5979</v>
      </c>
    </row>
    <row r="184" spans="1:18" x14ac:dyDescent="0.3">
      <c r="A184" t="s">
        <v>1204</v>
      </c>
      <c r="B184">
        <v>2022</v>
      </c>
      <c r="C184">
        <v>3.104288539987714</v>
      </c>
      <c r="D184">
        <v>2902601.3778799018</v>
      </c>
      <c r="E184">
        <v>112</v>
      </c>
      <c r="F184">
        <v>157</v>
      </c>
      <c r="G184">
        <v>4.1295303898039999E-4</v>
      </c>
      <c r="H184">
        <v>19</v>
      </c>
      <c r="I184">
        <v>4</v>
      </c>
      <c r="J184">
        <v>0.52911396789656251</v>
      </c>
      <c r="K184">
        <v>-0.30534448475347559</v>
      </c>
      <c r="L184">
        <v>40385129.813849308</v>
      </c>
      <c r="M184" t="s">
        <v>20</v>
      </c>
      <c r="N184" t="s">
        <v>95</v>
      </c>
      <c r="O184" t="s">
        <v>95</v>
      </c>
      <c r="P184">
        <v>3582</v>
      </c>
      <c r="Q184">
        <v>2438</v>
      </c>
      <c r="R184">
        <v>1144</v>
      </c>
    </row>
    <row r="185" spans="1:18" x14ac:dyDescent="0.3">
      <c r="A185" t="s">
        <v>1205</v>
      </c>
      <c r="B185">
        <v>2022</v>
      </c>
      <c r="C185">
        <v>0.78775994027479324</v>
      </c>
      <c r="D185">
        <v>3967734.6639705878</v>
      </c>
      <c r="E185">
        <v>14</v>
      </c>
      <c r="F185">
        <v>318</v>
      </c>
      <c r="G185">
        <v>1.2985510723570001E-4</v>
      </c>
      <c r="H185">
        <v>11</v>
      </c>
      <c r="I185">
        <v>0</v>
      </c>
      <c r="J185">
        <v>0.29783258776052318</v>
      </c>
      <c r="K185">
        <v>-0.2732616950550249</v>
      </c>
      <c r="L185">
        <v>241597889.6097692</v>
      </c>
      <c r="M185" t="s">
        <v>232</v>
      </c>
      <c r="N185" t="s">
        <v>266</v>
      </c>
      <c r="O185" t="s">
        <v>268</v>
      </c>
      <c r="P185">
        <v>9973</v>
      </c>
      <c r="Q185">
        <v>519</v>
      </c>
      <c r="R185">
        <v>9454</v>
      </c>
    </row>
    <row r="186" spans="1:18" x14ac:dyDescent="0.3">
      <c r="A186" t="s">
        <v>1206</v>
      </c>
      <c r="B186">
        <v>2022</v>
      </c>
      <c r="C186">
        <v>10.978722373292779</v>
      </c>
      <c r="D186">
        <v>1375027.440073529</v>
      </c>
      <c r="E186">
        <v>57</v>
      </c>
      <c r="F186">
        <v>180</v>
      </c>
      <c r="G186">
        <v>1.8033397349800999E-3</v>
      </c>
      <c r="H186">
        <v>7</v>
      </c>
      <c r="I186">
        <v>0</v>
      </c>
      <c r="J186">
        <v>0.36420105540215908</v>
      </c>
      <c r="K186">
        <v>-0.28905879967841719</v>
      </c>
      <c r="L186">
        <v>18309068.804060929</v>
      </c>
      <c r="M186" t="s">
        <v>460</v>
      </c>
      <c r="N186" t="s">
        <v>468</v>
      </c>
      <c r="O186" t="s">
        <v>324</v>
      </c>
      <c r="P186">
        <v>12215</v>
      </c>
      <c r="Q186">
        <v>6571</v>
      </c>
      <c r="R186">
        <v>5644</v>
      </c>
    </row>
    <row r="187" spans="1:18" x14ac:dyDescent="0.3">
      <c r="A187" t="s">
        <v>1207</v>
      </c>
      <c r="B187">
        <v>2022</v>
      </c>
      <c r="C187">
        <v>11.128568658698359</v>
      </c>
      <c r="D187">
        <v>4724842.6190563729</v>
      </c>
      <c r="E187">
        <v>72</v>
      </c>
      <c r="F187">
        <v>756</v>
      </c>
      <c r="G187">
        <v>2.2165701435289999E-4</v>
      </c>
      <c r="H187">
        <v>45</v>
      </c>
      <c r="I187">
        <v>12</v>
      </c>
      <c r="J187">
        <v>0.52947379268224515</v>
      </c>
      <c r="K187">
        <v>-0.352527515264344</v>
      </c>
      <c r="L187">
        <v>44346774.144208401</v>
      </c>
      <c r="M187" t="s">
        <v>20</v>
      </c>
      <c r="N187" t="s">
        <v>21</v>
      </c>
      <c r="O187" t="s">
        <v>41</v>
      </c>
      <c r="P187">
        <v>34785</v>
      </c>
      <c r="Q187">
        <v>24756</v>
      </c>
      <c r="R187">
        <v>10029</v>
      </c>
    </row>
    <row r="188" spans="1:18" x14ac:dyDescent="0.3">
      <c r="A188" t="s">
        <v>1208</v>
      </c>
      <c r="B188">
        <v>2022</v>
      </c>
      <c r="C188">
        <v>10.028362483574419</v>
      </c>
      <c r="D188">
        <v>1239120.78125</v>
      </c>
      <c r="E188">
        <v>53</v>
      </c>
      <c r="F188">
        <v>276</v>
      </c>
      <c r="G188">
        <v>4.1617082274029998E-4</v>
      </c>
      <c r="H188">
        <v>6</v>
      </c>
      <c r="I188">
        <v>2</v>
      </c>
      <c r="J188">
        <v>0.47685687593080101</v>
      </c>
      <c r="K188">
        <v>-0.343954678562233</v>
      </c>
      <c r="L188">
        <v>17101117.23067623</v>
      </c>
      <c r="M188" t="s">
        <v>287</v>
      </c>
      <c r="N188" t="s">
        <v>336</v>
      </c>
      <c r="O188" t="s">
        <v>336</v>
      </c>
      <c r="P188">
        <v>11530</v>
      </c>
      <c r="Q188">
        <v>9488</v>
      </c>
      <c r="R188">
        <v>2042</v>
      </c>
    </row>
    <row r="189" spans="1:18" x14ac:dyDescent="0.3">
      <c r="A189" t="s">
        <v>1209</v>
      </c>
      <c r="B189">
        <v>2022</v>
      </c>
      <c r="C189">
        <v>3.838609854703217</v>
      </c>
      <c r="D189">
        <v>3871791.2958333329</v>
      </c>
      <c r="E189">
        <v>59</v>
      </c>
      <c r="F189">
        <v>414</v>
      </c>
      <c r="G189">
        <v>5.835192401866E-4</v>
      </c>
      <c r="H189">
        <v>12</v>
      </c>
      <c r="I189">
        <v>10</v>
      </c>
      <c r="L189">
        <v>65650049.666887708</v>
      </c>
      <c r="M189" t="s">
        <v>652</v>
      </c>
      <c r="N189" t="s">
        <v>809</v>
      </c>
      <c r="O189" t="s">
        <v>812</v>
      </c>
      <c r="P189">
        <v>12526</v>
      </c>
      <c r="Q189">
        <v>9341</v>
      </c>
      <c r="R189">
        <v>3185</v>
      </c>
    </row>
    <row r="190" spans="1:18" x14ac:dyDescent="0.3">
      <c r="A190" t="s">
        <v>1210</v>
      </c>
      <c r="B190">
        <v>2022</v>
      </c>
      <c r="C190">
        <v>0.73610117423772048</v>
      </c>
      <c r="D190">
        <v>495612.59375</v>
      </c>
      <c r="E190">
        <v>4</v>
      </c>
      <c r="F190">
        <v>84</v>
      </c>
      <c r="G190">
        <v>3.3972956355250001E-4</v>
      </c>
      <c r="H190">
        <v>3</v>
      </c>
      <c r="I190">
        <v>3</v>
      </c>
      <c r="J190">
        <v>0.52108465120138558</v>
      </c>
      <c r="K190">
        <v>-0.31956937047776651</v>
      </c>
      <c r="L190">
        <v>157384017.1195713</v>
      </c>
      <c r="M190" t="s">
        <v>499</v>
      </c>
      <c r="N190" t="s">
        <v>499</v>
      </c>
      <c r="O190" t="s">
        <v>506</v>
      </c>
      <c r="P190">
        <v>4686</v>
      </c>
      <c r="Q190">
        <v>534</v>
      </c>
      <c r="R190">
        <v>4152</v>
      </c>
    </row>
    <row r="191" spans="1:18" x14ac:dyDescent="0.3">
      <c r="A191" t="s">
        <v>1211</v>
      </c>
      <c r="B191">
        <v>2022</v>
      </c>
      <c r="C191">
        <v>1.9050266378261851</v>
      </c>
      <c r="D191">
        <v>731412.09785539214</v>
      </c>
      <c r="E191">
        <v>27</v>
      </c>
      <c r="F191">
        <v>99</v>
      </c>
      <c r="G191">
        <v>7.7062198376460004E-4</v>
      </c>
      <c r="H191">
        <v>3</v>
      </c>
      <c r="I191">
        <v>2</v>
      </c>
      <c r="J191">
        <v>0.43414273839081929</v>
      </c>
      <c r="K191">
        <v>-0.25508061477185329</v>
      </c>
      <c r="L191">
        <v>74019422.555458501</v>
      </c>
      <c r="M191" t="s">
        <v>20</v>
      </c>
      <c r="N191" t="s">
        <v>46</v>
      </c>
      <c r="O191" t="s">
        <v>53</v>
      </c>
      <c r="P191">
        <v>2668</v>
      </c>
      <c r="Q191">
        <v>1383</v>
      </c>
      <c r="R191">
        <v>1285</v>
      </c>
    </row>
    <row r="192" spans="1:18" x14ac:dyDescent="0.3">
      <c r="A192" t="s">
        <v>1212</v>
      </c>
      <c r="B192">
        <v>2022</v>
      </c>
      <c r="C192">
        <v>1.437556904973502</v>
      </c>
      <c r="D192">
        <v>496173.71875</v>
      </c>
      <c r="E192">
        <v>4</v>
      </c>
      <c r="F192">
        <v>166</v>
      </c>
      <c r="G192">
        <v>1.2498456756501E-3</v>
      </c>
      <c r="H192">
        <v>6</v>
      </c>
      <c r="I192">
        <v>0</v>
      </c>
      <c r="J192">
        <v>0.47658203527010751</v>
      </c>
      <c r="K192">
        <v>-0.32346849832645708</v>
      </c>
      <c r="L192">
        <v>103330347.3823636</v>
      </c>
      <c r="M192" t="s">
        <v>406</v>
      </c>
      <c r="N192" t="s">
        <v>429</v>
      </c>
      <c r="O192" t="s">
        <v>431</v>
      </c>
      <c r="P192">
        <v>9398</v>
      </c>
      <c r="Q192">
        <v>3013</v>
      </c>
      <c r="R192">
        <v>6385</v>
      </c>
    </row>
    <row r="193" spans="1:18" x14ac:dyDescent="0.3">
      <c r="A193" t="s">
        <v>1213</v>
      </c>
      <c r="B193">
        <v>2022</v>
      </c>
      <c r="C193">
        <v>0.82012366333892606</v>
      </c>
      <c r="D193">
        <v>496183.765625</v>
      </c>
      <c r="E193">
        <v>7</v>
      </c>
      <c r="F193">
        <v>152</v>
      </c>
      <c r="G193">
        <v>1.6697148492999999E-4</v>
      </c>
      <c r="H193">
        <v>4</v>
      </c>
      <c r="I193">
        <v>2</v>
      </c>
      <c r="J193">
        <v>0.45714633000030003</v>
      </c>
      <c r="K193">
        <v>-0.40520307862526989</v>
      </c>
      <c r="L193">
        <v>291109803.13582581</v>
      </c>
      <c r="M193" t="s">
        <v>124</v>
      </c>
      <c r="N193" t="s">
        <v>124</v>
      </c>
      <c r="O193" t="s">
        <v>141</v>
      </c>
      <c r="P193">
        <v>3223</v>
      </c>
      <c r="Q193">
        <v>1258</v>
      </c>
      <c r="R193">
        <v>1965</v>
      </c>
    </row>
    <row r="194" spans="1:18" x14ac:dyDescent="0.3">
      <c r="A194" t="s">
        <v>1214</v>
      </c>
      <c r="B194">
        <v>2022</v>
      </c>
      <c r="C194">
        <v>1.2718281283910571</v>
      </c>
      <c r="D194">
        <v>3814125.3053308828</v>
      </c>
      <c r="E194">
        <v>68</v>
      </c>
      <c r="F194">
        <v>176</v>
      </c>
      <c r="G194">
        <v>6.2128104573170001E-4</v>
      </c>
      <c r="H194">
        <v>20</v>
      </c>
      <c r="I194">
        <v>8</v>
      </c>
      <c r="L194">
        <v>48313408.359092392</v>
      </c>
      <c r="M194" t="s">
        <v>191</v>
      </c>
      <c r="N194" t="s">
        <v>224</v>
      </c>
      <c r="O194" t="s">
        <v>1011</v>
      </c>
      <c r="P194">
        <v>3510</v>
      </c>
      <c r="Q194">
        <v>724</v>
      </c>
      <c r="R194">
        <v>2786</v>
      </c>
    </row>
    <row r="195" spans="1:18" x14ac:dyDescent="0.3">
      <c r="A195" t="s">
        <v>1215</v>
      </c>
      <c r="B195">
        <v>2022</v>
      </c>
      <c r="C195">
        <v>1.5988315580280781</v>
      </c>
      <c r="D195">
        <v>603493.37665441178</v>
      </c>
      <c r="E195">
        <v>17</v>
      </c>
      <c r="F195">
        <v>183</v>
      </c>
      <c r="G195">
        <v>5.316321105794E-4</v>
      </c>
      <c r="H195">
        <v>28</v>
      </c>
      <c r="I195">
        <v>0</v>
      </c>
      <c r="J195">
        <v>0.39044624516991999</v>
      </c>
      <c r="K195">
        <v>-0.38240814456176619</v>
      </c>
      <c r="L195">
        <v>55731379.441941537</v>
      </c>
      <c r="M195" t="s">
        <v>232</v>
      </c>
      <c r="N195" t="s">
        <v>254</v>
      </c>
      <c r="O195" t="s">
        <v>259</v>
      </c>
      <c r="P195">
        <v>3183</v>
      </c>
      <c r="Q195">
        <v>185</v>
      </c>
      <c r="R195">
        <v>2998</v>
      </c>
    </row>
    <row r="196" spans="1:18" x14ac:dyDescent="0.3">
      <c r="A196" t="s">
        <v>1216</v>
      </c>
      <c r="B196">
        <v>2022</v>
      </c>
      <c r="C196">
        <v>0.67661452825967716</v>
      </c>
      <c r="D196">
        <v>603502.99675245094</v>
      </c>
      <c r="E196">
        <v>8</v>
      </c>
      <c r="F196">
        <v>94</v>
      </c>
      <c r="G196">
        <v>9.491371299703E-4</v>
      </c>
      <c r="H196">
        <v>7</v>
      </c>
      <c r="I196">
        <v>5</v>
      </c>
      <c r="J196">
        <v>0.58446712555963198</v>
      </c>
      <c r="K196">
        <v>-0.25008018905213752</v>
      </c>
      <c r="L196">
        <v>265107533.4317365</v>
      </c>
      <c r="M196" t="s">
        <v>874</v>
      </c>
      <c r="N196" t="s">
        <v>895</v>
      </c>
      <c r="O196" t="s">
        <v>896</v>
      </c>
      <c r="P196">
        <v>2863</v>
      </c>
      <c r="Q196">
        <v>804</v>
      </c>
      <c r="R196">
        <v>2059</v>
      </c>
    </row>
    <row r="197" spans="1:18" x14ac:dyDescent="0.3">
      <c r="A197" t="s">
        <v>1217</v>
      </c>
      <c r="B197">
        <v>2022</v>
      </c>
      <c r="C197">
        <v>1.8304713096813721</v>
      </c>
      <c r="D197">
        <v>217157.7006127451</v>
      </c>
      <c r="E197">
        <v>9</v>
      </c>
      <c r="F197">
        <v>129</v>
      </c>
      <c r="G197">
        <v>4.6064188141929998E-4</v>
      </c>
      <c r="H197">
        <v>4</v>
      </c>
      <c r="I197">
        <v>3</v>
      </c>
      <c r="J197">
        <v>0.3178609111001201</v>
      </c>
      <c r="K197">
        <v>-0.2906828291692703</v>
      </c>
      <c r="L197">
        <v>58494595.385748439</v>
      </c>
      <c r="M197" t="s">
        <v>156</v>
      </c>
      <c r="N197" t="s">
        <v>97</v>
      </c>
      <c r="O197" t="s">
        <v>168</v>
      </c>
      <c r="P197">
        <v>2535</v>
      </c>
      <c r="Q197">
        <v>1374</v>
      </c>
      <c r="R197">
        <v>1161</v>
      </c>
    </row>
    <row r="198" spans="1:18" x14ac:dyDescent="0.3">
      <c r="A198" t="s">
        <v>1218</v>
      </c>
      <c r="B198">
        <v>2022</v>
      </c>
      <c r="C198">
        <v>0.92518029033714677</v>
      </c>
      <c r="D198">
        <v>993078.515625</v>
      </c>
      <c r="E198">
        <v>56</v>
      </c>
      <c r="F198">
        <v>151</v>
      </c>
      <c r="G198">
        <v>7.7653902709329996E-4</v>
      </c>
      <c r="H198">
        <v>10</v>
      </c>
      <c r="I198">
        <v>3</v>
      </c>
      <c r="J198">
        <v>0.32392099291768428</v>
      </c>
      <c r="K198">
        <v>-0.27611832188886209</v>
      </c>
      <c r="L198">
        <v>81597483.161557838</v>
      </c>
      <c r="M198" t="s">
        <v>612</v>
      </c>
      <c r="N198" t="s">
        <v>635</v>
      </c>
      <c r="O198" t="s">
        <v>639</v>
      </c>
      <c r="P198">
        <v>955</v>
      </c>
      <c r="Q198">
        <v>35</v>
      </c>
      <c r="R198">
        <v>920</v>
      </c>
    </row>
    <row r="199" spans="1:18" x14ac:dyDescent="0.3">
      <c r="A199" t="s">
        <v>1219</v>
      </c>
      <c r="B199">
        <v>2022</v>
      </c>
      <c r="C199">
        <v>0.79779016942915981</v>
      </c>
      <c r="D199">
        <v>859620.42941176472</v>
      </c>
      <c r="E199">
        <v>21</v>
      </c>
      <c r="F199">
        <v>157</v>
      </c>
      <c r="G199">
        <v>7.6293876069240003E-4</v>
      </c>
      <c r="H199">
        <v>10</v>
      </c>
      <c r="I199">
        <v>2</v>
      </c>
      <c r="J199">
        <v>0.61827635426446492</v>
      </c>
      <c r="K199">
        <v>-0.24051064303097131</v>
      </c>
      <c r="L199">
        <v>370631471.37880713</v>
      </c>
      <c r="M199" t="s">
        <v>756</v>
      </c>
      <c r="N199" t="s">
        <v>766</v>
      </c>
      <c r="O199" t="s">
        <v>766</v>
      </c>
      <c r="P199">
        <v>1883</v>
      </c>
      <c r="Q199">
        <v>1167</v>
      </c>
      <c r="R199">
        <v>716</v>
      </c>
    </row>
    <row r="200" spans="1:18" x14ac:dyDescent="0.3">
      <c r="A200" t="s">
        <v>1220</v>
      </c>
      <c r="B200">
        <v>2022</v>
      </c>
      <c r="C200">
        <v>0.51533368708746219</v>
      </c>
      <c r="D200">
        <v>1489621.5</v>
      </c>
      <c r="E200">
        <v>8</v>
      </c>
      <c r="F200">
        <v>46</v>
      </c>
      <c r="G200">
        <v>2.1319290347924002E-3</v>
      </c>
      <c r="H200">
        <v>8</v>
      </c>
      <c r="I200">
        <v>1</v>
      </c>
      <c r="J200">
        <v>0.68689086008029887</v>
      </c>
      <c r="K200">
        <v>-0.27211954540154459</v>
      </c>
      <c r="L200">
        <v>639353232.6268332</v>
      </c>
      <c r="M200" t="s">
        <v>756</v>
      </c>
      <c r="N200" t="s">
        <v>770</v>
      </c>
      <c r="O200" t="s">
        <v>770</v>
      </c>
      <c r="P200">
        <v>5687</v>
      </c>
      <c r="Q200">
        <v>1084</v>
      </c>
      <c r="R200">
        <v>4603</v>
      </c>
    </row>
    <row r="201" spans="1:18" x14ac:dyDescent="0.3">
      <c r="A201" t="s">
        <v>1221</v>
      </c>
      <c r="B201">
        <v>2022</v>
      </c>
      <c r="C201">
        <v>6.5166491842014747</v>
      </c>
      <c r="D201">
        <v>57340996.450551473</v>
      </c>
      <c r="E201">
        <v>444</v>
      </c>
      <c r="F201">
        <v>1307</v>
      </c>
      <c r="G201">
        <v>2.1387229288880001E-4</v>
      </c>
      <c r="H201">
        <v>12</v>
      </c>
      <c r="I201">
        <v>14</v>
      </c>
      <c r="L201">
        <v>111586568.3344398</v>
      </c>
      <c r="M201" t="s">
        <v>652</v>
      </c>
      <c r="N201" t="s">
        <v>772</v>
      </c>
      <c r="O201" t="s">
        <v>145</v>
      </c>
      <c r="P201">
        <v>49846</v>
      </c>
      <c r="Q201">
        <v>42636</v>
      </c>
      <c r="R201">
        <v>7210</v>
      </c>
    </row>
    <row r="202" spans="1:18" x14ac:dyDescent="0.3">
      <c r="A202" t="s">
        <v>1222</v>
      </c>
      <c r="B202">
        <v>2022</v>
      </c>
      <c r="C202">
        <v>7.3988976459034141</v>
      </c>
      <c r="D202">
        <v>102130.48995098039</v>
      </c>
      <c r="E202">
        <v>9</v>
      </c>
      <c r="F202">
        <v>203</v>
      </c>
      <c r="G202">
        <v>5.3048362956980004E-4</v>
      </c>
      <c r="H202">
        <v>13</v>
      </c>
      <c r="I202">
        <v>2</v>
      </c>
      <c r="J202">
        <v>0.51062536740919229</v>
      </c>
      <c r="K202">
        <v>-0.35945544235850591</v>
      </c>
      <c r="L202">
        <v>16169106.21656906</v>
      </c>
      <c r="M202" t="s">
        <v>20</v>
      </c>
      <c r="N202" t="s">
        <v>21</v>
      </c>
      <c r="O202" t="s">
        <v>37</v>
      </c>
      <c r="P202">
        <v>5039</v>
      </c>
      <c r="Q202">
        <v>3582</v>
      </c>
      <c r="R202">
        <v>1457</v>
      </c>
    </row>
    <row r="203" spans="1:18" x14ac:dyDescent="0.3">
      <c r="A203" t="s">
        <v>1223</v>
      </c>
      <c r="B203">
        <v>2022</v>
      </c>
      <c r="C203">
        <v>0.7941511402866589</v>
      </c>
      <c r="D203">
        <v>649509.52751225489</v>
      </c>
      <c r="E203">
        <v>12</v>
      </c>
      <c r="F203">
        <v>142</v>
      </c>
      <c r="G203">
        <v>3.6009208958759999E-4</v>
      </c>
      <c r="H203">
        <v>10</v>
      </c>
      <c r="I203">
        <v>17</v>
      </c>
      <c r="J203">
        <v>0.5003871765805008</v>
      </c>
      <c r="K203">
        <v>-0.3343831850888167</v>
      </c>
      <c r="L203">
        <v>149179127.0093492</v>
      </c>
      <c r="M203" t="s">
        <v>156</v>
      </c>
      <c r="N203" t="s">
        <v>177</v>
      </c>
      <c r="O203" t="s">
        <v>178</v>
      </c>
      <c r="P203">
        <v>2657</v>
      </c>
      <c r="Q203">
        <v>830</v>
      </c>
      <c r="R203">
        <v>1827</v>
      </c>
    </row>
    <row r="204" spans="1:18" x14ac:dyDescent="0.3">
      <c r="A204" t="s">
        <v>1224</v>
      </c>
      <c r="B204">
        <v>2022</v>
      </c>
      <c r="C204">
        <v>4.0383612816169494</v>
      </c>
      <c r="D204">
        <v>96218.330514705885</v>
      </c>
      <c r="E204">
        <v>26</v>
      </c>
      <c r="F204">
        <v>48</v>
      </c>
      <c r="G204">
        <v>1.1661799664129001E-3</v>
      </c>
      <c r="H204">
        <v>7</v>
      </c>
      <c r="I204">
        <v>0</v>
      </c>
      <c r="J204">
        <v>0.4796699430209273</v>
      </c>
      <c r="K204">
        <v>-0.3429660209455318</v>
      </c>
      <c r="L204">
        <v>10263463.69740502</v>
      </c>
      <c r="M204" t="s">
        <v>287</v>
      </c>
      <c r="N204" t="s">
        <v>336</v>
      </c>
      <c r="O204" t="s">
        <v>342</v>
      </c>
      <c r="P204">
        <v>963</v>
      </c>
      <c r="Q204">
        <v>540</v>
      </c>
      <c r="R204">
        <v>423</v>
      </c>
    </row>
    <row r="205" spans="1:18" x14ac:dyDescent="0.3">
      <c r="A205" t="s">
        <v>1225</v>
      </c>
      <c r="B205">
        <v>2022</v>
      </c>
      <c r="C205">
        <v>0.94042103350561157</v>
      </c>
      <c r="D205">
        <v>3608842.4644607841</v>
      </c>
      <c r="E205">
        <v>35</v>
      </c>
      <c r="F205">
        <v>224</v>
      </c>
      <c r="G205">
        <v>7.4932055449720004E-4</v>
      </c>
      <c r="H205">
        <v>7</v>
      </c>
      <c r="I205">
        <v>1</v>
      </c>
      <c r="J205">
        <v>0.29811681173266918</v>
      </c>
      <c r="K205">
        <v>-0.26877518399013339</v>
      </c>
      <c r="L205">
        <v>137100260.83522949</v>
      </c>
      <c r="M205" t="s">
        <v>612</v>
      </c>
      <c r="N205" t="s">
        <v>668</v>
      </c>
      <c r="O205" t="s">
        <v>669</v>
      </c>
      <c r="P205">
        <v>6301</v>
      </c>
      <c r="Q205">
        <v>1698</v>
      </c>
      <c r="R205">
        <v>4603</v>
      </c>
    </row>
    <row r="206" spans="1:18" x14ac:dyDescent="0.3">
      <c r="A206" t="s">
        <v>1226</v>
      </c>
      <c r="B206">
        <v>2022</v>
      </c>
      <c r="C206">
        <v>2.153131758478279</v>
      </c>
      <c r="D206">
        <v>250925.4317401961</v>
      </c>
      <c r="E206">
        <v>12</v>
      </c>
      <c r="F206">
        <v>120</v>
      </c>
      <c r="G206">
        <v>4.9974671052870003E-4</v>
      </c>
      <c r="H206">
        <v>6</v>
      </c>
      <c r="I206">
        <v>2</v>
      </c>
      <c r="J206">
        <v>0.55164239892800326</v>
      </c>
      <c r="K206">
        <v>-0.30295233884760309</v>
      </c>
      <c r="L206">
        <v>41905784.037630983</v>
      </c>
      <c r="M206" t="s">
        <v>20</v>
      </c>
      <c r="N206" t="s">
        <v>46</v>
      </c>
      <c r="O206" t="s">
        <v>52</v>
      </c>
      <c r="P206">
        <v>3045</v>
      </c>
      <c r="Q206">
        <v>1094</v>
      </c>
      <c r="R206">
        <v>1951</v>
      </c>
    </row>
    <row r="207" spans="1:18" x14ac:dyDescent="0.3">
      <c r="A207" t="s">
        <v>1227</v>
      </c>
      <c r="B207">
        <v>2022</v>
      </c>
      <c r="C207">
        <v>4.2419589232432164</v>
      </c>
      <c r="D207">
        <v>24223062.226286761</v>
      </c>
      <c r="E207">
        <v>96</v>
      </c>
      <c r="F207">
        <v>2146</v>
      </c>
      <c r="G207">
        <v>1.3162226186410001E-4</v>
      </c>
      <c r="H207">
        <v>12</v>
      </c>
      <c r="I207">
        <v>6</v>
      </c>
      <c r="J207">
        <v>0.18285318254069999</v>
      </c>
      <c r="K207">
        <v>-0.30724509113299242</v>
      </c>
      <c r="L207">
        <v>537478977.03875327</v>
      </c>
      <c r="M207" t="s">
        <v>940</v>
      </c>
      <c r="N207" t="s">
        <v>940</v>
      </c>
      <c r="O207" t="s">
        <v>940</v>
      </c>
      <c r="P207">
        <v>72545</v>
      </c>
      <c r="Q207">
        <v>42058</v>
      </c>
      <c r="R207">
        <v>30487</v>
      </c>
    </row>
    <row r="208" spans="1:18" x14ac:dyDescent="0.3">
      <c r="A208" t="s">
        <v>1228</v>
      </c>
      <c r="B208">
        <v>2022</v>
      </c>
      <c r="C208">
        <v>1.939486299550194</v>
      </c>
      <c r="D208">
        <v>40883.757352941167</v>
      </c>
      <c r="E208">
        <v>2</v>
      </c>
      <c r="F208">
        <v>113</v>
      </c>
      <c r="G208">
        <v>7.979616413098E-4</v>
      </c>
      <c r="H208">
        <v>7</v>
      </c>
      <c r="I208">
        <v>2</v>
      </c>
      <c r="J208">
        <v>0.40755589850021401</v>
      </c>
      <c r="K208">
        <v>-0.34339448173710591</v>
      </c>
      <c r="L208">
        <v>34892792.724922404</v>
      </c>
      <c r="M208" t="s">
        <v>97</v>
      </c>
      <c r="N208" t="s">
        <v>109</v>
      </c>
      <c r="O208" t="s">
        <v>111</v>
      </c>
      <c r="P208">
        <v>2745</v>
      </c>
      <c r="Q208">
        <v>865</v>
      </c>
      <c r="R208">
        <v>1880</v>
      </c>
    </row>
    <row r="209" spans="1:18" x14ac:dyDescent="0.3">
      <c r="A209" t="s">
        <v>1229</v>
      </c>
      <c r="B209">
        <v>2022</v>
      </c>
      <c r="C209">
        <v>13.36331437080068</v>
      </c>
      <c r="D209">
        <v>5745079.1718137264</v>
      </c>
      <c r="E209">
        <v>864</v>
      </c>
      <c r="F209">
        <v>135</v>
      </c>
      <c r="G209">
        <v>1.431878128869E-3</v>
      </c>
      <c r="H209">
        <v>11</v>
      </c>
      <c r="I209">
        <v>2</v>
      </c>
      <c r="J209">
        <v>0.35897895946105229</v>
      </c>
      <c r="K209">
        <v>-0.26322048295581391</v>
      </c>
      <c r="L209">
        <v>10447145.66877198</v>
      </c>
      <c r="M209" t="s">
        <v>830</v>
      </c>
      <c r="N209" t="s">
        <v>831</v>
      </c>
      <c r="O209" t="s">
        <v>404</v>
      </c>
      <c r="P209">
        <v>6187</v>
      </c>
      <c r="Q209">
        <v>4549</v>
      </c>
      <c r="R209">
        <v>1638</v>
      </c>
    </row>
    <row r="210" spans="1:18" x14ac:dyDescent="0.3">
      <c r="A210" t="s">
        <v>1230</v>
      </c>
      <c r="B210">
        <v>2022</v>
      </c>
      <c r="C210">
        <v>14.19498901039873</v>
      </c>
      <c r="D210">
        <v>5324504.5558823533</v>
      </c>
      <c r="E210">
        <v>843</v>
      </c>
      <c r="F210">
        <v>315</v>
      </c>
      <c r="G210">
        <v>7.0300234607389999E-4</v>
      </c>
      <c r="H210">
        <v>14</v>
      </c>
      <c r="I210">
        <v>4</v>
      </c>
      <c r="J210">
        <v>0.40488224330316841</v>
      </c>
      <c r="K210">
        <v>-0.27899641755811277</v>
      </c>
      <c r="L210">
        <v>12502053.017602229</v>
      </c>
      <c r="M210" t="s">
        <v>830</v>
      </c>
      <c r="N210" t="s">
        <v>857</v>
      </c>
      <c r="O210" t="s">
        <v>863</v>
      </c>
      <c r="P210">
        <v>6288</v>
      </c>
      <c r="Q210">
        <v>1801</v>
      </c>
      <c r="R210">
        <v>4487</v>
      </c>
    </row>
    <row r="211" spans="1:18" x14ac:dyDescent="0.3">
      <c r="A211" t="s">
        <v>1231</v>
      </c>
      <c r="B211">
        <v>2022</v>
      </c>
      <c r="C211">
        <v>8.5011116666974278</v>
      </c>
      <c r="D211">
        <v>1650299.4102328429</v>
      </c>
      <c r="E211">
        <v>161</v>
      </c>
      <c r="F211">
        <v>147</v>
      </c>
      <c r="G211">
        <v>1.4932198193276999E-3</v>
      </c>
      <c r="H211">
        <v>8</v>
      </c>
      <c r="I211">
        <v>2</v>
      </c>
      <c r="J211">
        <v>0.31746532950029471</v>
      </c>
      <c r="K211">
        <v>-0.27753043844966863</v>
      </c>
      <c r="L211">
        <v>15439738.97499867</v>
      </c>
      <c r="M211" t="s">
        <v>830</v>
      </c>
      <c r="N211" t="s">
        <v>831</v>
      </c>
      <c r="O211" t="s">
        <v>845</v>
      </c>
      <c r="P211">
        <v>6141</v>
      </c>
      <c r="Q211">
        <v>3603</v>
      </c>
      <c r="R211">
        <v>2538</v>
      </c>
    </row>
    <row r="212" spans="1:18" x14ac:dyDescent="0.3">
      <c r="A212" t="s">
        <v>1232</v>
      </c>
      <c r="B212">
        <v>2022</v>
      </c>
      <c r="C212">
        <v>1.007591329415048</v>
      </c>
      <c r="D212">
        <v>1734124.1875</v>
      </c>
      <c r="E212">
        <v>14</v>
      </c>
      <c r="F212">
        <v>302</v>
      </c>
      <c r="G212">
        <v>1.9298497450910001E-4</v>
      </c>
      <c r="H212">
        <v>14</v>
      </c>
      <c r="I212">
        <v>31</v>
      </c>
      <c r="J212">
        <v>0.43125707473582908</v>
      </c>
      <c r="K212">
        <v>-0.33180145137115608</v>
      </c>
      <c r="L212">
        <v>241196700.2914764</v>
      </c>
      <c r="M212" t="s">
        <v>499</v>
      </c>
      <c r="N212" t="s">
        <v>550</v>
      </c>
      <c r="O212" t="s">
        <v>551</v>
      </c>
      <c r="P212">
        <v>8983</v>
      </c>
      <c r="Q212">
        <v>5659</v>
      </c>
      <c r="R212">
        <v>3324</v>
      </c>
    </row>
    <row r="213" spans="1:18" x14ac:dyDescent="0.3">
      <c r="A213" t="s">
        <v>1233</v>
      </c>
      <c r="B213">
        <v>2022</v>
      </c>
      <c r="C213">
        <v>2.1710890531756011</v>
      </c>
      <c r="D213">
        <v>2233966.078125</v>
      </c>
      <c r="E213">
        <v>8</v>
      </c>
      <c r="F213">
        <v>643</v>
      </c>
      <c r="G213">
        <v>1.518674586598E-4</v>
      </c>
      <c r="H213">
        <v>16</v>
      </c>
      <c r="I213">
        <v>6</v>
      </c>
      <c r="J213">
        <v>0.27621324437526329</v>
      </c>
      <c r="K213">
        <v>-0.23442106986076641</v>
      </c>
      <c r="L213">
        <v>365005095.08058041</v>
      </c>
      <c r="M213" t="s">
        <v>406</v>
      </c>
      <c r="N213" t="s">
        <v>441</v>
      </c>
      <c r="O213" t="s">
        <v>441</v>
      </c>
      <c r="P213">
        <v>43691</v>
      </c>
      <c r="Q213">
        <v>11273</v>
      </c>
      <c r="R213">
        <v>32418</v>
      </c>
    </row>
    <row r="214" spans="1:18" x14ac:dyDescent="0.3">
      <c r="A214" t="s">
        <v>1234</v>
      </c>
      <c r="B214">
        <v>2022</v>
      </c>
      <c r="C214">
        <v>9.8510331513224365</v>
      </c>
      <c r="D214">
        <v>5883512.7572916681</v>
      </c>
      <c r="E214">
        <v>814</v>
      </c>
      <c r="F214">
        <v>161</v>
      </c>
      <c r="G214">
        <v>7.8853973078520003E-4</v>
      </c>
      <c r="H214">
        <v>5</v>
      </c>
      <c r="I214">
        <v>2</v>
      </c>
      <c r="J214">
        <v>0.48005726508499191</v>
      </c>
      <c r="K214">
        <v>-0.34717873574753372</v>
      </c>
      <c r="L214">
        <v>12790115.22673128</v>
      </c>
      <c r="M214" t="s">
        <v>830</v>
      </c>
      <c r="N214" t="s">
        <v>831</v>
      </c>
      <c r="O214" t="s">
        <v>832</v>
      </c>
      <c r="P214">
        <v>5281</v>
      </c>
      <c r="Q214">
        <v>2647</v>
      </c>
      <c r="R214">
        <v>2634</v>
      </c>
    </row>
    <row r="215" spans="1:18" x14ac:dyDescent="0.3">
      <c r="A215" t="s">
        <v>1235</v>
      </c>
      <c r="B215">
        <v>2022</v>
      </c>
      <c r="C215">
        <v>5.338210639583445</v>
      </c>
      <c r="D215">
        <v>4082386.286825981</v>
      </c>
      <c r="E215">
        <v>417</v>
      </c>
      <c r="F215">
        <v>159</v>
      </c>
      <c r="G215">
        <v>6.6256274915490001E-4</v>
      </c>
      <c r="H215">
        <v>7</v>
      </c>
      <c r="I215">
        <v>1</v>
      </c>
      <c r="J215">
        <v>0.43238594171429068</v>
      </c>
      <c r="K215">
        <v>-0.3348591236674256</v>
      </c>
      <c r="L215">
        <v>19649343.485476971</v>
      </c>
      <c r="M215" t="s">
        <v>830</v>
      </c>
      <c r="N215" t="s">
        <v>831</v>
      </c>
      <c r="O215" t="s">
        <v>834</v>
      </c>
      <c r="P215">
        <v>3931</v>
      </c>
      <c r="Q215">
        <v>1558</v>
      </c>
      <c r="R215">
        <v>2373</v>
      </c>
    </row>
    <row r="216" spans="1:18" x14ac:dyDescent="0.3">
      <c r="A216" t="s">
        <v>1236</v>
      </c>
      <c r="B216">
        <v>2022</v>
      </c>
      <c r="C216">
        <v>1.1259569595567831</v>
      </c>
      <c r="D216">
        <v>1241568.609375</v>
      </c>
      <c r="E216">
        <v>9</v>
      </c>
      <c r="F216">
        <v>328</v>
      </c>
      <c r="G216">
        <v>3.4641414546709998E-4</v>
      </c>
      <c r="H216">
        <v>16</v>
      </c>
      <c r="I216">
        <v>28</v>
      </c>
      <c r="J216">
        <v>0.59917281202648431</v>
      </c>
      <c r="K216">
        <v>-0.29051081275574042</v>
      </c>
      <c r="L216">
        <v>167267276.2756061</v>
      </c>
      <c r="M216" t="s">
        <v>612</v>
      </c>
      <c r="N216" t="s">
        <v>627</v>
      </c>
      <c r="O216" t="s">
        <v>631</v>
      </c>
      <c r="P216">
        <v>11953</v>
      </c>
      <c r="Q216">
        <v>1213</v>
      </c>
      <c r="R216">
        <v>10740</v>
      </c>
    </row>
    <row r="217" spans="1:18" x14ac:dyDescent="0.3">
      <c r="A217" t="s">
        <v>1237</v>
      </c>
      <c r="B217">
        <v>2022</v>
      </c>
      <c r="C217">
        <v>2.5249725091008481</v>
      </c>
      <c r="D217">
        <v>6451971.875</v>
      </c>
      <c r="E217">
        <v>30</v>
      </c>
      <c r="F217">
        <v>737</v>
      </c>
      <c r="G217">
        <v>3.8723730386019999E-4</v>
      </c>
      <c r="H217">
        <v>19</v>
      </c>
      <c r="I217">
        <v>4</v>
      </c>
      <c r="J217">
        <v>0.38692001547465438</v>
      </c>
      <c r="K217">
        <v>-0.27834558073951687</v>
      </c>
      <c r="L217">
        <v>231000959.7363514</v>
      </c>
      <c r="M217" t="s">
        <v>406</v>
      </c>
      <c r="N217" t="s">
        <v>434</v>
      </c>
      <c r="O217" t="s">
        <v>434</v>
      </c>
      <c r="P217">
        <v>44130</v>
      </c>
      <c r="Q217">
        <v>24248</v>
      </c>
      <c r="R217">
        <v>19882</v>
      </c>
    </row>
    <row r="218" spans="1:18" x14ac:dyDescent="0.3">
      <c r="A218" t="s">
        <v>1238</v>
      </c>
      <c r="B218">
        <v>2022</v>
      </c>
      <c r="C218">
        <v>1.9583491269941959</v>
      </c>
      <c r="D218">
        <v>5509436.9285539212</v>
      </c>
      <c r="E218">
        <v>67</v>
      </c>
      <c r="F218">
        <v>305</v>
      </c>
      <c r="G218">
        <v>3.3650113249810001E-4</v>
      </c>
      <c r="H218">
        <v>6</v>
      </c>
      <c r="I218">
        <v>6</v>
      </c>
      <c r="J218">
        <v>0.41875583987119869</v>
      </c>
      <c r="K218">
        <v>-0.25571320058613772</v>
      </c>
      <c r="L218">
        <v>166186430.71365979</v>
      </c>
      <c r="M218" t="s">
        <v>232</v>
      </c>
      <c r="N218" t="s">
        <v>260</v>
      </c>
      <c r="O218" t="s">
        <v>260</v>
      </c>
      <c r="P218">
        <v>13399</v>
      </c>
      <c r="Q218">
        <v>8401</v>
      </c>
      <c r="R218">
        <v>4998</v>
      </c>
    </row>
    <row r="219" spans="1:18" x14ac:dyDescent="0.3">
      <c r="A219" t="s">
        <v>1239</v>
      </c>
      <c r="B219">
        <v>2022</v>
      </c>
      <c r="C219">
        <v>2.1752577208042192</v>
      </c>
      <c r="D219">
        <v>1111916.7229779409</v>
      </c>
      <c r="E219">
        <v>28</v>
      </c>
      <c r="F219">
        <v>184</v>
      </c>
      <c r="G219">
        <v>4.392679516713E-4</v>
      </c>
      <c r="H219">
        <v>12</v>
      </c>
      <c r="I219">
        <v>7</v>
      </c>
      <c r="J219">
        <v>0.35944837841262478</v>
      </c>
      <c r="K219">
        <v>-0.33252291828292962</v>
      </c>
      <c r="L219">
        <v>41286252.545430802</v>
      </c>
      <c r="M219" t="s">
        <v>191</v>
      </c>
      <c r="N219" t="s">
        <v>218</v>
      </c>
      <c r="O219" t="s">
        <v>221</v>
      </c>
      <c r="P219">
        <v>7254</v>
      </c>
      <c r="Q219">
        <v>2480</v>
      </c>
      <c r="R219">
        <v>4774</v>
      </c>
    </row>
    <row r="220" spans="1:18" x14ac:dyDescent="0.3">
      <c r="A220" t="s">
        <v>1240</v>
      </c>
      <c r="B220">
        <v>2022</v>
      </c>
      <c r="C220">
        <v>0.80200736137056561</v>
      </c>
      <c r="D220">
        <v>3567507.7468137252</v>
      </c>
      <c r="E220">
        <v>42</v>
      </c>
      <c r="F220">
        <v>218</v>
      </c>
      <c r="G220">
        <v>3.291034343153E-4</v>
      </c>
      <c r="H220">
        <v>5</v>
      </c>
      <c r="I220">
        <v>8</v>
      </c>
      <c r="J220">
        <v>0.38914936130561179</v>
      </c>
      <c r="K220">
        <v>-0.30831567563648909</v>
      </c>
      <c r="L220">
        <v>161759411.74461561</v>
      </c>
      <c r="M220" t="s">
        <v>191</v>
      </c>
      <c r="N220" t="s">
        <v>218</v>
      </c>
      <c r="O220" t="s">
        <v>220</v>
      </c>
      <c r="P220">
        <v>5949</v>
      </c>
      <c r="Q220">
        <v>507</v>
      </c>
      <c r="R220">
        <v>5442</v>
      </c>
    </row>
    <row r="221" spans="1:18" x14ac:dyDescent="0.3">
      <c r="A221" t="s">
        <v>1241</v>
      </c>
      <c r="B221">
        <v>2022</v>
      </c>
      <c r="C221">
        <v>0.95480554471251444</v>
      </c>
      <c r="D221">
        <v>991225.1875</v>
      </c>
      <c r="E221">
        <v>20</v>
      </c>
      <c r="F221">
        <v>133</v>
      </c>
      <c r="G221">
        <v>4.5634620096100001E-4</v>
      </c>
      <c r="H221">
        <v>3</v>
      </c>
      <c r="I221">
        <v>19</v>
      </c>
      <c r="J221">
        <v>0.54719127805935031</v>
      </c>
      <c r="K221">
        <v>-0.1919417441138751</v>
      </c>
      <c r="L221">
        <v>475489741.38388002</v>
      </c>
      <c r="M221" t="s">
        <v>874</v>
      </c>
      <c r="N221" t="s">
        <v>895</v>
      </c>
      <c r="O221" t="s">
        <v>897</v>
      </c>
      <c r="P221">
        <v>4131</v>
      </c>
      <c r="Q221">
        <v>1614</v>
      </c>
      <c r="R221">
        <v>2517</v>
      </c>
    </row>
    <row r="222" spans="1:18" x14ac:dyDescent="0.3">
      <c r="A222" t="s">
        <v>1242</v>
      </c>
      <c r="B222">
        <v>2022</v>
      </c>
      <c r="C222">
        <v>22.061761723525851</v>
      </c>
      <c r="D222">
        <v>9716365.3017156832</v>
      </c>
      <c r="E222">
        <v>1209</v>
      </c>
      <c r="F222">
        <v>328</v>
      </c>
      <c r="G222">
        <v>9.1902776377579998E-4</v>
      </c>
      <c r="H222">
        <v>10</v>
      </c>
      <c r="I222">
        <v>1</v>
      </c>
      <c r="J222">
        <v>0.33348518778089731</v>
      </c>
      <c r="K222">
        <v>-0.26542593047384933</v>
      </c>
      <c r="L222">
        <v>14155062.69249242</v>
      </c>
      <c r="M222" t="s">
        <v>830</v>
      </c>
      <c r="N222" t="s">
        <v>831</v>
      </c>
      <c r="O222" t="s">
        <v>835</v>
      </c>
      <c r="P222">
        <v>15766</v>
      </c>
      <c r="Q222">
        <v>11800</v>
      </c>
      <c r="R222">
        <v>3966</v>
      </c>
    </row>
    <row r="223" spans="1:18" x14ac:dyDescent="0.3">
      <c r="A223" t="s">
        <v>1243</v>
      </c>
      <c r="B223">
        <v>2022</v>
      </c>
      <c r="C223">
        <v>2.2816317558860431</v>
      </c>
      <c r="D223">
        <v>525669.01629901957</v>
      </c>
      <c r="E223">
        <v>57</v>
      </c>
      <c r="F223">
        <v>95</v>
      </c>
      <c r="G223">
        <v>1.0261034498841E-3</v>
      </c>
      <c r="H223">
        <v>6</v>
      </c>
      <c r="I223">
        <v>7</v>
      </c>
      <c r="J223">
        <v>0.3936876977571897</v>
      </c>
      <c r="K223">
        <v>-0.36594457824329391</v>
      </c>
      <c r="L223">
        <v>26005119.154226061</v>
      </c>
      <c r="M223" t="s">
        <v>97</v>
      </c>
      <c r="N223" t="s">
        <v>98</v>
      </c>
      <c r="O223" t="s">
        <v>104</v>
      </c>
      <c r="P223">
        <v>1896</v>
      </c>
      <c r="Q223">
        <v>746</v>
      </c>
      <c r="R223">
        <v>1150</v>
      </c>
    </row>
    <row r="224" spans="1:18" x14ac:dyDescent="0.3">
      <c r="A224" t="s">
        <v>1244</v>
      </c>
      <c r="B224">
        <v>2022</v>
      </c>
      <c r="C224">
        <v>17.529422483712949</v>
      </c>
      <c r="D224">
        <v>10035801.80085784</v>
      </c>
      <c r="E224">
        <v>1563</v>
      </c>
      <c r="F224">
        <v>282</v>
      </c>
      <c r="G224">
        <v>6.890579460486E-4</v>
      </c>
      <c r="H224">
        <v>8</v>
      </c>
      <c r="I224">
        <v>1</v>
      </c>
      <c r="J224">
        <v>0.38807775424159402</v>
      </c>
      <c r="K224">
        <v>-0.28544061879844551</v>
      </c>
      <c r="L224">
        <v>15974194.674766939</v>
      </c>
      <c r="M224" t="s">
        <v>830</v>
      </c>
      <c r="N224" t="s">
        <v>831</v>
      </c>
      <c r="O224" t="s">
        <v>839</v>
      </c>
      <c r="P224">
        <v>10382</v>
      </c>
      <c r="Q224">
        <v>6721</v>
      </c>
      <c r="R224">
        <v>3661</v>
      </c>
    </row>
    <row r="225" spans="1:18" x14ac:dyDescent="0.3">
      <c r="A225" t="s">
        <v>1245</v>
      </c>
      <c r="B225">
        <v>2022</v>
      </c>
      <c r="C225">
        <v>1.0751381583574739</v>
      </c>
      <c r="D225">
        <v>442740.72028186283</v>
      </c>
      <c r="E225">
        <v>5</v>
      </c>
      <c r="F225">
        <v>321</v>
      </c>
      <c r="G225">
        <v>4.6016492654859999E-4</v>
      </c>
      <c r="H225">
        <v>10</v>
      </c>
      <c r="I225">
        <v>0</v>
      </c>
      <c r="J225">
        <v>0.249873553118307</v>
      </c>
      <c r="K225">
        <v>-0.1114088508207892</v>
      </c>
      <c r="L225">
        <v>757967400.82402956</v>
      </c>
      <c r="M225" t="s">
        <v>406</v>
      </c>
      <c r="N225" t="s">
        <v>429</v>
      </c>
      <c r="O225" t="s">
        <v>433</v>
      </c>
      <c r="P225">
        <v>9450</v>
      </c>
      <c r="Q225">
        <v>1050</v>
      </c>
      <c r="R225">
        <v>8400</v>
      </c>
    </row>
    <row r="226" spans="1:18" x14ac:dyDescent="0.3">
      <c r="A226" t="s">
        <v>1246</v>
      </c>
      <c r="B226">
        <v>2022</v>
      </c>
      <c r="C226">
        <v>0.52484877405899777</v>
      </c>
      <c r="D226">
        <v>36987.842524509811</v>
      </c>
      <c r="E226">
        <v>2</v>
      </c>
      <c r="F226">
        <v>37</v>
      </c>
      <c r="G226">
        <v>4.7365494825078996E-3</v>
      </c>
      <c r="H226">
        <v>4</v>
      </c>
      <c r="I226">
        <v>6</v>
      </c>
      <c r="J226">
        <v>0.59831385105613399</v>
      </c>
      <c r="K226">
        <v>-0.25532063130984511</v>
      </c>
      <c r="L226">
        <v>213729903.17201859</v>
      </c>
      <c r="M226" t="s">
        <v>674</v>
      </c>
      <c r="N226" t="s">
        <v>698</v>
      </c>
      <c r="O226" t="s">
        <v>699</v>
      </c>
      <c r="P226">
        <v>974</v>
      </c>
      <c r="Q226">
        <v>126</v>
      </c>
      <c r="R226">
        <v>848</v>
      </c>
    </row>
    <row r="227" spans="1:18" x14ac:dyDescent="0.3">
      <c r="A227" t="s">
        <v>1247</v>
      </c>
      <c r="B227">
        <v>2022</v>
      </c>
      <c r="C227">
        <v>3.4592324114335979</v>
      </c>
      <c r="D227">
        <v>7443280.515625</v>
      </c>
      <c r="E227">
        <v>56</v>
      </c>
      <c r="F227">
        <v>1187</v>
      </c>
      <c r="G227">
        <v>4.0285354878809998E-4</v>
      </c>
      <c r="H227">
        <v>9</v>
      </c>
      <c r="I227">
        <v>6</v>
      </c>
      <c r="J227">
        <v>0.51200142245988278</v>
      </c>
      <c r="K227">
        <v>-0.29125809952299347</v>
      </c>
      <c r="L227">
        <v>157002863.47131059</v>
      </c>
      <c r="M227" t="s">
        <v>124</v>
      </c>
      <c r="N227" t="s">
        <v>149</v>
      </c>
      <c r="O227" t="s">
        <v>149</v>
      </c>
      <c r="P227">
        <v>46421</v>
      </c>
      <c r="Q227">
        <v>28236</v>
      </c>
      <c r="R227">
        <v>18185</v>
      </c>
    </row>
    <row r="228" spans="1:18" x14ac:dyDescent="0.3">
      <c r="A228" t="s">
        <v>1248</v>
      </c>
      <c r="B228">
        <v>2022</v>
      </c>
      <c r="C228">
        <v>4.8170942469660849</v>
      </c>
      <c r="D228">
        <v>786721.13186274515</v>
      </c>
      <c r="E228">
        <v>32</v>
      </c>
      <c r="F228">
        <v>356</v>
      </c>
      <c r="G228">
        <v>4.3334856346739998E-4</v>
      </c>
      <c r="H228">
        <v>20</v>
      </c>
      <c r="I228">
        <v>8</v>
      </c>
      <c r="J228">
        <v>0.53676916736422342</v>
      </c>
      <c r="K228">
        <v>-0.37460074629089779</v>
      </c>
      <c r="L228">
        <v>53161077.592306837</v>
      </c>
      <c r="M228" t="s">
        <v>830</v>
      </c>
      <c r="N228" t="s">
        <v>864</v>
      </c>
      <c r="O228" t="s">
        <v>273</v>
      </c>
      <c r="P228">
        <v>12231</v>
      </c>
      <c r="Q228">
        <v>3505</v>
      </c>
      <c r="R228">
        <v>8726</v>
      </c>
    </row>
    <row r="229" spans="1:18" x14ac:dyDescent="0.3">
      <c r="A229" t="s">
        <v>1249</v>
      </c>
      <c r="B229">
        <v>2022</v>
      </c>
      <c r="C229">
        <v>0.81331189495001899</v>
      </c>
      <c r="D229">
        <v>1489720.6875</v>
      </c>
      <c r="E229">
        <v>26</v>
      </c>
      <c r="F229">
        <v>170</v>
      </c>
      <c r="G229">
        <v>4.9669475934669999E-4</v>
      </c>
      <c r="H229">
        <v>8</v>
      </c>
      <c r="I229">
        <v>3</v>
      </c>
      <c r="J229">
        <v>0.64905993453615973</v>
      </c>
      <c r="K229">
        <v>-0.26288778039084659</v>
      </c>
      <c r="L229">
        <v>335707111.87046021</v>
      </c>
      <c r="M229" t="s">
        <v>730</v>
      </c>
      <c r="N229" t="s">
        <v>731</v>
      </c>
      <c r="O229" t="s">
        <v>735</v>
      </c>
      <c r="P229">
        <v>4865</v>
      </c>
      <c r="Q229">
        <v>428</v>
      </c>
      <c r="R229">
        <v>4437</v>
      </c>
    </row>
    <row r="230" spans="1:18" x14ac:dyDescent="0.3">
      <c r="A230" t="s">
        <v>1250</v>
      </c>
      <c r="B230">
        <v>2022</v>
      </c>
      <c r="C230">
        <v>20.710219305651201</v>
      </c>
      <c r="D230">
        <v>6953101.75</v>
      </c>
      <c r="E230">
        <v>490</v>
      </c>
      <c r="F230">
        <v>827</v>
      </c>
      <c r="G230">
        <v>3.1928113478240001E-4</v>
      </c>
      <c r="H230">
        <v>24</v>
      </c>
      <c r="I230">
        <v>20</v>
      </c>
      <c r="J230">
        <v>0.62453639099471892</v>
      </c>
      <c r="K230">
        <v>-0.31746924329366211</v>
      </c>
      <c r="L230">
        <v>487434041.32720202</v>
      </c>
      <c r="M230" t="s">
        <v>922</v>
      </c>
      <c r="N230" t="s">
        <v>942</v>
      </c>
      <c r="O230" t="s">
        <v>942</v>
      </c>
      <c r="P230">
        <v>30729</v>
      </c>
      <c r="Q230">
        <v>14484</v>
      </c>
      <c r="R230">
        <v>16245</v>
      </c>
    </row>
    <row r="231" spans="1:18" x14ac:dyDescent="0.3">
      <c r="A231" t="s">
        <v>1251</v>
      </c>
      <c r="B231">
        <v>2022</v>
      </c>
      <c r="C231">
        <v>1.3229422189762621</v>
      </c>
      <c r="D231">
        <v>743010.6875</v>
      </c>
      <c r="E231">
        <v>12</v>
      </c>
      <c r="F231">
        <v>456</v>
      </c>
      <c r="G231">
        <v>1.852616831748E-4</v>
      </c>
      <c r="H231">
        <v>6</v>
      </c>
      <c r="I231">
        <v>1</v>
      </c>
      <c r="J231">
        <v>0.50772145330757301</v>
      </c>
      <c r="K231">
        <v>-0.33652582576329498</v>
      </c>
      <c r="L231">
        <v>205925701.72379389</v>
      </c>
      <c r="M231" t="s">
        <v>499</v>
      </c>
      <c r="N231" t="s">
        <v>499</v>
      </c>
      <c r="O231" t="s">
        <v>505</v>
      </c>
      <c r="P231">
        <v>8605</v>
      </c>
      <c r="Q231">
        <v>5282</v>
      </c>
      <c r="R231">
        <v>3323</v>
      </c>
    </row>
    <row r="232" spans="1:18" x14ac:dyDescent="0.3">
      <c r="A232" t="s">
        <v>1252</v>
      </c>
      <c r="B232">
        <v>2022</v>
      </c>
      <c r="C232">
        <v>1.719116731010945</v>
      </c>
      <c r="D232">
        <v>11978390.730759799</v>
      </c>
      <c r="E232">
        <v>167</v>
      </c>
      <c r="F232">
        <v>499</v>
      </c>
      <c r="G232">
        <v>2.407315776324E-4</v>
      </c>
      <c r="H232">
        <v>20</v>
      </c>
      <c r="I232">
        <v>1</v>
      </c>
      <c r="J232">
        <v>0.3249851513599547</v>
      </c>
      <c r="K232">
        <v>-0.21377536367818961</v>
      </c>
      <c r="L232">
        <v>163992468.0199872</v>
      </c>
      <c r="M232" t="s">
        <v>232</v>
      </c>
      <c r="N232" t="s">
        <v>269</v>
      </c>
      <c r="O232" t="s">
        <v>273</v>
      </c>
      <c r="P232">
        <v>13154</v>
      </c>
      <c r="Q232">
        <v>5893</v>
      </c>
      <c r="R232">
        <v>7261</v>
      </c>
    </row>
    <row r="233" spans="1:18" x14ac:dyDescent="0.3">
      <c r="A233" t="s">
        <v>1253</v>
      </c>
      <c r="B233">
        <v>2022</v>
      </c>
      <c r="C233">
        <v>5.8955254151152756</v>
      </c>
      <c r="D233">
        <v>991269.6875</v>
      </c>
      <c r="E233">
        <v>57</v>
      </c>
      <c r="F233">
        <v>235</v>
      </c>
      <c r="G233">
        <v>5.4871360624599995E-4</v>
      </c>
      <c r="H233">
        <v>12</v>
      </c>
      <c r="I233">
        <v>5</v>
      </c>
      <c r="J233">
        <v>0.44238187863021872</v>
      </c>
      <c r="K233">
        <v>-0.35889191062454467</v>
      </c>
      <c r="L233">
        <v>36527610.270019338</v>
      </c>
      <c r="M233" t="s">
        <v>287</v>
      </c>
      <c r="N233" t="s">
        <v>326</v>
      </c>
      <c r="O233" t="s">
        <v>326</v>
      </c>
      <c r="P233">
        <v>11376</v>
      </c>
      <c r="Q233">
        <v>8590</v>
      </c>
      <c r="R233">
        <v>2786</v>
      </c>
    </row>
    <row r="234" spans="1:18" x14ac:dyDescent="0.3">
      <c r="A234" t="s">
        <v>1254</v>
      </c>
      <c r="B234">
        <v>2022</v>
      </c>
      <c r="C234">
        <v>0.86068795019469813</v>
      </c>
      <c r="D234">
        <v>991328.25</v>
      </c>
      <c r="E234">
        <v>28</v>
      </c>
      <c r="F234">
        <v>273</v>
      </c>
      <c r="G234">
        <v>5.0957124764749995E-4</v>
      </c>
      <c r="H234">
        <v>5</v>
      </c>
      <c r="I234">
        <v>7</v>
      </c>
      <c r="J234">
        <v>0.30362482350620651</v>
      </c>
      <c r="K234">
        <v>-0.24819725722012589</v>
      </c>
      <c r="L234">
        <v>211041371.69183719</v>
      </c>
      <c r="M234" t="s">
        <v>287</v>
      </c>
      <c r="N234" t="s">
        <v>290</v>
      </c>
      <c r="O234" t="s">
        <v>292</v>
      </c>
      <c r="P234">
        <v>3382</v>
      </c>
      <c r="Q234">
        <v>1307</v>
      </c>
      <c r="R234">
        <v>2075</v>
      </c>
    </row>
    <row r="235" spans="1:18" x14ac:dyDescent="0.3">
      <c r="A235" t="s">
        <v>1255</v>
      </c>
      <c r="B235">
        <v>2022</v>
      </c>
      <c r="C235">
        <v>23.32528865840391</v>
      </c>
      <c r="D235">
        <v>5039269.777144609</v>
      </c>
      <c r="E235">
        <v>1359</v>
      </c>
      <c r="F235">
        <v>183</v>
      </c>
      <c r="G235">
        <v>1.4424937197893E-3</v>
      </c>
      <c r="H235">
        <v>16</v>
      </c>
      <c r="I235">
        <v>3</v>
      </c>
      <c r="J235">
        <v>0.30981845038400652</v>
      </c>
      <c r="K235">
        <v>-0.23962292970174831</v>
      </c>
      <c r="L235">
        <v>7656488.6111119296</v>
      </c>
      <c r="M235" t="s">
        <v>830</v>
      </c>
      <c r="N235" t="s">
        <v>831</v>
      </c>
      <c r="O235" t="s">
        <v>843</v>
      </c>
      <c r="P235">
        <v>9674</v>
      </c>
      <c r="Q235">
        <v>7065</v>
      </c>
      <c r="R235">
        <v>2609</v>
      </c>
    </row>
    <row r="236" spans="1:18" x14ac:dyDescent="0.3">
      <c r="A236" t="s">
        <v>1256</v>
      </c>
      <c r="B236">
        <v>2022</v>
      </c>
      <c r="C236">
        <v>1.2713710423530249</v>
      </c>
      <c r="D236">
        <v>1241570.890625</v>
      </c>
      <c r="E236">
        <v>12</v>
      </c>
      <c r="F236">
        <v>236</v>
      </c>
      <c r="G236">
        <v>6.1648020164540001E-4</v>
      </c>
      <c r="H236">
        <v>13</v>
      </c>
      <c r="I236">
        <v>1</v>
      </c>
      <c r="J236">
        <v>0.5902793972418191</v>
      </c>
      <c r="K236">
        <v>-0.29217911570980881</v>
      </c>
      <c r="L236">
        <v>166254382.22524861</v>
      </c>
      <c r="M236" t="s">
        <v>586</v>
      </c>
      <c r="N236" t="s">
        <v>606</v>
      </c>
      <c r="O236" t="s">
        <v>608</v>
      </c>
      <c r="P236">
        <v>14851</v>
      </c>
      <c r="Q236">
        <v>4492</v>
      </c>
      <c r="R236">
        <v>10359</v>
      </c>
    </row>
    <row r="237" spans="1:18" x14ac:dyDescent="0.3">
      <c r="A237" t="s">
        <v>1257</v>
      </c>
      <c r="B237">
        <v>2022</v>
      </c>
      <c r="C237">
        <v>8.9033807144219992</v>
      </c>
      <c r="D237">
        <v>85696.276470588229</v>
      </c>
      <c r="E237">
        <v>20</v>
      </c>
      <c r="F237">
        <v>139</v>
      </c>
      <c r="G237">
        <v>1.3463875144881E-3</v>
      </c>
      <c r="H237">
        <v>2</v>
      </c>
      <c r="I237">
        <v>1</v>
      </c>
      <c r="L237">
        <v>10160370.493792349</v>
      </c>
      <c r="M237" t="s">
        <v>652</v>
      </c>
      <c r="N237" t="s">
        <v>772</v>
      </c>
      <c r="O237" t="s">
        <v>782</v>
      </c>
      <c r="P237">
        <v>4336</v>
      </c>
      <c r="Q237">
        <v>2936</v>
      </c>
      <c r="R237">
        <v>1400</v>
      </c>
    </row>
    <row r="238" spans="1:18" x14ac:dyDescent="0.3">
      <c r="A238" t="s">
        <v>1258</v>
      </c>
      <c r="B238">
        <v>2022</v>
      </c>
      <c r="C238">
        <v>30.717545014308151</v>
      </c>
      <c r="D238">
        <v>28580557.175306369</v>
      </c>
      <c r="E238">
        <v>785</v>
      </c>
      <c r="F238">
        <v>3530</v>
      </c>
      <c r="G238">
        <v>1.340493842749E-4</v>
      </c>
      <c r="H238">
        <v>92</v>
      </c>
      <c r="I238">
        <v>28</v>
      </c>
      <c r="L238">
        <v>44701744.771988273</v>
      </c>
      <c r="M238" t="s">
        <v>652</v>
      </c>
      <c r="N238" t="s">
        <v>772</v>
      </c>
      <c r="O238" t="s">
        <v>777</v>
      </c>
      <c r="P238">
        <v>127486</v>
      </c>
      <c r="Q238">
        <v>115000</v>
      </c>
      <c r="R238">
        <v>12486</v>
      </c>
    </row>
    <row r="239" spans="1:18" x14ac:dyDescent="0.3">
      <c r="A239" t="s">
        <v>1259</v>
      </c>
      <c r="B239">
        <v>2022</v>
      </c>
      <c r="C239">
        <v>19.5293425197682</v>
      </c>
      <c r="D239">
        <v>9206544.3256740198</v>
      </c>
      <c r="E239">
        <v>1444</v>
      </c>
      <c r="F239">
        <v>349</v>
      </c>
      <c r="G239">
        <v>1.244390259283E-3</v>
      </c>
      <c r="H239">
        <v>29</v>
      </c>
      <c r="I239">
        <v>5</v>
      </c>
      <c r="J239">
        <v>0.32467712572362267</v>
      </c>
      <c r="K239">
        <v>-0.26898211661473431</v>
      </c>
      <c r="L239">
        <v>9452615.873898102</v>
      </c>
      <c r="M239" t="s">
        <v>830</v>
      </c>
      <c r="N239" t="s">
        <v>831</v>
      </c>
      <c r="O239" t="s">
        <v>295</v>
      </c>
      <c r="P239">
        <v>14226</v>
      </c>
      <c r="Q239">
        <v>11601</v>
      </c>
      <c r="R239">
        <v>2625</v>
      </c>
    </row>
    <row r="240" spans="1:18" x14ac:dyDescent="0.3">
      <c r="A240" t="s">
        <v>1260</v>
      </c>
      <c r="B240">
        <v>2022</v>
      </c>
      <c r="C240">
        <v>1.7328974862001709</v>
      </c>
      <c r="D240">
        <v>1625718.057291667</v>
      </c>
      <c r="E240">
        <v>20</v>
      </c>
      <c r="F240">
        <v>363</v>
      </c>
      <c r="G240">
        <v>4.6772472227600001E-4</v>
      </c>
      <c r="H240">
        <v>7</v>
      </c>
      <c r="I240">
        <v>8</v>
      </c>
      <c r="J240">
        <v>0.63561631949242581</v>
      </c>
      <c r="K240">
        <v>-0.2928917200278186</v>
      </c>
      <c r="L240">
        <v>273102781.81838459</v>
      </c>
      <c r="M240" t="s">
        <v>874</v>
      </c>
      <c r="N240" t="s">
        <v>895</v>
      </c>
      <c r="O240" t="s">
        <v>895</v>
      </c>
      <c r="P240">
        <v>16346</v>
      </c>
      <c r="Q240">
        <v>9907</v>
      </c>
      <c r="R240">
        <v>6439</v>
      </c>
    </row>
    <row r="241" spans="1:18" x14ac:dyDescent="0.3">
      <c r="A241" t="s">
        <v>1261</v>
      </c>
      <c r="B241">
        <v>2022</v>
      </c>
      <c r="C241">
        <v>14.465367507216589</v>
      </c>
      <c r="D241">
        <v>3613874.9346813732</v>
      </c>
      <c r="E241">
        <v>585</v>
      </c>
      <c r="F241">
        <v>272</v>
      </c>
      <c r="G241">
        <v>6.4123695425940001E-4</v>
      </c>
      <c r="H241">
        <v>6</v>
      </c>
      <c r="I241">
        <v>3</v>
      </c>
      <c r="J241">
        <v>0.43778474725564032</v>
      </c>
      <c r="K241">
        <v>-0.28270144043790463</v>
      </c>
      <c r="L241">
        <v>18781520.742969532</v>
      </c>
      <c r="M241" t="s">
        <v>830</v>
      </c>
      <c r="N241" t="s">
        <v>851</v>
      </c>
      <c r="O241" t="s">
        <v>851</v>
      </c>
      <c r="P241">
        <v>10404</v>
      </c>
      <c r="Q241">
        <v>7981</v>
      </c>
      <c r="R241">
        <v>2423</v>
      </c>
    </row>
    <row r="242" spans="1:18" x14ac:dyDescent="0.3">
      <c r="A242" t="s">
        <v>1262</v>
      </c>
      <c r="B242">
        <v>2022</v>
      </c>
      <c r="C242">
        <v>1.2858811518155251</v>
      </c>
      <c r="D242">
        <v>8245770.0241421573</v>
      </c>
      <c r="E242">
        <v>64</v>
      </c>
      <c r="F242">
        <v>457</v>
      </c>
      <c r="G242">
        <v>1.42902823813E-4</v>
      </c>
      <c r="H242">
        <v>14</v>
      </c>
      <c r="I242">
        <v>2</v>
      </c>
      <c r="J242">
        <v>0.34747608383965478</v>
      </c>
      <c r="K242">
        <v>-0.3006481946947428</v>
      </c>
      <c r="L242">
        <v>385819395.18948752</v>
      </c>
      <c r="M242" t="s">
        <v>232</v>
      </c>
      <c r="N242" t="s">
        <v>266</v>
      </c>
      <c r="O242" t="s">
        <v>266</v>
      </c>
      <c r="P242">
        <v>19374</v>
      </c>
      <c r="Q242">
        <v>2965</v>
      </c>
      <c r="R242">
        <v>16409</v>
      </c>
    </row>
    <row r="243" spans="1:18" x14ac:dyDescent="0.3">
      <c r="A243" t="s">
        <v>1263</v>
      </c>
      <c r="B243">
        <v>2022</v>
      </c>
      <c r="C243">
        <v>1.4945792341256059</v>
      </c>
      <c r="D243">
        <v>47666.002022058827</v>
      </c>
      <c r="E243">
        <v>4</v>
      </c>
      <c r="F243">
        <v>128</v>
      </c>
      <c r="G243">
        <v>4.897147354888E-4</v>
      </c>
      <c r="H243">
        <v>14</v>
      </c>
      <c r="I243">
        <v>3</v>
      </c>
      <c r="J243">
        <v>0.55685243525510297</v>
      </c>
      <c r="K243">
        <v>-0.42852626887076878</v>
      </c>
      <c r="L243">
        <v>50841437.593450531</v>
      </c>
      <c r="M243" t="s">
        <v>124</v>
      </c>
      <c r="N243" t="s">
        <v>133</v>
      </c>
      <c r="O243" t="s">
        <v>134</v>
      </c>
      <c r="P243">
        <v>2232</v>
      </c>
      <c r="Q243">
        <v>850</v>
      </c>
      <c r="R243">
        <v>1382</v>
      </c>
    </row>
    <row r="244" spans="1:18" x14ac:dyDescent="0.3">
      <c r="A244" t="s">
        <v>1264</v>
      </c>
      <c r="B244">
        <v>2022</v>
      </c>
      <c r="C244">
        <v>12.2768105077899</v>
      </c>
      <c r="D244">
        <v>4711304.5744485306</v>
      </c>
      <c r="E244">
        <v>722</v>
      </c>
      <c r="F244">
        <v>206</v>
      </c>
      <c r="G244">
        <v>8.6863509429349996E-4</v>
      </c>
      <c r="H244">
        <v>11</v>
      </c>
      <c r="I244">
        <v>1</v>
      </c>
      <c r="J244">
        <v>0.44600573893259798</v>
      </c>
      <c r="K244">
        <v>-0.3202449013227528</v>
      </c>
      <c r="L244">
        <v>11075381.59496396</v>
      </c>
      <c r="M244" t="s">
        <v>830</v>
      </c>
      <c r="N244" t="s">
        <v>831</v>
      </c>
      <c r="O244" t="s">
        <v>842</v>
      </c>
      <c r="P244">
        <v>10229</v>
      </c>
      <c r="Q244">
        <v>7844</v>
      </c>
      <c r="R244">
        <v>2385</v>
      </c>
    </row>
    <row r="245" spans="1:18" x14ac:dyDescent="0.3">
      <c r="A245" t="s">
        <v>1265</v>
      </c>
      <c r="B245">
        <v>2022</v>
      </c>
      <c r="C245">
        <v>8.9649537953749103</v>
      </c>
      <c r="D245">
        <v>12066614.977573531</v>
      </c>
      <c r="E245">
        <v>264</v>
      </c>
      <c r="F245">
        <v>1494</v>
      </c>
      <c r="G245">
        <v>2.6861080290300002E-4</v>
      </c>
      <c r="H245">
        <v>23</v>
      </c>
      <c r="I245">
        <v>25</v>
      </c>
      <c r="J245">
        <v>0.40203669648714768</v>
      </c>
      <c r="K245">
        <v>-0.27240662310317781</v>
      </c>
      <c r="L245">
        <v>79288584.856689513</v>
      </c>
      <c r="M245" t="s">
        <v>460</v>
      </c>
      <c r="N245" t="s">
        <v>481</v>
      </c>
      <c r="O245" t="s">
        <v>481</v>
      </c>
      <c r="P245">
        <v>55515</v>
      </c>
      <c r="Q245">
        <v>37054</v>
      </c>
      <c r="R245">
        <v>18461</v>
      </c>
    </row>
    <row r="246" spans="1:18" x14ac:dyDescent="0.3">
      <c r="A246" t="s">
        <v>1266</v>
      </c>
      <c r="B246">
        <v>2022</v>
      </c>
      <c r="C246">
        <v>1.0324493441852609</v>
      </c>
      <c r="D246">
        <v>1001672.359865196</v>
      </c>
      <c r="E246">
        <v>24</v>
      </c>
      <c r="F246">
        <v>332</v>
      </c>
      <c r="G246">
        <v>2.6936243369959998E-4</v>
      </c>
      <c r="H246">
        <v>26</v>
      </c>
      <c r="I246">
        <v>1</v>
      </c>
      <c r="J246">
        <v>0.36168257529593228</v>
      </c>
      <c r="K246">
        <v>-0.28776766932537018</v>
      </c>
      <c r="L246">
        <v>221126876.45093009</v>
      </c>
      <c r="M246" t="s">
        <v>232</v>
      </c>
      <c r="N246" t="s">
        <v>233</v>
      </c>
      <c r="O246" t="s">
        <v>51</v>
      </c>
      <c r="P246">
        <v>6306</v>
      </c>
      <c r="Q246">
        <v>2104</v>
      </c>
      <c r="R246">
        <v>4202</v>
      </c>
    </row>
    <row r="247" spans="1:18" x14ac:dyDescent="0.3">
      <c r="A247" t="s">
        <v>1267</v>
      </c>
      <c r="B247">
        <v>2022</v>
      </c>
      <c r="C247">
        <v>17.075037376022092</v>
      </c>
      <c r="D247">
        <v>16764321.89601716</v>
      </c>
      <c r="E247">
        <v>233</v>
      </c>
      <c r="F247">
        <v>3241</v>
      </c>
      <c r="G247">
        <v>1.18853032107E-4</v>
      </c>
      <c r="H247">
        <v>19</v>
      </c>
      <c r="I247">
        <v>15</v>
      </c>
      <c r="J247">
        <v>0.27198056191604741</v>
      </c>
      <c r="K247">
        <v>-0.13402884524765199</v>
      </c>
      <c r="L247">
        <v>229108018.8142013</v>
      </c>
      <c r="M247" t="s">
        <v>406</v>
      </c>
      <c r="N247" t="s">
        <v>373</v>
      </c>
      <c r="O247" t="s">
        <v>373</v>
      </c>
      <c r="P247">
        <v>183206</v>
      </c>
      <c r="Q247">
        <v>139978</v>
      </c>
      <c r="R247">
        <v>43228</v>
      </c>
    </row>
    <row r="248" spans="1:18" x14ac:dyDescent="0.3">
      <c r="A248" t="s">
        <v>1268</v>
      </c>
      <c r="B248">
        <v>2022</v>
      </c>
      <c r="C248">
        <v>16.517442296054959</v>
      </c>
      <c r="D248">
        <v>19771185.55306372</v>
      </c>
      <c r="E248">
        <v>2206</v>
      </c>
      <c r="F248">
        <v>602</v>
      </c>
      <c r="G248">
        <v>5.0510892616150002E-4</v>
      </c>
      <c r="H248">
        <v>9</v>
      </c>
      <c r="I248">
        <v>11</v>
      </c>
      <c r="J248">
        <v>0.35830436614503891</v>
      </c>
      <c r="K248">
        <v>-0.27342858814747267</v>
      </c>
      <c r="L248">
        <v>29452886.481208421</v>
      </c>
      <c r="M248" t="s">
        <v>830</v>
      </c>
      <c r="N248" t="s">
        <v>831</v>
      </c>
      <c r="O248" t="s">
        <v>836</v>
      </c>
      <c r="P248">
        <v>21352</v>
      </c>
      <c r="Q248">
        <v>16262</v>
      </c>
      <c r="R248">
        <v>5090</v>
      </c>
    </row>
    <row r="249" spans="1:18" x14ac:dyDescent="0.3">
      <c r="A249" t="s">
        <v>1269</v>
      </c>
      <c r="B249">
        <v>2022</v>
      </c>
      <c r="C249">
        <v>2.4767195462691221</v>
      </c>
      <c r="D249">
        <v>3404012.213480392</v>
      </c>
      <c r="E249">
        <v>92</v>
      </c>
      <c r="F249">
        <v>435</v>
      </c>
      <c r="G249">
        <v>1.201953722417E-4</v>
      </c>
      <c r="H249">
        <v>11</v>
      </c>
      <c r="I249">
        <v>9</v>
      </c>
      <c r="J249">
        <v>0.47567004957775272</v>
      </c>
      <c r="K249">
        <v>-0.36818268686254818</v>
      </c>
      <c r="L249">
        <v>93836983.935420319</v>
      </c>
      <c r="M249" t="s">
        <v>97</v>
      </c>
      <c r="N249" t="s">
        <v>116</v>
      </c>
      <c r="O249" t="s">
        <v>116</v>
      </c>
      <c r="P249">
        <v>13944</v>
      </c>
      <c r="Q249">
        <v>8753</v>
      </c>
      <c r="R249">
        <v>5191</v>
      </c>
    </row>
    <row r="250" spans="1:18" x14ac:dyDescent="0.3">
      <c r="A250" t="s">
        <v>1270</v>
      </c>
      <c r="B250">
        <v>2022</v>
      </c>
      <c r="C250">
        <v>19.955117457670589</v>
      </c>
      <c r="D250">
        <v>6415500.2468137257</v>
      </c>
      <c r="E250">
        <v>569</v>
      </c>
      <c r="F250">
        <v>1342</v>
      </c>
      <c r="G250">
        <v>3.0655464002770001E-4</v>
      </c>
      <c r="H250">
        <v>11</v>
      </c>
      <c r="I250">
        <v>23</v>
      </c>
      <c r="L250">
        <v>29394530.38000286</v>
      </c>
      <c r="M250" t="s">
        <v>652</v>
      </c>
      <c r="N250" t="s">
        <v>772</v>
      </c>
      <c r="O250" t="s">
        <v>774</v>
      </c>
      <c r="P250">
        <v>34434</v>
      </c>
      <c r="Q250">
        <v>29620</v>
      </c>
      <c r="R250">
        <v>4814</v>
      </c>
    </row>
    <row r="251" spans="1:18" x14ac:dyDescent="0.3">
      <c r="A251" t="s">
        <v>1271</v>
      </c>
      <c r="B251">
        <v>2022</v>
      </c>
      <c r="C251">
        <v>0.73371817703079756</v>
      </c>
      <c r="D251">
        <v>744686.46875</v>
      </c>
      <c r="E251">
        <v>21</v>
      </c>
      <c r="F251">
        <v>162</v>
      </c>
      <c r="G251">
        <v>3.3123242014589999E-4</v>
      </c>
      <c r="H251">
        <v>13</v>
      </c>
      <c r="I251">
        <v>2</v>
      </c>
      <c r="J251">
        <v>0.34286639976197181</v>
      </c>
      <c r="K251">
        <v>-0.25001226993554532</v>
      </c>
      <c r="L251">
        <v>272828086.36882478</v>
      </c>
      <c r="M251" t="s">
        <v>612</v>
      </c>
      <c r="N251" t="s">
        <v>635</v>
      </c>
      <c r="O251" t="s">
        <v>640</v>
      </c>
      <c r="P251">
        <v>4067</v>
      </c>
      <c r="Q251">
        <v>530</v>
      </c>
      <c r="R251">
        <v>3537</v>
      </c>
    </row>
    <row r="252" spans="1:18" x14ac:dyDescent="0.3">
      <c r="A252" t="s">
        <v>1272</v>
      </c>
      <c r="B252">
        <v>2022</v>
      </c>
      <c r="C252">
        <v>8.2928221442633063</v>
      </c>
      <c r="D252">
        <v>9616115.0240808818</v>
      </c>
      <c r="E252">
        <v>316</v>
      </c>
      <c r="F252">
        <v>822</v>
      </c>
      <c r="G252">
        <v>5.1360656791859995E-4</v>
      </c>
      <c r="H252">
        <v>5</v>
      </c>
      <c r="I252">
        <v>11</v>
      </c>
      <c r="J252">
        <v>0.64887199433477727</v>
      </c>
      <c r="K252">
        <v>-0.33606513186252052</v>
      </c>
      <c r="L252">
        <v>81430209.228363737</v>
      </c>
      <c r="M252" t="s">
        <v>730</v>
      </c>
      <c r="N252" t="s">
        <v>731</v>
      </c>
      <c r="O252" t="s">
        <v>731</v>
      </c>
      <c r="P252">
        <v>39535</v>
      </c>
      <c r="Q252">
        <v>25136</v>
      </c>
      <c r="R252">
        <v>14399</v>
      </c>
    </row>
    <row r="253" spans="1:18" x14ac:dyDescent="0.3">
      <c r="A253" t="s">
        <v>1273</v>
      </c>
      <c r="B253">
        <v>2022</v>
      </c>
      <c r="C253">
        <v>1.295565168900267</v>
      </c>
      <c r="D253">
        <v>743000.90625</v>
      </c>
      <c r="E253">
        <v>53</v>
      </c>
      <c r="F253">
        <v>114</v>
      </c>
      <c r="G253">
        <v>6.1348790758670004E-4</v>
      </c>
      <c r="H253">
        <v>5</v>
      </c>
      <c r="I253">
        <v>2</v>
      </c>
      <c r="J253">
        <v>0.52024976945397872</v>
      </c>
      <c r="K253">
        <v>-0.36680021534266749</v>
      </c>
      <c r="L253">
        <v>72178485.213530794</v>
      </c>
      <c r="M253" t="s">
        <v>499</v>
      </c>
      <c r="N253" t="s">
        <v>534</v>
      </c>
      <c r="O253" t="s">
        <v>534</v>
      </c>
      <c r="P253">
        <v>2883</v>
      </c>
      <c r="Q253">
        <v>1886</v>
      </c>
      <c r="R253">
        <v>997</v>
      </c>
    </row>
    <row r="254" spans="1:18" x14ac:dyDescent="0.3">
      <c r="A254" t="s">
        <v>1274</v>
      </c>
      <c r="B254">
        <v>2022</v>
      </c>
      <c r="C254">
        <v>6.5129309553828003</v>
      </c>
      <c r="D254">
        <v>9768192.5518382359</v>
      </c>
      <c r="E254">
        <v>257</v>
      </c>
      <c r="F254">
        <v>1071</v>
      </c>
      <c r="G254">
        <v>4.0149249425400002E-4</v>
      </c>
      <c r="H254">
        <v>2</v>
      </c>
      <c r="I254">
        <v>33</v>
      </c>
      <c r="J254">
        <v>0.64913213407153758</v>
      </c>
      <c r="K254">
        <v>-0.3321292437356913</v>
      </c>
      <c r="L254">
        <v>91800946.660527661</v>
      </c>
      <c r="M254" t="s">
        <v>756</v>
      </c>
      <c r="N254" t="s">
        <v>756</v>
      </c>
      <c r="O254" t="s">
        <v>757</v>
      </c>
      <c r="P254">
        <v>39372</v>
      </c>
      <c r="Q254">
        <v>29999</v>
      </c>
      <c r="R254">
        <v>9373</v>
      </c>
    </row>
    <row r="255" spans="1:18" x14ac:dyDescent="0.3">
      <c r="A255" t="s">
        <v>1275</v>
      </c>
      <c r="B255">
        <v>2022</v>
      </c>
      <c r="C255">
        <v>2.548711434804372</v>
      </c>
      <c r="D255">
        <v>1151655.5889705881</v>
      </c>
      <c r="E255">
        <v>33</v>
      </c>
      <c r="F255">
        <v>372</v>
      </c>
      <c r="G255">
        <v>1.0382186773013999E-3</v>
      </c>
      <c r="H255">
        <v>4</v>
      </c>
      <c r="I255">
        <v>1</v>
      </c>
      <c r="J255">
        <v>0.70034804315208732</v>
      </c>
      <c r="K255">
        <v>-0.32906894477354071</v>
      </c>
      <c r="L255">
        <v>93047778.322954193</v>
      </c>
      <c r="M255" t="s">
        <v>756</v>
      </c>
      <c r="N255" t="s">
        <v>756</v>
      </c>
      <c r="O255" t="s">
        <v>39</v>
      </c>
      <c r="P255">
        <v>14209</v>
      </c>
      <c r="Q255">
        <v>8245</v>
      </c>
      <c r="R255">
        <v>5964</v>
      </c>
    </row>
    <row r="256" spans="1:18" x14ac:dyDescent="0.3">
      <c r="A256" t="s">
        <v>1276</v>
      </c>
      <c r="B256">
        <v>2022</v>
      </c>
      <c r="C256">
        <v>16.162808412996021</v>
      </c>
      <c r="D256">
        <v>5598236.4409313733</v>
      </c>
      <c r="E256">
        <v>1054</v>
      </c>
      <c r="F256">
        <v>488</v>
      </c>
      <c r="G256">
        <v>3.1832850540870002E-4</v>
      </c>
      <c r="H256">
        <v>15</v>
      </c>
      <c r="I256">
        <v>3</v>
      </c>
      <c r="J256">
        <v>0.53350298544000008</v>
      </c>
      <c r="K256">
        <v>-0.36871466809961911</v>
      </c>
      <c r="L256">
        <v>25952391.98584478</v>
      </c>
      <c r="M256" t="s">
        <v>20</v>
      </c>
      <c r="N256" t="s">
        <v>21</v>
      </c>
      <c r="O256" t="s">
        <v>40</v>
      </c>
      <c r="P256">
        <v>12690</v>
      </c>
      <c r="Q256">
        <v>7851</v>
      </c>
      <c r="R256">
        <v>4839</v>
      </c>
    </row>
    <row r="257" spans="1:18" x14ac:dyDescent="0.3">
      <c r="A257" t="s">
        <v>1277</v>
      </c>
      <c r="B257">
        <v>2022</v>
      </c>
      <c r="C257">
        <v>1.779192426735378</v>
      </c>
      <c r="D257">
        <v>3723552.546875</v>
      </c>
      <c r="E257">
        <v>17</v>
      </c>
      <c r="F257">
        <v>626</v>
      </c>
      <c r="G257">
        <v>2.4606055025479999E-4</v>
      </c>
      <c r="H257">
        <v>18</v>
      </c>
      <c r="I257">
        <v>10</v>
      </c>
      <c r="J257">
        <v>0.3244637308278896</v>
      </c>
      <c r="K257">
        <v>-0.32374675679497439</v>
      </c>
      <c r="L257">
        <v>572941469.03626692</v>
      </c>
      <c r="M257" t="s">
        <v>586</v>
      </c>
      <c r="N257" t="s">
        <v>603</v>
      </c>
      <c r="O257" t="s">
        <v>603</v>
      </c>
      <c r="P257">
        <v>63515</v>
      </c>
      <c r="Q257">
        <v>22204</v>
      </c>
      <c r="R257">
        <v>41311</v>
      </c>
    </row>
    <row r="258" spans="1:18" x14ac:dyDescent="0.3">
      <c r="A258" t="s">
        <v>1278</v>
      </c>
      <c r="B258">
        <v>2022</v>
      </c>
      <c r="C258">
        <v>10.046804602102879</v>
      </c>
      <c r="D258">
        <v>7192747.8152573537</v>
      </c>
      <c r="E258">
        <v>429</v>
      </c>
      <c r="F258">
        <v>737</v>
      </c>
      <c r="G258">
        <v>2.310281740412E-4</v>
      </c>
      <c r="H258">
        <v>39</v>
      </c>
      <c r="I258">
        <v>14</v>
      </c>
      <c r="J258">
        <v>0.45916976980786112</v>
      </c>
      <c r="K258">
        <v>-0.27903685492347591</v>
      </c>
      <c r="L258">
        <v>57600675.690009631</v>
      </c>
      <c r="M258" t="s">
        <v>830</v>
      </c>
      <c r="N258" t="s">
        <v>857</v>
      </c>
      <c r="O258" t="s">
        <v>858</v>
      </c>
      <c r="P258">
        <v>28061</v>
      </c>
      <c r="Q258">
        <v>18143</v>
      </c>
      <c r="R258">
        <v>9918</v>
      </c>
    </row>
    <row r="259" spans="1:18" x14ac:dyDescent="0.3">
      <c r="A259" t="s">
        <v>1279</v>
      </c>
      <c r="B259">
        <v>2022</v>
      </c>
      <c r="C259">
        <v>9.5699383778185521</v>
      </c>
      <c r="D259">
        <v>17061683.1875</v>
      </c>
      <c r="E259">
        <v>159</v>
      </c>
      <c r="F259">
        <v>2064</v>
      </c>
      <c r="G259">
        <v>2.479030631762E-4</v>
      </c>
      <c r="H259">
        <v>35</v>
      </c>
      <c r="I259">
        <v>40</v>
      </c>
      <c r="J259">
        <v>0.40445938049294727</v>
      </c>
      <c r="K259">
        <v>-0.26913010774313628</v>
      </c>
      <c r="L259">
        <v>223474337.4164575</v>
      </c>
      <c r="M259" t="s">
        <v>406</v>
      </c>
      <c r="N259" t="s">
        <v>298</v>
      </c>
      <c r="O259" t="s">
        <v>298</v>
      </c>
      <c r="P259">
        <v>173358</v>
      </c>
      <c r="Q259">
        <v>104397</v>
      </c>
      <c r="R259">
        <v>68961</v>
      </c>
    </row>
    <row r="260" spans="1:18" x14ac:dyDescent="0.3">
      <c r="A260" t="s">
        <v>1280</v>
      </c>
      <c r="B260">
        <v>2022</v>
      </c>
      <c r="C260">
        <v>13.66215698296271</v>
      </c>
      <c r="D260">
        <v>32727454.640625</v>
      </c>
      <c r="E260">
        <v>254</v>
      </c>
      <c r="F260">
        <v>4002</v>
      </c>
      <c r="G260">
        <v>1.5975851469159999E-4</v>
      </c>
      <c r="H260">
        <v>7</v>
      </c>
      <c r="I260">
        <v>58</v>
      </c>
      <c r="J260">
        <v>0.32412813910049187</v>
      </c>
      <c r="K260">
        <v>-5.0623190744419497E-2</v>
      </c>
      <c r="L260">
        <v>245861792.4419826</v>
      </c>
      <c r="M260" t="s">
        <v>287</v>
      </c>
      <c r="N260" t="s">
        <v>288</v>
      </c>
      <c r="O260" t="s">
        <v>288</v>
      </c>
      <c r="P260">
        <v>300360</v>
      </c>
      <c r="Q260">
        <v>201126</v>
      </c>
      <c r="R260">
        <v>99234</v>
      </c>
    </row>
    <row r="261" spans="1:18" x14ac:dyDescent="0.3">
      <c r="A261" t="s">
        <v>1281</v>
      </c>
      <c r="B261">
        <v>2022</v>
      </c>
      <c r="C261">
        <v>24.684079462905942</v>
      </c>
      <c r="D261">
        <v>58981829.970894612</v>
      </c>
      <c r="E261">
        <v>996</v>
      </c>
      <c r="F261">
        <v>5125</v>
      </c>
      <c r="G261">
        <v>1.2399952171170001E-4</v>
      </c>
      <c r="H261">
        <v>36</v>
      </c>
      <c r="I261">
        <v>53</v>
      </c>
      <c r="L261">
        <v>78110143.296175897</v>
      </c>
      <c r="M261" t="s">
        <v>652</v>
      </c>
      <c r="N261" t="s">
        <v>772</v>
      </c>
      <c r="O261" t="s">
        <v>388</v>
      </c>
      <c r="P261">
        <v>250775</v>
      </c>
      <c r="Q261">
        <v>215660</v>
      </c>
      <c r="R261">
        <v>35115</v>
      </c>
    </row>
    <row r="262" spans="1:18" x14ac:dyDescent="0.3">
      <c r="A262" t="s">
        <v>1282</v>
      </c>
      <c r="B262">
        <v>2022</v>
      </c>
      <c r="C262">
        <v>5.4092496864889803</v>
      </c>
      <c r="D262">
        <v>15310904.0944853</v>
      </c>
      <c r="E262">
        <v>891</v>
      </c>
      <c r="F262">
        <v>386</v>
      </c>
      <c r="G262">
        <v>5.6124586613429995E-4</v>
      </c>
      <c r="H262">
        <v>11</v>
      </c>
      <c r="I262">
        <v>15</v>
      </c>
      <c r="L262">
        <v>41345691.544748858</v>
      </c>
      <c r="M262" t="s">
        <v>191</v>
      </c>
      <c r="N262" t="s">
        <v>224</v>
      </c>
      <c r="O262" t="s">
        <v>224</v>
      </c>
      <c r="P262">
        <v>16156</v>
      </c>
      <c r="Q262">
        <v>9000</v>
      </c>
      <c r="R262">
        <v>7156</v>
      </c>
    </row>
    <row r="263" spans="1:18" x14ac:dyDescent="0.3">
      <c r="A263" t="s">
        <v>1283</v>
      </c>
      <c r="B263">
        <v>2022</v>
      </c>
      <c r="C263">
        <v>6.3848381645317387</v>
      </c>
      <c r="D263">
        <v>6584581.3886642167</v>
      </c>
      <c r="E263">
        <v>890</v>
      </c>
      <c r="F263">
        <v>278</v>
      </c>
      <c r="G263">
        <v>4.796990414847E-4</v>
      </c>
      <c r="H263">
        <v>37</v>
      </c>
      <c r="I263">
        <v>5</v>
      </c>
      <c r="J263">
        <v>0.37155850886036468</v>
      </c>
      <c r="K263">
        <v>-0.33845622286070542</v>
      </c>
      <c r="L263">
        <v>30733147.761573199</v>
      </c>
      <c r="M263" t="s">
        <v>830</v>
      </c>
      <c r="N263" t="s">
        <v>831</v>
      </c>
      <c r="O263" t="s">
        <v>833</v>
      </c>
      <c r="P263">
        <v>8469</v>
      </c>
      <c r="Q263">
        <v>5359</v>
      </c>
      <c r="R263">
        <v>3110</v>
      </c>
    </row>
    <row r="264" spans="1:18" x14ac:dyDescent="0.3">
      <c r="A264" t="s">
        <v>1284</v>
      </c>
      <c r="B264">
        <v>2022</v>
      </c>
      <c r="C264">
        <v>1.183393137174318</v>
      </c>
      <c r="D264">
        <v>4390385.5268382346</v>
      </c>
      <c r="E264">
        <v>70</v>
      </c>
      <c r="F264">
        <v>320</v>
      </c>
      <c r="G264">
        <v>6.0200666696479999E-4</v>
      </c>
      <c r="H264">
        <v>11</v>
      </c>
      <c r="I264">
        <v>1</v>
      </c>
      <c r="J264">
        <v>0.4400874755492854</v>
      </c>
      <c r="K264">
        <v>-0.25616902780090128</v>
      </c>
      <c r="L264">
        <v>205254283.36826971</v>
      </c>
      <c r="M264" t="s">
        <v>612</v>
      </c>
      <c r="N264" t="s">
        <v>668</v>
      </c>
      <c r="O264" t="s">
        <v>668</v>
      </c>
      <c r="P264">
        <v>13411</v>
      </c>
      <c r="Q264">
        <v>3286</v>
      </c>
      <c r="R264">
        <v>10125</v>
      </c>
    </row>
    <row r="265" spans="1:18" x14ac:dyDescent="0.3">
      <c r="A265" t="s">
        <v>1285</v>
      </c>
      <c r="B265">
        <v>2022</v>
      </c>
      <c r="C265">
        <v>1.7360318561436161</v>
      </c>
      <c r="D265">
        <v>3245104.8569240202</v>
      </c>
      <c r="E265">
        <v>17</v>
      </c>
      <c r="F265">
        <v>1514</v>
      </c>
      <c r="G265">
        <v>2.2293145235019999E-4</v>
      </c>
      <c r="H265">
        <v>8</v>
      </c>
      <c r="I265">
        <v>4</v>
      </c>
      <c r="J265">
        <v>0.44091167068483489</v>
      </c>
      <c r="K265">
        <v>-0.26136184904871551</v>
      </c>
      <c r="L265">
        <v>559912283.6789434</v>
      </c>
      <c r="M265" t="s">
        <v>406</v>
      </c>
      <c r="N265" t="s">
        <v>426</v>
      </c>
      <c r="O265" t="s">
        <v>426</v>
      </c>
      <c r="P265">
        <v>60262</v>
      </c>
      <c r="Q265">
        <v>26462</v>
      </c>
      <c r="R265">
        <v>33800</v>
      </c>
    </row>
    <row r="266" spans="1:18" x14ac:dyDescent="0.3">
      <c r="A266" t="s">
        <v>1286</v>
      </c>
      <c r="B266">
        <v>2022</v>
      </c>
      <c r="C266">
        <v>7.4755490697838667</v>
      </c>
      <c r="D266">
        <v>5435777.9581495104</v>
      </c>
      <c r="E266">
        <v>473</v>
      </c>
      <c r="F266">
        <v>421</v>
      </c>
      <c r="G266">
        <v>5.6429583406620003E-4</v>
      </c>
      <c r="H266">
        <v>25</v>
      </c>
      <c r="I266">
        <v>10</v>
      </c>
      <c r="J266">
        <v>0.53041607693649284</v>
      </c>
      <c r="K266">
        <v>-0.34290385466811091</v>
      </c>
      <c r="L266">
        <v>49346322.685064137</v>
      </c>
      <c r="M266" t="s">
        <v>830</v>
      </c>
      <c r="N266" t="s">
        <v>864</v>
      </c>
      <c r="O266" t="s">
        <v>865</v>
      </c>
      <c r="P266">
        <v>15975</v>
      </c>
      <c r="Q266">
        <v>12125</v>
      </c>
      <c r="R266">
        <v>3850</v>
      </c>
    </row>
    <row r="267" spans="1:18" x14ac:dyDescent="0.3">
      <c r="A267" t="s">
        <v>1287</v>
      </c>
      <c r="B267">
        <v>2022</v>
      </c>
      <c r="C267">
        <v>1.1649539303418741</v>
      </c>
      <c r="D267">
        <v>4716902</v>
      </c>
      <c r="E267">
        <v>18</v>
      </c>
      <c r="F267">
        <v>778</v>
      </c>
      <c r="G267">
        <v>1.069174301186E-4</v>
      </c>
      <c r="H267">
        <v>20</v>
      </c>
      <c r="I267">
        <v>7</v>
      </c>
      <c r="J267">
        <v>0.32609944901880311</v>
      </c>
      <c r="K267">
        <v>-0.31193060532558498</v>
      </c>
      <c r="L267">
        <v>1176326741.0155871</v>
      </c>
      <c r="M267" t="s">
        <v>406</v>
      </c>
      <c r="N267" t="s">
        <v>415</v>
      </c>
      <c r="O267" t="s">
        <v>415</v>
      </c>
      <c r="P267">
        <v>57806</v>
      </c>
      <c r="Q267">
        <v>11946</v>
      </c>
      <c r="R267">
        <v>45860</v>
      </c>
    </row>
    <row r="268" spans="1:18" x14ac:dyDescent="0.3">
      <c r="A268" t="s">
        <v>1288</v>
      </c>
      <c r="B268">
        <v>2022</v>
      </c>
      <c r="C268">
        <v>0.72238651644642071</v>
      </c>
      <c r="D268">
        <v>496551.640625</v>
      </c>
      <c r="E268">
        <v>15</v>
      </c>
      <c r="F268">
        <v>172</v>
      </c>
      <c r="G268">
        <v>9.2363657032420001E-4</v>
      </c>
      <c r="H268">
        <v>8</v>
      </c>
      <c r="I268">
        <v>1</v>
      </c>
      <c r="J268">
        <v>0.64925118984585151</v>
      </c>
      <c r="K268">
        <v>-0.26740841745948918</v>
      </c>
      <c r="L268">
        <v>500609345.83800173</v>
      </c>
      <c r="M268" t="s">
        <v>730</v>
      </c>
      <c r="N268" t="s">
        <v>755</v>
      </c>
      <c r="O268" t="s">
        <v>755</v>
      </c>
      <c r="P268">
        <v>4646</v>
      </c>
      <c r="Q268">
        <v>2147</v>
      </c>
      <c r="R268">
        <v>2499</v>
      </c>
    </row>
    <row r="269" spans="1:18" x14ac:dyDescent="0.3">
      <c r="A269" t="s">
        <v>1289</v>
      </c>
      <c r="B269">
        <v>2022</v>
      </c>
      <c r="C269">
        <v>1.5969857871579149</v>
      </c>
      <c r="D269">
        <v>495407.046875</v>
      </c>
      <c r="E269">
        <v>35</v>
      </c>
      <c r="F269">
        <v>104</v>
      </c>
      <c r="G269">
        <v>7.2129596783719998E-4</v>
      </c>
      <c r="H269">
        <v>5</v>
      </c>
      <c r="I269">
        <v>4</v>
      </c>
      <c r="J269">
        <v>0.37279963483938139</v>
      </c>
      <c r="K269">
        <v>-0.36327382433709848</v>
      </c>
      <c r="L269">
        <v>49557473.5510628</v>
      </c>
      <c r="M269" t="s">
        <v>499</v>
      </c>
      <c r="N269" t="s">
        <v>577</v>
      </c>
      <c r="O269" t="s">
        <v>577</v>
      </c>
      <c r="P269">
        <v>4392</v>
      </c>
      <c r="Q269">
        <v>2276</v>
      </c>
      <c r="R269">
        <v>2116</v>
      </c>
    </row>
    <row r="270" spans="1:18" x14ac:dyDescent="0.3">
      <c r="A270" t="s">
        <v>1290</v>
      </c>
      <c r="B270">
        <v>2022</v>
      </c>
      <c r="C270">
        <v>2.4456131413908779</v>
      </c>
      <c r="D270">
        <v>3226974.71875</v>
      </c>
      <c r="E270">
        <v>77</v>
      </c>
      <c r="F270">
        <v>158</v>
      </c>
      <c r="G270">
        <v>1.4576703084190001E-3</v>
      </c>
      <c r="H270">
        <v>11</v>
      </c>
      <c r="I270">
        <v>1</v>
      </c>
      <c r="L270">
        <v>102186887.6678635</v>
      </c>
      <c r="M270" t="s">
        <v>586</v>
      </c>
      <c r="N270" t="s">
        <v>595</v>
      </c>
      <c r="O270" t="s">
        <v>51</v>
      </c>
      <c r="P270">
        <v>20763</v>
      </c>
      <c r="Q270">
        <v>8979</v>
      </c>
      <c r="R270">
        <v>11784</v>
      </c>
    </row>
    <row r="271" spans="1:18" x14ac:dyDescent="0.3">
      <c r="A271" t="s">
        <v>1291</v>
      </c>
      <c r="B271">
        <v>2022</v>
      </c>
      <c r="C271">
        <v>3.1682736595729888</v>
      </c>
      <c r="D271">
        <v>21212444.372732852</v>
      </c>
      <c r="E271">
        <v>359</v>
      </c>
      <c r="F271">
        <v>986</v>
      </c>
      <c r="G271">
        <v>1.9748345576129999E-4</v>
      </c>
      <c r="H271">
        <v>12</v>
      </c>
      <c r="I271">
        <v>16</v>
      </c>
      <c r="J271">
        <v>0.44413629621735989</v>
      </c>
      <c r="K271">
        <v>-0.346205355520328</v>
      </c>
      <c r="L271">
        <v>193167865.30951881</v>
      </c>
      <c r="M271" t="s">
        <v>191</v>
      </c>
      <c r="N271" t="s">
        <v>218</v>
      </c>
      <c r="O271" t="s">
        <v>116</v>
      </c>
      <c r="P271">
        <v>39069</v>
      </c>
      <c r="Q271">
        <v>23833</v>
      </c>
      <c r="R271">
        <v>15236</v>
      </c>
    </row>
    <row r="272" spans="1:18" x14ac:dyDescent="0.3">
      <c r="A272" t="s">
        <v>1292</v>
      </c>
      <c r="B272">
        <v>2022</v>
      </c>
      <c r="C272">
        <v>1.3838025137991761</v>
      </c>
      <c r="D272">
        <v>5034771.5400735289</v>
      </c>
      <c r="E272">
        <v>353</v>
      </c>
      <c r="F272">
        <v>194</v>
      </c>
      <c r="G272">
        <v>3.810788573408E-4</v>
      </c>
      <c r="H272">
        <v>3</v>
      </c>
      <c r="I272">
        <v>0</v>
      </c>
      <c r="J272">
        <v>0.33679350557771398</v>
      </c>
      <c r="K272">
        <v>-0.23629908550531431</v>
      </c>
      <c r="L272">
        <v>77596639.048872709</v>
      </c>
      <c r="M272" t="s">
        <v>232</v>
      </c>
      <c r="N272" t="s">
        <v>269</v>
      </c>
      <c r="O272" t="s">
        <v>274</v>
      </c>
      <c r="P272">
        <v>4472</v>
      </c>
      <c r="Q272">
        <v>952</v>
      </c>
      <c r="R272">
        <v>3520</v>
      </c>
    </row>
    <row r="273" spans="1:18" x14ac:dyDescent="0.3">
      <c r="A273" t="s">
        <v>1293</v>
      </c>
      <c r="B273">
        <v>2022</v>
      </c>
      <c r="C273">
        <v>1.060275934851779</v>
      </c>
      <c r="D273">
        <v>1277663.090747549</v>
      </c>
      <c r="E273">
        <v>106</v>
      </c>
      <c r="F273">
        <v>300</v>
      </c>
      <c r="G273">
        <v>1.9203268262459999E-4</v>
      </c>
      <c r="H273">
        <v>13</v>
      </c>
      <c r="I273">
        <v>1</v>
      </c>
      <c r="L273">
        <v>212678930.96104649</v>
      </c>
      <c r="M273" t="s">
        <v>652</v>
      </c>
      <c r="N273" t="s">
        <v>772</v>
      </c>
      <c r="O273" t="s">
        <v>790</v>
      </c>
      <c r="P273">
        <v>2935</v>
      </c>
      <c r="Q273">
        <v>899</v>
      </c>
      <c r="R273">
        <v>2036</v>
      </c>
    </row>
    <row r="274" spans="1:18" x14ac:dyDescent="0.3">
      <c r="A274" t="s">
        <v>1294</v>
      </c>
      <c r="B274">
        <v>2022</v>
      </c>
      <c r="C274">
        <v>7.0945757415788071</v>
      </c>
      <c r="D274">
        <v>7924045.1606617644</v>
      </c>
      <c r="E274">
        <v>629</v>
      </c>
      <c r="F274">
        <v>374</v>
      </c>
      <c r="G274">
        <v>6.3404708449010003E-4</v>
      </c>
      <c r="H274">
        <v>10</v>
      </c>
      <c r="I274">
        <v>5</v>
      </c>
      <c r="J274">
        <v>0.36057476100366809</v>
      </c>
      <c r="K274">
        <v>-0.26195306832342558</v>
      </c>
      <c r="L274">
        <v>71273888.404395893</v>
      </c>
      <c r="M274" t="s">
        <v>652</v>
      </c>
      <c r="N274" t="s">
        <v>817</v>
      </c>
      <c r="O274" t="s">
        <v>818</v>
      </c>
      <c r="P274">
        <v>21006</v>
      </c>
      <c r="Q274">
        <v>14126</v>
      </c>
      <c r="R274">
        <v>6880</v>
      </c>
    </row>
    <row r="275" spans="1:18" x14ac:dyDescent="0.3">
      <c r="A275" t="s">
        <v>1295</v>
      </c>
      <c r="B275">
        <v>2022</v>
      </c>
      <c r="C275">
        <v>1.164271322655702</v>
      </c>
      <c r="D275">
        <v>496652.3125</v>
      </c>
      <c r="E275">
        <v>82</v>
      </c>
      <c r="F275">
        <v>109</v>
      </c>
      <c r="G275">
        <v>1.9284972556000001E-3</v>
      </c>
      <c r="H275">
        <v>4</v>
      </c>
      <c r="I275">
        <v>1</v>
      </c>
      <c r="J275">
        <v>0.62912224526714733</v>
      </c>
      <c r="K275">
        <v>-0.2461470040521318</v>
      </c>
      <c r="L275">
        <v>488736709.69895238</v>
      </c>
      <c r="M275" t="s">
        <v>922</v>
      </c>
      <c r="N275" t="s">
        <v>956</v>
      </c>
      <c r="O275" t="s">
        <v>958</v>
      </c>
      <c r="P275">
        <v>1678</v>
      </c>
      <c r="Q275">
        <v>425</v>
      </c>
      <c r="R275">
        <v>1253</v>
      </c>
    </row>
    <row r="276" spans="1:18" x14ac:dyDescent="0.3">
      <c r="A276" t="s">
        <v>1296</v>
      </c>
      <c r="B276">
        <v>2022</v>
      </c>
      <c r="C276">
        <v>24.874504055072698</v>
      </c>
      <c r="D276">
        <v>21736483.12132353</v>
      </c>
      <c r="E276">
        <v>1265</v>
      </c>
      <c r="F276">
        <v>3616</v>
      </c>
      <c r="G276">
        <v>1.459805206338E-4</v>
      </c>
      <c r="H276">
        <v>41</v>
      </c>
      <c r="I276">
        <v>31</v>
      </c>
      <c r="L276">
        <v>57307870.599606529</v>
      </c>
      <c r="M276" t="s">
        <v>652</v>
      </c>
      <c r="N276" t="s">
        <v>822</v>
      </c>
      <c r="O276" t="s">
        <v>823</v>
      </c>
      <c r="P276">
        <v>102748</v>
      </c>
      <c r="Q276">
        <v>91569</v>
      </c>
      <c r="R276">
        <v>11179</v>
      </c>
    </row>
    <row r="277" spans="1:18" x14ac:dyDescent="0.3">
      <c r="A277" t="s">
        <v>1297</v>
      </c>
      <c r="B277">
        <v>2022</v>
      </c>
      <c r="C277">
        <v>1.506536115458937</v>
      </c>
      <c r="D277">
        <v>342769.78829656867</v>
      </c>
      <c r="E277">
        <v>90</v>
      </c>
      <c r="F277">
        <v>60</v>
      </c>
      <c r="G277">
        <v>9.1905919264950004E-4</v>
      </c>
      <c r="H277">
        <v>2</v>
      </c>
      <c r="I277">
        <v>5</v>
      </c>
      <c r="J277">
        <v>0.34705139170423449</v>
      </c>
      <c r="K277">
        <v>-0.3095088311283381</v>
      </c>
      <c r="L277">
        <v>52984851.918050207</v>
      </c>
      <c r="M277" t="s">
        <v>156</v>
      </c>
      <c r="N277" t="s">
        <v>177</v>
      </c>
      <c r="O277" t="s">
        <v>180</v>
      </c>
      <c r="P277">
        <v>1380</v>
      </c>
      <c r="Q277">
        <v>587</v>
      </c>
      <c r="R277">
        <v>793</v>
      </c>
    </row>
    <row r="278" spans="1:18" x14ac:dyDescent="0.3">
      <c r="A278" t="s">
        <v>1298</v>
      </c>
      <c r="B278">
        <v>2022</v>
      </c>
      <c r="C278">
        <v>7.4932649972069836</v>
      </c>
      <c r="D278">
        <v>5216234.3754289215</v>
      </c>
      <c r="E278">
        <v>85</v>
      </c>
      <c r="F278">
        <v>1223</v>
      </c>
      <c r="G278">
        <v>3.3903747320049998E-4</v>
      </c>
      <c r="H278">
        <v>13</v>
      </c>
      <c r="I278">
        <v>18</v>
      </c>
      <c r="J278">
        <v>0.25737516034873958</v>
      </c>
      <c r="K278">
        <v>-0.1254566429715985</v>
      </c>
      <c r="L278">
        <v>169213011.9846586</v>
      </c>
      <c r="M278" t="s">
        <v>586</v>
      </c>
      <c r="N278" t="s">
        <v>587</v>
      </c>
      <c r="O278" t="s">
        <v>587</v>
      </c>
      <c r="P278">
        <v>111724</v>
      </c>
      <c r="Q278">
        <v>66058</v>
      </c>
      <c r="R278">
        <v>45666</v>
      </c>
    </row>
    <row r="279" spans="1:18" x14ac:dyDescent="0.3">
      <c r="A279" t="s">
        <v>1299</v>
      </c>
      <c r="B279">
        <v>2022</v>
      </c>
      <c r="C279">
        <v>0.78168348780518115</v>
      </c>
      <c r="D279">
        <v>1489121.15625</v>
      </c>
      <c r="E279">
        <v>70</v>
      </c>
      <c r="F279">
        <v>111</v>
      </c>
      <c r="G279">
        <v>1.6937417611001999E-3</v>
      </c>
      <c r="H279">
        <v>6</v>
      </c>
      <c r="I279">
        <v>15</v>
      </c>
      <c r="J279">
        <v>0.66011953005753254</v>
      </c>
      <c r="K279">
        <v>-0.29026116923244499</v>
      </c>
      <c r="L279">
        <v>184143121.49518359</v>
      </c>
      <c r="M279" t="s">
        <v>674</v>
      </c>
      <c r="N279" t="s">
        <v>712</v>
      </c>
      <c r="O279" t="s">
        <v>712</v>
      </c>
      <c r="P279">
        <v>4061</v>
      </c>
      <c r="Q279">
        <v>970</v>
      </c>
      <c r="R279">
        <v>3091</v>
      </c>
    </row>
    <row r="280" spans="1:18" x14ac:dyDescent="0.3">
      <c r="A280" t="s">
        <v>1300</v>
      </c>
      <c r="B280">
        <v>2022</v>
      </c>
      <c r="C280">
        <v>7.1933306160609831</v>
      </c>
      <c r="D280">
        <v>2234937.65625</v>
      </c>
      <c r="E280">
        <v>109</v>
      </c>
      <c r="F280">
        <v>684</v>
      </c>
      <c r="G280">
        <v>5.5324037630459998E-4</v>
      </c>
      <c r="H280">
        <v>5</v>
      </c>
      <c r="I280">
        <v>27</v>
      </c>
      <c r="J280">
        <v>0.487530958750993</v>
      </c>
      <c r="K280">
        <v>-0.23467388591973609</v>
      </c>
      <c r="L280">
        <v>80894619.346610248</v>
      </c>
      <c r="M280" t="s">
        <v>990</v>
      </c>
      <c r="N280" t="s">
        <v>1000</v>
      </c>
      <c r="O280" t="s">
        <v>1000</v>
      </c>
      <c r="P280">
        <v>37172</v>
      </c>
      <c r="Q280">
        <v>17261</v>
      </c>
      <c r="R280">
        <v>19911</v>
      </c>
    </row>
    <row r="281" spans="1:18" x14ac:dyDescent="0.3">
      <c r="A281" t="s">
        <v>1301</v>
      </c>
      <c r="B281">
        <v>2022</v>
      </c>
      <c r="C281">
        <v>2.4262356064952111</v>
      </c>
      <c r="D281">
        <v>1239695.265625</v>
      </c>
      <c r="E281">
        <v>22</v>
      </c>
      <c r="F281">
        <v>545</v>
      </c>
      <c r="G281">
        <v>4.4151814366739998E-4</v>
      </c>
      <c r="H281">
        <v>13</v>
      </c>
      <c r="I281">
        <v>0</v>
      </c>
      <c r="J281">
        <v>0.45934309611643681</v>
      </c>
      <c r="K281">
        <v>-0.17962867200289309</v>
      </c>
      <c r="L281">
        <v>236123943.21606791</v>
      </c>
      <c r="M281" t="s">
        <v>287</v>
      </c>
      <c r="N281" t="s">
        <v>304</v>
      </c>
      <c r="O281" t="s">
        <v>304</v>
      </c>
      <c r="P281">
        <v>35307</v>
      </c>
      <c r="Q281">
        <v>17967</v>
      </c>
      <c r="R281">
        <v>17340</v>
      </c>
    </row>
    <row r="282" spans="1:18" x14ac:dyDescent="0.3">
      <c r="A282" t="s">
        <v>1302</v>
      </c>
      <c r="B282">
        <v>2022</v>
      </c>
      <c r="C282">
        <v>0.66417439465542216</v>
      </c>
      <c r="D282">
        <v>1737856.875</v>
      </c>
      <c r="E282">
        <v>32</v>
      </c>
      <c r="F282">
        <v>206</v>
      </c>
      <c r="G282">
        <v>1.3134191341659999E-4</v>
      </c>
      <c r="H282">
        <v>6</v>
      </c>
      <c r="I282">
        <v>30</v>
      </c>
      <c r="J282">
        <v>0.42626898969272331</v>
      </c>
      <c r="K282">
        <v>-0.29057852473897339</v>
      </c>
      <c r="L282">
        <v>296546676.9941268</v>
      </c>
      <c r="M282" t="s">
        <v>97</v>
      </c>
      <c r="N282" t="s">
        <v>98</v>
      </c>
      <c r="O282" t="s">
        <v>105</v>
      </c>
      <c r="P282">
        <v>9406</v>
      </c>
      <c r="Q282">
        <v>418</v>
      </c>
      <c r="R282">
        <v>8988</v>
      </c>
    </row>
    <row r="283" spans="1:18" x14ac:dyDescent="0.3">
      <c r="A283" t="s">
        <v>1303</v>
      </c>
      <c r="B283">
        <v>2022</v>
      </c>
      <c r="C283">
        <v>3.3384631245613852</v>
      </c>
      <c r="D283">
        <v>4380201.3213848043</v>
      </c>
      <c r="E283">
        <v>911</v>
      </c>
      <c r="F283">
        <v>337</v>
      </c>
      <c r="G283">
        <v>3.6942535998569999E-4</v>
      </c>
      <c r="H283">
        <v>10</v>
      </c>
      <c r="I283">
        <v>3</v>
      </c>
      <c r="J283">
        <v>0.47371323355899292</v>
      </c>
      <c r="K283">
        <v>-0.32112779118172768</v>
      </c>
      <c r="L283">
        <v>48126764.259551682</v>
      </c>
      <c r="M283" t="s">
        <v>830</v>
      </c>
      <c r="N283" t="s">
        <v>831</v>
      </c>
      <c r="O283" t="s">
        <v>838</v>
      </c>
      <c r="P283">
        <v>4228</v>
      </c>
      <c r="Q283">
        <v>914</v>
      </c>
      <c r="R283">
        <v>3314</v>
      </c>
    </row>
    <row r="284" spans="1:18" x14ac:dyDescent="0.3">
      <c r="A284" t="s">
        <v>1304</v>
      </c>
      <c r="B284">
        <v>2022</v>
      </c>
      <c r="C284">
        <v>1.308498413242646</v>
      </c>
      <c r="D284">
        <v>991661.71875</v>
      </c>
      <c r="E284">
        <v>38</v>
      </c>
      <c r="F284">
        <v>467</v>
      </c>
      <c r="G284">
        <v>1.3030001200310001E-4</v>
      </c>
      <c r="H284">
        <v>6</v>
      </c>
      <c r="I284">
        <v>0</v>
      </c>
      <c r="J284">
        <v>0.48305540965315158</v>
      </c>
      <c r="K284">
        <v>-0.36945541363566731</v>
      </c>
      <c r="L284">
        <v>242751217.1784364</v>
      </c>
      <c r="M284" t="s">
        <v>20</v>
      </c>
      <c r="N284" t="s">
        <v>55</v>
      </c>
      <c r="O284" t="s">
        <v>55</v>
      </c>
      <c r="P284">
        <v>9079</v>
      </c>
      <c r="Q284">
        <v>2266</v>
      </c>
      <c r="R284">
        <v>6813</v>
      </c>
    </row>
    <row r="285" spans="1:18" x14ac:dyDescent="0.3">
      <c r="A285" t="s">
        <v>1305</v>
      </c>
      <c r="B285">
        <v>2022</v>
      </c>
      <c r="C285">
        <v>3.875119563064239</v>
      </c>
      <c r="D285">
        <v>2234368.453125</v>
      </c>
      <c r="E285">
        <v>271</v>
      </c>
      <c r="F285">
        <v>860</v>
      </c>
      <c r="G285">
        <v>2.2923922860169999E-4</v>
      </c>
      <c r="H285">
        <v>14</v>
      </c>
      <c r="I285">
        <v>17</v>
      </c>
      <c r="J285">
        <v>0.53790858585670709</v>
      </c>
      <c r="K285">
        <v>-0.27981929499098729</v>
      </c>
      <c r="L285">
        <v>79391258.135633707</v>
      </c>
      <c r="M285" t="s">
        <v>830</v>
      </c>
      <c r="N285" t="s">
        <v>854</v>
      </c>
      <c r="O285" t="s">
        <v>854</v>
      </c>
      <c r="P285">
        <v>8680</v>
      </c>
      <c r="Q285">
        <v>4484</v>
      </c>
      <c r="R285">
        <v>4196</v>
      </c>
    </row>
    <row r="286" spans="1:18" x14ac:dyDescent="0.3">
      <c r="A286" t="s">
        <v>1306</v>
      </c>
      <c r="B286">
        <v>2022</v>
      </c>
      <c r="C286">
        <v>5.055854276777028</v>
      </c>
      <c r="D286">
        <v>3814158.490134804</v>
      </c>
      <c r="E286">
        <v>345</v>
      </c>
      <c r="F286">
        <v>340</v>
      </c>
      <c r="G286">
        <v>7.5678346287199997E-4</v>
      </c>
      <c r="H286">
        <v>22</v>
      </c>
      <c r="I286">
        <v>8</v>
      </c>
      <c r="L286">
        <v>53312786.896659389</v>
      </c>
      <c r="M286" t="s">
        <v>191</v>
      </c>
      <c r="N286" t="s">
        <v>192</v>
      </c>
      <c r="O286" t="s">
        <v>201</v>
      </c>
      <c r="P286">
        <v>15502</v>
      </c>
      <c r="Q286">
        <v>8584</v>
      </c>
      <c r="R286">
        <v>6918</v>
      </c>
    </row>
    <row r="287" spans="1:18" x14ac:dyDescent="0.3">
      <c r="A287" t="s">
        <v>1307</v>
      </c>
      <c r="B287">
        <v>2022</v>
      </c>
      <c r="C287">
        <v>2.7332588626107972</v>
      </c>
      <c r="D287">
        <v>744840.53125</v>
      </c>
      <c r="E287">
        <v>47</v>
      </c>
      <c r="F287">
        <v>260</v>
      </c>
      <c r="G287">
        <v>5.3235456477199997E-4</v>
      </c>
      <c r="H287">
        <v>9</v>
      </c>
      <c r="I287">
        <v>6</v>
      </c>
      <c r="L287">
        <v>83819607.616770893</v>
      </c>
      <c r="M287" t="s">
        <v>586</v>
      </c>
      <c r="N287" t="s">
        <v>597</v>
      </c>
      <c r="O287" t="s">
        <v>431</v>
      </c>
      <c r="P287">
        <v>12037</v>
      </c>
      <c r="Q287">
        <v>3339</v>
      </c>
      <c r="R287">
        <v>8698</v>
      </c>
    </row>
    <row r="288" spans="1:18" x14ac:dyDescent="0.3">
      <c r="A288" t="s">
        <v>1308</v>
      </c>
      <c r="B288">
        <v>2022</v>
      </c>
      <c r="C288">
        <v>1.7595791978011139</v>
      </c>
      <c r="D288">
        <v>1293154.0189950981</v>
      </c>
      <c r="E288">
        <v>84</v>
      </c>
      <c r="F288">
        <v>199</v>
      </c>
      <c r="G288">
        <v>3.1604563698997999E-3</v>
      </c>
      <c r="H288">
        <v>1</v>
      </c>
      <c r="I288">
        <v>0</v>
      </c>
      <c r="J288">
        <v>0.66275843974021875</v>
      </c>
      <c r="K288">
        <v>-0.32985540924106599</v>
      </c>
      <c r="L288">
        <v>94948986.097855777</v>
      </c>
      <c r="M288" t="s">
        <v>959</v>
      </c>
      <c r="N288" t="s">
        <v>984</v>
      </c>
      <c r="O288" t="s">
        <v>984</v>
      </c>
      <c r="P288">
        <v>7677</v>
      </c>
      <c r="Q288">
        <v>3020</v>
      </c>
      <c r="R288">
        <v>4657</v>
      </c>
    </row>
    <row r="289" spans="1:18" x14ac:dyDescent="0.3">
      <c r="A289" t="s">
        <v>1309</v>
      </c>
      <c r="B289">
        <v>2022</v>
      </c>
      <c r="C289">
        <v>40.580541240053918</v>
      </c>
      <c r="D289">
        <v>10110229.077083331</v>
      </c>
      <c r="E289">
        <v>2786</v>
      </c>
      <c r="F289">
        <v>2146</v>
      </c>
      <c r="G289">
        <v>2.463953964248E-4</v>
      </c>
      <c r="H289">
        <v>16</v>
      </c>
      <c r="I289">
        <v>14</v>
      </c>
      <c r="L289">
        <v>20972578.280250851</v>
      </c>
      <c r="M289" t="s">
        <v>652</v>
      </c>
      <c r="N289" t="s">
        <v>772</v>
      </c>
      <c r="O289" t="s">
        <v>778</v>
      </c>
      <c r="P289">
        <v>41752</v>
      </c>
      <c r="Q289">
        <v>37789</v>
      </c>
      <c r="R289">
        <v>3963</v>
      </c>
    </row>
    <row r="290" spans="1:18" x14ac:dyDescent="0.3">
      <c r="A290" t="s">
        <v>1310</v>
      </c>
      <c r="B290">
        <v>2022</v>
      </c>
      <c r="C290">
        <v>8.2424059786776134</v>
      </c>
      <c r="D290">
        <v>4465453.3512254898</v>
      </c>
      <c r="E290">
        <v>1564</v>
      </c>
      <c r="F290">
        <v>685</v>
      </c>
      <c r="G290">
        <v>2.707334240044E-4</v>
      </c>
      <c r="H290">
        <v>29</v>
      </c>
      <c r="I290">
        <v>3</v>
      </c>
      <c r="J290">
        <v>0.41432720238160431</v>
      </c>
      <c r="K290">
        <v>-0.32977197723828161</v>
      </c>
      <c r="L290">
        <v>27049159.86207464</v>
      </c>
      <c r="M290" t="s">
        <v>20</v>
      </c>
      <c r="N290" t="s">
        <v>21</v>
      </c>
      <c r="O290" t="s">
        <v>29</v>
      </c>
      <c r="P290">
        <v>6707</v>
      </c>
      <c r="Q290">
        <v>4985</v>
      </c>
      <c r="R290">
        <v>1722</v>
      </c>
    </row>
    <row r="291" spans="1:18" x14ac:dyDescent="0.3">
      <c r="A291" t="s">
        <v>1311</v>
      </c>
      <c r="B291">
        <v>2022</v>
      </c>
      <c r="C291">
        <v>1.4439988554253049</v>
      </c>
      <c r="D291">
        <v>1487057.4375</v>
      </c>
      <c r="E291">
        <v>76</v>
      </c>
      <c r="F291">
        <v>234</v>
      </c>
      <c r="G291">
        <v>1.1367268605441E-3</v>
      </c>
      <c r="H291">
        <v>6</v>
      </c>
      <c r="I291">
        <v>2</v>
      </c>
      <c r="J291">
        <v>0.56232355116671617</v>
      </c>
      <c r="K291">
        <v>-0.2433732123115101</v>
      </c>
      <c r="L291">
        <v>154682359.9331246</v>
      </c>
      <c r="M291" t="s">
        <v>874</v>
      </c>
      <c r="N291" t="s">
        <v>898</v>
      </c>
      <c r="O291" t="s">
        <v>898</v>
      </c>
      <c r="P291">
        <v>8312</v>
      </c>
      <c r="Q291">
        <v>4653</v>
      </c>
      <c r="R291">
        <v>3659</v>
      </c>
    </row>
    <row r="292" spans="1:18" x14ac:dyDescent="0.3">
      <c r="A292" t="s">
        <v>1312</v>
      </c>
      <c r="B292">
        <v>2022</v>
      </c>
      <c r="C292">
        <v>3.4401679237728748</v>
      </c>
      <c r="D292">
        <v>1006647.741727941</v>
      </c>
      <c r="E292">
        <v>176</v>
      </c>
      <c r="F292">
        <v>309</v>
      </c>
      <c r="G292">
        <v>3.8936359866649999E-4</v>
      </c>
      <c r="H292">
        <v>33</v>
      </c>
      <c r="I292">
        <v>1</v>
      </c>
      <c r="J292">
        <v>0.43835429151064631</v>
      </c>
      <c r="K292">
        <v>-0.2745023363341943</v>
      </c>
      <c r="L292">
        <v>79323846.301362291</v>
      </c>
      <c r="M292" t="s">
        <v>830</v>
      </c>
      <c r="N292" t="s">
        <v>852</v>
      </c>
      <c r="O292" t="s">
        <v>852</v>
      </c>
      <c r="P292">
        <v>5817</v>
      </c>
      <c r="Q292">
        <v>4158</v>
      </c>
      <c r="R292">
        <v>1659</v>
      </c>
    </row>
    <row r="293" spans="1:18" x14ac:dyDescent="0.3">
      <c r="A293" t="s">
        <v>1313</v>
      </c>
      <c r="B293">
        <v>2022</v>
      </c>
      <c r="C293">
        <v>1.057762495207027</v>
      </c>
      <c r="D293">
        <v>230670.6584558824</v>
      </c>
      <c r="E293">
        <v>8</v>
      </c>
      <c r="F293">
        <v>271</v>
      </c>
      <c r="G293">
        <v>2.753103612937E-4</v>
      </c>
      <c r="H293">
        <v>15</v>
      </c>
      <c r="I293">
        <v>0</v>
      </c>
      <c r="J293">
        <v>0.48136678680685502</v>
      </c>
      <c r="K293">
        <v>-0.3838176364528097</v>
      </c>
      <c r="L293">
        <v>167441700.38252559</v>
      </c>
      <c r="M293" t="s">
        <v>232</v>
      </c>
      <c r="N293" t="s">
        <v>254</v>
      </c>
      <c r="O293" t="s">
        <v>257</v>
      </c>
      <c r="P293">
        <v>9130</v>
      </c>
      <c r="Q293">
        <v>654</v>
      </c>
      <c r="R293">
        <v>8476</v>
      </c>
    </row>
    <row r="294" spans="1:18" x14ac:dyDescent="0.3">
      <c r="A294" t="s">
        <v>1314</v>
      </c>
      <c r="B294">
        <v>2022</v>
      </c>
      <c r="C294">
        <v>7.8229034811895177</v>
      </c>
      <c r="D294">
        <v>6394056.7438112739</v>
      </c>
      <c r="E294">
        <v>682</v>
      </c>
      <c r="F294">
        <v>766</v>
      </c>
      <c r="G294">
        <v>1.8508648494930001E-4</v>
      </c>
      <c r="H294">
        <v>5</v>
      </c>
      <c r="I294">
        <v>12</v>
      </c>
      <c r="J294">
        <v>0.48691961686646151</v>
      </c>
      <c r="K294">
        <v>-0.36611199127638711</v>
      </c>
      <c r="L294">
        <v>41417525.132723033</v>
      </c>
      <c r="M294" t="s">
        <v>20</v>
      </c>
      <c r="N294" t="s">
        <v>46</v>
      </c>
      <c r="O294" t="s">
        <v>46</v>
      </c>
      <c r="P294">
        <v>22004</v>
      </c>
      <c r="Q294">
        <v>16698</v>
      </c>
      <c r="R294">
        <v>5306</v>
      </c>
    </row>
    <row r="295" spans="1:18" x14ac:dyDescent="0.3">
      <c r="A295" t="s">
        <v>1315</v>
      </c>
      <c r="B295">
        <v>2022</v>
      </c>
      <c r="C295">
        <v>14.83782306090151</v>
      </c>
      <c r="D295">
        <v>9460471.2720588222</v>
      </c>
      <c r="E295">
        <v>518</v>
      </c>
      <c r="F295">
        <v>2976</v>
      </c>
      <c r="G295">
        <v>1.5018268929409999E-4</v>
      </c>
      <c r="H295">
        <v>27</v>
      </c>
      <c r="I295">
        <v>16</v>
      </c>
      <c r="J295">
        <v>0.34826154695898759</v>
      </c>
      <c r="K295">
        <v>-5.7579339942945701E-2</v>
      </c>
      <c r="L295">
        <v>250682479.94449389</v>
      </c>
      <c r="M295" t="s">
        <v>406</v>
      </c>
      <c r="N295" t="s">
        <v>439</v>
      </c>
      <c r="O295" t="s">
        <v>439</v>
      </c>
      <c r="P295">
        <v>81835</v>
      </c>
      <c r="Q295">
        <v>60781</v>
      </c>
      <c r="R295">
        <v>21054</v>
      </c>
    </row>
    <row r="296" spans="1:18" x14ac:dyDescent="0.3">
      <c r="A296" t="s">
        <v>1316</v>
      </c>
      <c r="B296">
        <v>2022</v>
      </c>
      <c r="C296">
        <v>3.8667516500499501</v>
      </c>
      <c r="D296">
        <v>6777840.7346813735</v>
      </c>
      <c r="E296">
        <v>136</v>
      </c>
      <c r="F296">
        <v>1484</v>
      </c>
      <c r="G296">
        <v>3.0242372954910002E-4</v>
      </c>
      <c r="H296">
        <v>3</v>
      </c>
      <c r="I296">
        <v>3</v>
      </c>
      <c r="J296">
        <v>0.23002738172438719</v>
      </c>
      <c r="K296">
        <v>-0.28636735555106191</v>
      </c>
      <c r="L296">
        <v>269999150.67391771</v>
      </c>
      <c r="M296" t="s">
        <v>406</v>
      </c>
      <c r="N296" t="s">
        <v>450</v>
      </c>
      <c r="O296" t="s">
        <v>451</v>
      </c>
      <c r="P296">
        <v>58635</v>
      </c>
      <c r="Q296">
        <v>30423</v>
      </c>
      <c r="R296">
        <v>28212</v>
      </c>
    </row>
    <row r="297" spans="1:18" x14ac:dyDescent="0.3">
      <c r="A297" t="s">
        <v>1317</v>
      </c>
      <c r="B297">
        <v>2022</v>
      </c>
      <c r="C297">
        <v>1.794384344855662</v>
      </c>
      <c r="D297">
        <v>1239215.125</v>
      </c>
      <c r="E297">
        <v>70</v>
      </c>
      <c r="F297">
        <v>306</v>
      </c>
      <c r="G297">
        <v>2.9705789550639998E-4</v>
      </c>
      <c r="H297">
        <v>3</v>
      </c>
      <c r="I297">
        <v>8</v>
      </c>
      <c r="J297">
        <v>0.51195791057436346</v>
      </c>
      <c r="K297">
        <v>-0.33844588621198002</v>
      </c>
      <c r="L297">
        <v>75862496.110385194</v>
      </c>
      <c r="M297" t="s">
        <v>499</v>
      </c>
      <c r="N297" t="s">
        <v>557</v>
      </c>
      <c r="O297" t="s">
        <v>557</v>
      </c>
      <c r="P297">
        <v>9675</v>
      </c>
      <c r="Q297">
        <v>4770</v>
      </c>
      <c r="R297">
        <v>4905</v>
      </c>
    </row>
    <row r="298" spans="1:18" x14ac:dyDescent="0.3">
      <c r="A298" t="s">
        <v>1318</v>
      </c>
      <c r="B298">
        <v>2022</v>
      </c>
      <c r="C298">
        <v>1.493780886381459</v>
      </c>
      <c r="D298">
        <v>2085941.8062499999</v>
      </c>
      <c r="E298">
        <v>195</v>
      </c>
      <c r="F298">
        <v>279</v>
      </c>
      <c r="G298">
        <v>2.1614180624950001E-4</v>
      </c>
      <c r="H298">
        <v>19</v>
      </c>
      <c r="I298">
        <v>5</v>
      </c>
      <c r="L298">
        <v>189671236.37262151</v>
      </c>
      <c r="M298" t="s">
        <v>652</v>
      </c>
      <c r="N298" t="s">
        <v>772</v>
      </c>
      <c r="O298" t="s">
        <v>776</v>
      </c>
      <c r="P298">
        <v>4963</v>
      </c>
      <c r="Q298">
        <v>3554</v>
      </c>
      <c r="R298">
        <v>1409</v>
      </c>
    </row>
    <row r="299" spans="1:18" x14ac:dyDescent="0.3">
      <c r="A299" t="s">
        <v>1319</v>
      </c>
      <c r="B299">
        <v>2022</v>
      </c>
      <c r="C299">
        <v>5.1693349353218441</v>
      </c>
      <c r="D299">
        <v>498594.34950980393</v>
      </c>
      <c r="E299">
        <v>93</v>
      </c>
      <c r="F299">
        <v>253</v>
      </c>
      <c r="G299">
        <v>8.5621800090539995E-4</v>
      </c>
      <c r="H299">
        <v>18</v>
      </c>
      <c r="I299">
        <v>11</v>
      </c>
      <c r="J299">
        <v>0.42994456914820078</v>
      </c>
      <c r="K299">
        <v>-0.3409886784408801</v>
      </c>
      <c r="L299">
        <v>34975892.397380337</v>
      </c>
      <c r="M299" t="s">
        <v>460</v>
      </c>
      <c r="N299" t="s">
        <v>461</v>
      </c>
      <c r="O299" t="s">
        <v>466</v>
      </c>
      <c r="P299">
        <v>8589</v>
      </c>
      <c r="Q299">
        <v>3615</v>
      </c>
      <c r="R299">
        <v>4974</v>
      </c>
    </row>
    <row r="300" spans="1:18" x14ac:dyDescent="0.3">
      <c r="A300" t="s">
        <v>1320</v>
      </c>
      <c r="B300">
        <v>2022</v>
      </c>
      <c r="C300">
        <v>1.8428031940315639</v>
      </c>
      <c r="D300">
        <v>2867832.2000612752</v>
      </c>
      <c r="E300">
        <v>161</v>
      </c>
      <c r="F300">
        <v>568</v>
      </c>
      <c r="G300">
        <v>2.4793691593030001E-4</v>
      </c>
      <c r="H300">
        <v>11</v>
      </c>
      <c r="I300">
        <v>3</v>
      </c>
      <c r="L300">
        <v>212750742.69489959</v>
      </c>
      <c r="M300" t="s">
        <v>652</v>
      </c>
      <c r="N300" t="s">
        <v>809</v>
      </c>
      <c r="O300" t="s">
        <v>811</v>
      </c>
      <c r="P300">
        <v>10289</v>
      </c>
      <c r="Q300">
        <v>7657</v>
      </c>
      <c r="R300">
        <v>2632</v>
      </c>
    </row>
    <row r="301" spans="1:18" x14ac:dyDescent="0.3">
      <c r="A301" t="s">
        <v>1321</v>
      </c>
      <c r="B301">
        <v>2022</v>
      </c>
      <c r="C301">
        <v>1.091534916268587</v>
      </c>
      <c r="D301">
        <v>4462182.203125</v>
      </c>
      <c r="E301">
        <v>125</v>
      </c>
      <c r="F301">
        <v>413</v>
      </c>
      <c r="G301">
        <v>3.4457545918649998E-4</v>
      </c>
      <c r="H301">
        <v>4</v>
      </c>
      <c r="I301">
        <v>7</v>
      </c>
      <c r="J301">
        <v>0.60606544875491886</v>
      </c>
      <c r="K301">
        <v>-0.2673387499474979</v>
      </c>
      <c r="L301">
        <v>365550223.90494168</v>
      </c>
      <c r="M301" t="s">
        <v>674</v>
      </c>
      <c r="N301" t="s">
        <v>684</v>
      </c>
      <c r="O301" t="s">
        <v>684</v>
      </c>
      <c r="P301">
        <v>12319</v>
      </c>
      <c r="Q301">
        <v>7907</v>
      </c>
      <c r="R301">
        <v>4412</v>
      </c>
    </row>
    <row r="302" spans="1:18" x14ac:dyDescent="0.3">
      <c r="A302" t="s">
        <v>1322</v>
      </c>
      <c r="B302">
        <v>2022</v>
      </c>
      <c r="C302">
        <v>5.7204971307445938</v>
      </c>
      <c r="D302">
        <v>47702283.798651963</v>
      </c>
      <c r="E302">
        <v>4042</v>
      </c>
      <c r="F302">
        <v>1050</v>
      </c>
      <c r="G302">
        <v>2.0359461517969999E-4</v>
      </c>
      <c r="H302">
        <v>14</v>
      </c>
      <c r="I302">
        <v>6</v>
      </c>
      <c r="J302">
        <v>0.27973825367908001</v>
      </c>
      <c r="K302">
        <v>-0.25139543867697201</v>
      </c>
      <c r="L302">
        <v>93553158.818909362</v>
      </c>
      <c r="M302" t="s">
        <v>232</v>
      </c>
      <c r="N302" t="s">
        <v>269</v>
      </c>
      <c r="O302" t="s">
        <v>269</v>
      </c>
      <c r="P302">
        <v>22688</v>
      </c>
      <c r="Q302">
        <v>15029</v>
      </c>
      <c r="R302">
        <v>7659</v>
      </c>
    </row>
    <row r="303" spans="1:18" x14ac:dyDescent="0.3">
      <c r="A303" t="s">
        <v>1323</v>
      </c>
      <c r="B303">
        <v>2022</v>
      </c>
      <c r="C303">
        <v>1.5050906770692269</v>
      </c>
      <c r="D303">
        <v>744797.625</v>
      </c>
      <c r="E303">
        <v>25</v>
      </c>
      <c r="F303">
        <v>261</v>
      </c>
      <c r="G303">
        <v>2.9400442164330003E-4</v>
      </c>
      <c r="H303">
        <v>23</v>
      </c>
      <c r="I303">
        <v>34</v>
      </c>
      <c r="J303">
        <v>0.36457153348462018</v>
      </c>
      <c r="K303">
        <v>-0.2584866845249143</v>
      </c>
      <c r="L303">
        <v>202847396.40764591</v>
      </c>
      <c r="M303" t="s">
        <v>612</v>
      </c>
      <c r="N303" t="s">
        <v>662</v>
      </c>
      <c r="O303" t="s">
        <v>656</v>
      </c>
      <c r="P303">
        <v>15640</v>
      </c>
      <c r="Q303">
        <v>3991</v>
      </c>
      <c r="R303">
        <v>11649</v>
      </c>
    </row>
    <row r="304" spans="1:18" x14ac:dyDescent="0.3">
      <c r="A304" t="s">
        <v>1324</v>
      </c>
      <c r="B304">
        <v>2022</v>
      </c>
      <c r="C304">
        <v>15.556064012463599</v>
      </c>
      <c r="D304">
        <v>10100487.615441181</v>
      </c>
      <c r="E304">
        <v>697</v>
      </c>
      <c r="F304">
        <v>2614</v>
      </c>
      <c r="G304">
        <v>1.4454803883010001E-4</v>
      </c>
      <c r="H304">
        <v>9</v>
      </c>
      <c r="I304">
        <v>23</v>
      </c>
      <c r="L304">
        <v>65536270.233098507</v>
      </c>
      <c r="M304" t="s">
        <v>652</v>
      </c>
      <c r="N304" t="s">
        <v>772</v>
      </c>
      <c r="O304" t="s">
        <v>800</v>
      </c>
      <c r="P304">
        <v>79011</v>
      </c>
      <c r="Q304">
        <v>65170</v>
      </c>
      <c r="R304">
        <v>13841</v>
      </c>
    </row>
    <row r="305" spans="1:18" x14ac:dyDescent="0.3">
      <c r="A305" t="s">
        <v>1325</v>
      </c>
      <c r="B305">
        <v>2022</v>
      </c>
      <c r="C305">
        <v>10.38890114063296</v>
      </c>
      <c r="D305">
        <v>496642.9375</v>
      </c>
      <c r="E305">
        <v>72</v>
      </c>
      <c r="F305">
        <v>643</v>
      </c>
      <c r="G305">
        <v>6.2913019093359997E-4</v>
      </c>
      <c r="H305">
        <v>8</v>
      </c>
      <c r="I305">
        <v>6</v>
      </c>
      <c r="L305">
        <v>32455613.836844601</v>
      </c>
      <c r="M305" t="s">
        <v>652</v>
      </c>
      <c r="N305" t="s">
        <v>809</v>
      </c>
      <c r="O305" t="s">
        <v>813</v>
      </c>
      <c r="P305">
        <v>25418</v>
      </c>
      <c r="Q305">
        <v>17219</v>
      </c>
      <c r="R305">
        <v>8199</v>
      </c>
    </row>
    <row r="306" spans="1:18" x14ac:dyDescent="0.3">
      <c r="A306" t="s">
        <v>1326</v>
      </c>
      <c r="B306">
        <v>2022</v>
      </c>
      <c r="C306">
        <v>2.6870946216819269</v>
      </c>
      <c r="D306">
        <v>496085.65625</v>
      </c>
      <c r="E306">
        <v>112</v>
      </c>
      <c r="F306">
        <v>287</v>
      </c>
      <c r="G306">
        <v>3.920544538225E-4</v>
      </c>
      <c r="H306">
        <v>15</v>
      </c>
      <c r="I306">
        <v>5</v>
      </c>
      <c r="J306">
        <v>0.57693217700947863</v>
      </c>
      <c r="K306">
        <v>-0.37476199333886051</v>
      </c>
      <c r="L306">
        <v>56643774.2824618</v>
      </c>
      <c r="M306" t="s">
        <v>124</v>
      </c>
      <c r="N306" t="s">
        <v>153</v>
      </c>
      <c r="O306" t="s">
        <v>153</v>
      </c>
      <c r="P306">
        <v>4273</v>
      </c>
      <c r="Q306">
        <v>2464</v>
      </c>
      <c r="R306">
        <v>1809</v>
      </c>
    </row>
    <row r="307" spans="1:18" x14ac:dyDescent="0.3">
      <c r="A307" t="s">
        <v>1327</v>
      </c>
      <c r="B307">
        <v>2022</v>
      </c>
      <c r="C307">
        <v>0.84230297976118518</v>
      </c>
      <c r="D307">
        <v>1489831.4375</v>
      </c>
      <c r="E307">
        <v>41</v>
      </c>
      <c r="F307">
        <v>367</v>
      </c>
      <c r="G307">
        <v>1.6365226091570001E-4</v>
      </c>
      <c r="H307">
        <v>23</v>
      </c>
      <c r="I307">
        <v>15</v>
      </c>
      <c r="L307">
        <v>213055518.90293911</v>
      </c>
      <c r="M307" t="s">
        <v>191</v>
      </c>
      <c r="N307" t="s">
        <v>192</v>
      </c>
      <c r="O307" t="s">
        <v>202</v>
      </c>
      <c r="P307">
        <v>11035</v>
      </c>
      <c r="Q307">
        <v>2308</v>
      </c>
      <c r="R307">
        <v>8727</v>
      </c>
    </row>
    <row r="308" spans="1:18" x14ac:dyDescent="0.3">
      <c r="A308" t="s">
        <v>1328</v>
      </c>
      <c r="B308">
        <v>2022</v>
      </c>
      <c r="C308">
        <v>0.98222621805106225</v>
      </c>
      <c r="D308">
        <v>3412277.5444240202</v>
      </c>
      <c r="E308">
        <v>106</v>
      </c>
      <c r="F308">
        <v>383</v>
      </c>
      <c r="G308">
        <v>1.5324236018349999E-4</v>
      </c>
      <c r="H308">
        <v>12</v>
      </c>
      <c r="I308">
        <v>13</v>
      </c>
      <c r="J308">
        <v>0.368383223681713</v>
      </c>
      <c r="K308">
        <v>-0.2995615329037119</v>
      </c>
      <c r="L308">
        <v>425969588.21785402</v>
      </c>
      <c r="M308" t="s">
        <v>830</v>
      </c>
      <c r="N308" t="s">
        <v>831</v>
      </c>
      <c r="O308" t="s">
        <v>840</v>
      </c>
      <c r="P308">
        <v>11440</v>
      </c>
      <c r="Q308">
        <v>1900</v>
      </c>
      <c r="R308">
        <v>9540</v>
      </c>
    </row>
    <row r="309" spans="1:18" x14ac:dyDescent="0.3">
      <c r="A309" t="s">
        <v>1329</v>
      </c>
      <c r="B309">
        <v>2022</v>
      </c>
      <c r="C309">
        <v>1.1969348419292321</v>
      </c>
      <c r="D309">
        <v>744041.5</v>
      </c>
      <c r="E309">
        <v>13</v>
      </c>
      <c r="F309">
        <v>454</v>
      </c>
      <c r="G309">
        <v>6.651662915728E-4</v>
      </c>
      <c r="H309">
        <v>19</v>
      </c>
      <c r="I309">
        <v>4</v>
      </c>
      <c r="J309">
        <v>0.23707663001474891</v>
      </c>
      <c r="K309">
        <v>-5.7287905607910403E-2</v>
      </c>
      <c r="L309">
        <v>441158068.57069111</v>
      </c>
      <c r="M309" t="s">
        <v>406</v>
      </c>
      <c r="N309" t="s">
        <v>414</v>
      </c>
      <c r="O309" t="s">
        <v>414</v>
      </c>
      <c r="P309">
        <v>25649</v>
      </c>
      <c r="Q309">
        <v>13669</v>
      </c>
      <c r="R309">
        <v>11980</v>
      </c>
    </row>
    <row r="310" spans="1:18" x14ac:dyDescent="0.3">
      <c r="A310" t="s">
        <v>1330</v>
      </c>
      <c r="B310">
        <v>2022</v>
      </c>
      <c r="C310">
        <v>2.57407011084051</v>
      </c>
      <c r="D310">
        <v>2405952.4161764709</v>
      </c>
      <c r="E310">
        <v>306</v>
      </c>
      <c r="F310">
        <v>182</v>
      </c>
      <c r="G310">
        <v>5.6588679589610004E-4</v>
      </c>
      <c r="H310">
        <v>18</v>
      </c>
      <c r="I310">
        <v>3</v>
      </c>
      <c r="J310">
        <v>0.48334184686882931</v>
      </c>
      <c r="K310">
        <v>-0.37237755378269549</v>
      </c>
      <c r="L310">
        <v>48566501.492106646</v>
      </c>
      <c r="M310" t="s">
        <v>191</v>
      </c>
      <c r="N310" t="s">
        <v>218</v>
      </c>
      <c r="O310" t="s">
        <v>222</v>
      </c>
      <c r="P310">
        <v>7632</v>
      </c>
      <c r="Q310">
        <v>2988</v>
      </c>
      <c r="R310">
        <v>4644</v>
      </c>
    </row>
    <row r="311" spans="1:18" x14ac:dyDescent="0.3">
      <c r="A311" t="s">
        <v>1331</v>
      </c>
      <c r="B311">
        <v>2022</v>
      </c>
      <c r="C311">
        <v>4.0481426706573123</v>
      </c>
      <c r="D311">
        <v>3470861.28125</v>
      </c>
      <c r="E311">
        <v>88</v>
      </c>
      <c r="F311">
        <v>1442</v>
      </c>
      <c r="G311">
        <v>5.0022186181200004E-4</v>
      </c>
      <c r="H311">
        <v>17</v>
      </c>
      <c r="I311">
        <v>29</v>
      </c>
      <c r="J311">
        <v>0.440444528131472</v>
      </c>
      <c r="K311">
        <v>-0.19894825881635489</v>
      </c>
      <c r="L311">
        <v>131183913.48321611</v>
      </c>
      <c r="M311" t="s">
        <v>287</v>
      </c>
      <c r="N311" t="s">
        <v>312</v>
      </c>
      <c r="O311" t="s">
        <v>312</v>
      </c>
      <c r="P311">
        <v>60886</v>
      </c>
      <c r="Q311">
        <v>41703</v>
      </c>
      <c r="R311">
        <v>19183</v>
      </c>
    </row>
    <row r="312" spans="1:18" x14ac:dyDescent="0.3">
      <c r="A312" t="s">
        <v>1332</v>
      </c>
      <c r="B312">
        <v>2022</v>
      </c>
      <c r="C312">
        <v>1.1924918408113261</v>
      </c>
      <c r="D312">
        <v>197334.59136029409</v>
      </c>
      <c r="E312">
        <v>37</v>
      </c>
      <c r="F312">
        <v>156</v>
      </c>
      <c r="G312">
        <v>3.0966844706E-4</v>
      </c>
      <c r="H312">
        <v>3</v>
      </c>
      <c r="I312">
        <v>2</v>
      </c>
      <c r="J312">
        <v>0.46388033422804981</v>
      </c>
      <c r="K312">
        <v>-0.37586612561177279</v>
      </c>
      <c r="L312">
        <v>217743036.29094949</v>
      </c>
      <c r="M312" t="s">
        <v>20</v>
      </c>
      <c r="N312" t="s">
        <v>82</v>
      </c>
      <c r="O312" t="s">
        <v>83</v>
      </c>
      <c r="P312">
        <v>2453</v>
      </c>
      <c r="Q312">
        <v>967</v>
      </c>
      <c r="R312">
        <v>1486</v>
      </c>
    </row>
    <row r="313" spans="1:18" x14ac:dyDescent="0.3">
      <c r="A313" t="s">
        <v>1333</v>
      </c>
      <c r="B313">
        <v>2022</v>
      </c>
      <c r="C313">
        <v>3.040239485123875</v>
      </c>
      <c r="D313">
        <v>1470446.3416053921</v>
      </c>
      <c r="E313">
        <v>176</v>
      </c>
      <c r="F313">
        <v>491</v>
      </c>
      <c r="G313">
        <v>2.5265801472599999E-4</v>
      </c>
      <c r="H313">
        <v>6</v>
      </c>
      <c r="I313">
        <v>11</v>
      </c>
      <c r="J313">
        <v>0.39889883862290421</v>
      </c>
      <c r="K313">
        <v>-0.30693194989691519</v>
      </c>
      <c r="L313">
        <v>92824682.754684165</v>
      </c>
      <c r="M313" t="s">
        <v>460</v>
      </c>
      <c r="N313" t="s">
        <v>488</v>
      </c>
      <c r="O313" t="s">
        <v>488</v>
      </c>
      <c r="P313">
        <v>10064</v>
      </c>
      <c r="Q313">
        <v>6912</v>
      </c>
      <c r="R313">
        <v>3152</v>
      </c>
    </row>
    <row r="314" spans="1:18" x14ac:dyDescent="0.3">
      <c r="A314" t="s">
        <v>1334</v>
      </c>
      <c r="B314">
        <v>2022</v>
      </c>
      <c r="C314">
        <v>10.66770088783203</v>
      </c>
      <c r="D314">
        <v>16279414.07843137</v>
      </c>
      <c r="E314">
        <v>2496</v>
      </c>
      <c r="F314">
        <v>522</v>
      </c>
      <c r="G314">
        <v>3.7863483686560002E-4</v>
      </c>
      <c r="H314">
        <v>28</v>
      </c>
      <c r="I314">
        <v>7</v>
      </c>
      <c r="J314">
        <v>0.38001818446548041</v>
      </c>
      <c r="K314">
        <v>-0.29689798771486431</v>
      </c>
      <c r="L314">
        <v>39729112.251014113</v>
      </c>
      <c r="M314" t="s">
        <v>830</v>
      </c>
      <c r="N314" t="s">
        <v>831</v>
      </c>
      <c r="O314" t="s">
        <v>330</v>
      </c>
      <c r="P314">
        <v>28200</v>
      </c>
      <c r="Q314">
        <v>15008</v>
      </c>
      <c r="R314">
        <v>13192</v>
      </c>
    </row>
    <row r="315" spans="1:18" x14ac:dyDescent="0.3">
      <c r="A315" t="s">
        <v>1335</v>
      </c>
      <c r="B315">
        <v>2022</v>
      </c>
      <c r="C315">
        <v>0.91736546644671924</v>
      </c>
      <c r="D315">
        <v>314619.38602941181</v>
      </c>
      <c r="E315">
        <v>20</v>
      </c>
      <c r="F315">
        <v>303</v>
      </c>
      <c r="G315">
        <v>2.9035277964459998E-4</v>
      </c>
      <c r="H315">
        <v>2</v>
      </c>
      <c r="I315">
        <v>10</v>
      </c>
      <c r="J315">
        <v>0.2524189877946198</v>
      </c>
      <c r="K315">
        <v>-0.32598188737301731</v>
      </c>
      <c r="L315">
        <v>194639052.21483409</v>
      </c>
      <c r="M315" t="s">
        <v>499</v>
      </c>
      <c r="N315" t="s">
        <v>570</v>
      </c>
      <c r="O315" t="s">
        <v>570</v>
      </c>
      <c r="P315">
        <v>5835</v>
      </c>
      <c r="Q315">
        <v>3652</v>
      </c>
      <c r="R315">
        <v>2183</v>
      </c>
    </row>
    <row r="316" spans="1:18" x14ac:dyDescent="0.3">
      <c r="A316" t="s">
        <v>1336</v>
      </c>
      <c r="B316">
        <v>2022</v>
      </c>
      <c r="C316">
        <v>1.302064579884374</v>
      </c>
      <c r="D316">
        <v>1909901.3946691181</v>
      </c>
      <c r="E316">
        <v>195</v>
      </c>
      <c r="F316">
        <v>263</v>
      </c>
      <c r="G316">
        <v>6.5912882222959998E-4</v>
      </c>
      <c r="H316">
        <v>6</v>
      </c>
      <c r="I316">
        <v>1</v>
      </c>
      <c r="J316">
        <v>0.47130069910984518</v>
      </c>
      <c r="K316">
        <v>-0.23319547596234749</v>
      </c>
      <c r="L316">
        <v>86825227.609895259</v>
      </c>
      <c r="M316" t="s">
        <v>612</v>
      </c>
      <c r="N316" t="s">
        <v>668</v>
      </c>
      <c r="O316" t="s">
        <v>670</v>
      </c>
      <c r="P316">
        <v>5824</v>
      </c>
      <c r="Q316">
        <v>1912</v>
      </c>
      <c r="R316">
        <v>3912</v>
      </c>
    </row>
    <row r="317" spans="1:18" x14ac:dyDescent="0.3">
      <c r="A317" t="s">
        <v>1337</v>
      </c>
      <c r="B317">
        <v>2022</v>
      </c>
      <c r="C317">
        <v>0.65783114777453444</v>
      </c>
      <c r="D317">
        <v>2123700.1075367639</v>
      </c>
      <c r="E317">
        <v>106</v>
      </c>
      <c r="F317">
        <v>269</v>
      </c>
      <c r="G317">
        <v>1.721267677742E-4</v>
      </c>
      <c r="H317">
        <v>9</v>
      </c>
      <c r="I317">
        <v>22</v>
      </c>
      <c r="J317">
        <v>0.56334234552441431</v>
      </c>
      <c r="K317">
        <v>-0.1815964829983365</v>
      </c>
      <c r="L317">
        <v>248956753.65372089</v>
      </c>
      <c r="M317" t="s">
        <v>191</v>
      </c>
      <c r="N317" t="s">
        <v>227</v>
      </c>
      <c r="O317" t="s">
        <v>228</v>
      </c>
      <c r="P317">
        <v>6064</v>
      </c>
      <c r="Q317">
        <v>281</v>
      </c>
      <c r="R317">
        <v>5783</v>
      </c>
    </row>
    <row r="318" spans="1:18" x14ac:dyDescent="0.3">
      <c r="A318" t="s">
        <v>1338</v>
      </c>
      <c r="B318">
        <v>2022</v>
      </c>
      <c r="C318">
        <v>6.6142426169050399</v>
      </c>
      <c r="D318">
        <v>744835.6875</v>
      </c>
      <c r="E318">
        <v>410</v>
      </c>
      <c r="F318">
        <v>142</v>
      </c>
      <c r="G318">
        <v>1.8514329059345E-3</v>
      </c>
      <c r="H318">
        <v>22</v>
      </c>
      <c r="I318">
        <v>3</v>
      </c>
      <c r="J318">
        <v>0.33041193860272561</v>
      </c>
      <c r="K318">
        <v>-0.28777300144709222</v>
      </c>
      <c r="L318">
        <v>20106564.46169718</v>
      </c>
      <c r="M318" t="s">
        <v>830</v>
      </c>
      <c r="N318" t="s">
        <v>831</v>
      </c>
      <c r="O318" t="s">
        <v>844</v>
      </c>
      <c r="P318">
        <v>5546</v>
      </c>
      <c r="Q318">
        <v>3466</v>
      </c>
      <c r="R318">
        <v>2080</v>
      </c>
    </row>
    <row r="319" spans="1:18" x14ac:dyDescent="0.3">
      <c r="A319" t="s">
        <v>1339</v>
      </c>
      <c r="B319">
        <v>2022</v>
      </c>
      <c r="C319">
        <v>8.0614271444482171</v>
      </c>
      <c r="D319">
        <v>3579784.25502451</v>
      </c>
      <c r="E319">
        <v>502</v>
      </c>
      <c r="F319">
        <v>644</v>
      </c>
      <c r="G319">
        <v>5.0126736166920002E-4</v>
      </c>
      <c r="H319">
        <v>10</v>
      </c>
      <c r="I319">
        <v>11</v>
      </c>
      <c r="J319">
        <v>0.50161492032062238</v>
      </c>
      <c r="K319">
        <v>-0.3344178818452323</v>
      </c>
      <c r="L319">
        <v>72947885.993240178</v>
      </c>
      <c r="M319" t="s">
        <v>652</v>
      </c>
      <c r="N319" t="s">
        <v>772</v>
      </c>
      <c r="O319" t="s">
        <v>801</v>
      </c>
      <c r="P319">
        <v>26527</v>
      </c>
      <c r="Q319">
        <v>18894</v>
      </c>
      <c r="R319">
        <v>7633</v>
      </c>
    </row>
    <row r="320" spans="1:18" x14ac:dyDescent="0.3">
      <c r="A320" t="s">
        <v>1340</v>
      </c>
      <c r="B320">
        <v>2022</v>
      </c>
      <c r="C320">
        <v>7.2180076697126747</v>
      </c>
      <c r="D320">
        <v>496646.140625</v>
      </c>
      <c r="E320">
        <v>146</v>
      </c>
      <c r="F320">
        <v>453</v>
      </c>
      <c r="G320">
        <v>4.5753731728620002E-4</v>
      </c>
      <c r="H320">
        <v>30</v>
      </c>
      <c r="I320">
        <v>4</v>
      </c>
      <c r="L320">
        <v>31572431.173402559</v>
      </c>
      <c r="M320" t="s">
        <v>652</v>
      </c>
      <c r="N320" t="s">
        <v>772</v>
      </c>
      <c r="O320" t="s">
        <v>784</v>
      </c>
      <c r="P320">
        <v>11436</v>
      </c>
      <c r="Q320">
        <v>8278</v>
      </c>
      <c r="R320">
        <v>3158</v>
      </c>
    </row>
    <row r="321" spans="1:18" x14ac:dyDescent="0.3">
      <c r="A321" t="s">
        <v>1341</v>
      </c>
      <c r="B321">
        <v>2022</v>
      </c>
      <c r="C321">
        <v>66.805288387192547</v>
      </c>
      <c r="D321">
        <v>59784170.367892161</v>
      </c>
      <c r="E321">
        <v>5319</v>
      </c>
      <c r="F321">
        <v>14275</v>
      </c>
      <c r="G321">
        <v>5.35178894337561E-5</v>
      </c>
      <c r="H321">
        <v>197</v>
      </c>
      <c r="I321">
        <v>173</v>
      </c>
      <c r="J321">
        <v>0.27656972686171483</v>
      </c>
      <c r="K321">
        <v>-0.30300537705342301</v>
      </c>
      <c r="L321">
        <v>71484341.036941305</v>
      </c>
      <c r="M321" t="s">
        <v>20</v>
      </c>
      <c r="N321" t="s">
        <v>21</v>
      </c>
      <c r="O321" t="s">
        <v>21</v>
      </c>
      <c r="P321">
        <v>360524</v>
      </c>
      <c r="Q321">
        <v>324820</v>
      </c>
      <c r="R321">
        <v>35704</v>
      </c>
    </row>
    <row r="322" spans="1:18" x14ac:dyDescent="0.3">
      <c r="A322" t="s">
        <v>1342</v>
      </c>
      <c r="B322">
        <v>2022</v>
      </c>
      <c r="C322">
        <v>3.5079063733303739</v>
      </c>
      <c r="D322">
        <v>496639.671875</v>
      </c>
      <c r="E322">
        <v>128</v>
      </c>
      <c r="F322">
        <v>249</v>
      </c>
      <c r="G322">
        <v>8.4193745653559997E-4</v>
      </c>
      <c r="H322">
        <v>9</v>
      </c>
      <c r="I322">
        <v>7</v>
      </c>
      <c r="J322">
        <v>0.37096344314827029</v>
      </c>
      <c r="K322">
        <v>-0.3434290579730338</v>
      </c>
      <c r="L322">
        <v>60042916.894151293</v>
      </c>
      <c r="M322" t="s">
        <v>460</v>
      </c>
      <c r="N322" t="s">
        <v>492</v>
      </c>
      <c r="O322" t="s">
        <v>493</v>
      </c>
      <c r="P322">
        <v>6548</v>
      </c>
      <c r="Q322">
        <v>4384</v>
      </c>
      <c r="R322">
        <v>2164</v>
      </c>
    </row>
    <row r="323" spans="1:18" x14ac:dyDescent="0.3">
      <c r="A323" t="s">
        <v>1343</v>
      </c>
      <c r="B323">
        <v>2022</v>
      </c>
      <c r="C323">
        <v>6.9874430440091784</v>
      </c>
      <c r="D323">
        <v>3432409.760477941</v>
      </c>
      <c r="E323">
        <v>792</v>
      </c>
      <c r="F323">
        <v>377</v>
      </c>
      <c r="G323">
        <v>8.6135724866399997E-4</v>
      </c>
      <c r="H323">
        <v>17</v>
      </c>
      <c r="I323">
        <v>4</v>
      </c>
      <c r="L323">
        <v>26660543.008029629</v>
      </c>
      <c r="M323" t="s">
        <v>191</v>
      </c>
      <c r="N323" t="s">
        <v>192</v>
      </c>
      <c r="O323" t="s">
        <v>195</v>
      </c>
      <c r="P323">
        <v>11013</v>
      </c>
      <c r="Q323">
        <v>7249</v>
      </c>
      <c r="R323">
        <v>3764</v>
      </c>
    </row>
    <row r="324" spans="1:18" x14ac:dyDescent="0.3">
      <c r="A324" t="s">
        <v>1344</v>
      </c>
      <c r="B324">
        <v>2022</v>
      </c>
      <c r="C324">
        <v>1.5799725852698761</v>
      </c>
      <c r="D324">
        <v>6643461.6333333338</v>
      </c>
      <c r="E324">
        <v>318</v>
      </c>
      <c r="F324">
        <v>709</v>
      </c>
      <c r="G324">
        <v>1.3474775664679999E-4</v>
      </c>
      <c r="H324">
        <v>12</v>
      </c>
      <c r="I324">
        <v>7</v>
      </c>
      <c r="J324">
        <v>0.40126257974416529</v>
      </c>
      <c r="K324">
        <v>-0.3275926803764066</v>
      </c>
      <c r="L324">
        <v>335625081.94941652</v>
      </c>
      <c r="M324" t="s">
        <v>652</v>
      </c>
      <c r="N324" t="s">
        <v>803</v>
      </c>
      <c r="O324" t="s">
        <v>805</v>
      </c>
      <c r="P324">
        <v>18031</v>
      </c>
      <c r="Q324">
        <v>5157</v>
      </c>
      <c r="R324">
        <v>12874</v>
      </c>
    </row>
    <row r="325" spans="1:18" x14ac:dyDescent="0.3">
      <c r="A325" t="s">
        <v>1345</v>
      </c>
      <c r="B325">
        <v>2022</v>
      </c>
      <c r="C325">
        <v>2.0569136281915621</v>
      </c>
      <c r="D325">
        <v>3724403.4375</v>
      </c>
      <c r="E325">
        <v>89</v>
      </c>
      <c r="F325">
        <v>789</v>
      </c>
      <c r="G325">
        <v>2.536777049628E-4</v>
      </c>
      <c r="H325">
        <v>19</v>
      </c>
      <c r="I325">
        <v>27</v>
      </c>
      <c r="J325">
        <v>0.51134007128727699</v>
      </c>
      <c r="K325">
        <v>-0.2349590510166055</v>
      </c>
      <c r="L325">
        <v>230993395.79596609</v>
      </c>
      <c r="M325" t="s">
        <v>191</v>
      </c>
      <c r="N325" t="s">
        <v>203</v>
      </c>
      <c r="O325" t="s">
        <v>203</v>
      </c>
      <c r="P325">
        <v>47939</v>
      </c>
      <c r="Q325">
        <v>27005</v>
      </c>
      <c r="R325">
        <v>20934</v>
      </c>
    </row>
    <row r="326" spans="1:18" x14ac:dyDescent="0.3">
      <c r="A326" t="s">
        <v>1346</v>
      </c>
      <c r="B326">
        <v>2022</v>
      </c>
      <c r="C326">
        <v>1.751745005150861</v>
      </c>
      <c r="D326">
        <v>1489179.984375</v>
      </c>
      <c r="E326">
        <v>102</v>
      </c>
      <c r="F326">
        <v>300</v>
      </c>
      <c r="G326">
        <v>3.8613512115140002E-4</v>
      </c>
      <c r="H326">
        <v>13</v>
      </c>
      <c r="I326">
        <v>2</v>
      </c>
      <c r="J326">
        <v>0.28869452910161408</v>
      </c>
      <c r="K326">
        <v>-0.24779660931715169</v>
      </c>
      <c r="L326">
        <v>491749748.25217068</v>
      </c>
      <c r="M326" t="s">
        <v>406</v>
      </c>
      <c r="N326" t="s">
        <v>459</v>
      </c>
      <c r="O326" t="s">
        <v>459</v>
      </c>
      <c r="P326">
        <v>14305</v>
      </c>
      <c r="Q326">
        <v>3222</v>
      </c>
      <c r="R326">
        <v>11083</v>
      </c>
    </row>
    <row r="327" spans="1:18" x14ac:dyDescent="0.3">
      <c r="A327" t="s">
        <v>1347</v>
      </c>
      <c r="B327">
        <v>2022</v>
      </c>
      <c r="C327">
        <v>0.74858129420357133</v>
      </c>
      <c r="D327">
        <v>742366.609375</v>
      </c>
      <c r="E327">
        <v>39</v>
      </c>
      <c r="F327">
        <v>244</v>
      </c>
      <c r="G327">
        <v>1.7718611730050001E-4</v>
      </c>
      <c r="H327">
        <v>6</v>
      </c>
      <c r="I327">
        <v>26</v>
      </c>
      <c r="J327">
        <v>0.6450959030925969</v>
      </c>
      <c r="K327">
        <v>-0.30618025997289861</v>
      </c>
      <c r="L327">
        <v>424954334.29311907</v>
      </c>
      <c r="M327" t="s">
        <v>874</v>
      </c>
      <c r="N327" t="s">
        <v>881</v>
      </c>
      <c r="O327" t="s">
        <v>882</v>
      </c>
      <c r="P327">
        <v>7876</v>
      </c>
      <c r="Q327">
        <v>3572</v>
      </c>
      <c r="R327">
        <v>4304</v>
      </c>
    </row>
    <row r="328" spans="1:18" x14ac:dyDescent="0.3">
      <c r="A328" t="s">
        <v>1348</v>
      </c>
      <c r="B328">
        <v>2022</v>
      </c>
      <c r="C328">
        <v>15.882304036606159</v>
      </c>
      <c r="D328">
        <v>31655425.207414221</v>
      </c>
      <c r="E328">
        <v>947</v>
      </c>
      <c r="F328">
        <v>4256</v>
      </c>
      <c r="G328">
        <v>1.6277019631030001E-4</v>
      </c>
      <c r="H328">
        <v>13</v>
      </c>
      <c r="I328">
        <v>33</v>
      </c>
      <c r="J328">
        <v>0.19150436481650621</v>
      </c>
      <c r="K328">
        <v>3.06681523876009E-2</v>
      </c>
      <c r="L328">
        <v>341882967.24813831</v>
      </c>
      <c r="M328" t="s">
        <v>406</v>
      </c>
      <c r="N328" t="s">
        <v>422</v>
      </c>
      <c r="O328" t="s">
        <v>357</v>
      </c>
      <c r="P328">
        <v>303831</v>
      </c>
      <c r="Q328">
        <v>105221</v>
      </c>
      <c r="R328">
        <v>198610</v>
      </c>
    </row>
    <row r="329" spans="1:18" x14ac:dyDescent="0.3">
      <c r="A329" t="s">
        <v>1349</v>
      </c>
      <c r="B329">
        <v>2022</v>
      </c>
      <c r="C329">
        <v>1.0302968521028379</v>
      </c>
      <c r="D329">
        <v>8989954.5601715688</v>
      </c>
      <c r="E329">
        <v>133</v>
      </c>
      <c r="F329">
        <v>1105</v>
      </c>
      <c r="G329">
        <v>1.2576528341010001E-4</v>
      </c>
      <c r="H329">
        <v>12</v>
      </c>
      <c r="I329">
        <v>7</v>
      </c>
      <c r="J329">
        <v>0.28571584264741079</v>
      </c>
      <c r="K329">
        <v>-0.25600305379287541</v>
      </c>
      <c r="L329">
        <v>1146704835.1027229</v>
      </c>
      <c r="M329" t="s">
        <v>940</v>
      </c>
      <c r="N329" t="s">
        <v>940</v>
      </c>
      <c r="O329" t="s">
        <v>1004</v>
      </c>
      <c r="P329">
        <v>39988</v>
      </c>
      <c r="Q329">
        <v>15668</v>
      </c>
      <c r="R329">
        <v>24320</v>
      </c>
    </row>
    <row r="330" spans="1:18" x14ac:dyDescent="0.3">
      <c r="A330" t="s">
        <v>1350</v>
      </c>
      <c r="B330">
        <v>2022</v>
      </c>
      <c r="C330">
        <v>0.77041289200961049</v>
      </c>
      <c r="D330">
        <v>496077.375</v>
      </c>
      <c r="E330">
        <v>32</v>
      </c>
      <c r="F330">
        <v>465</v>
      </c>
      <c r="G330">
        <v>8.3760642017990703E-5</v>
      </c>
      <c r="H330">
        <v>22</v>
      </c>
      <c r="I330">
        <v>1</v>
      </c>
      <c r="J330">
        <v>0.48106854920460879</v>
      </c>
      <c r="K330">
        <v>-0.28500009558605077</v>
      </c>
      <c r="L330">
        <v>983900796.22209716</v>
      </c>
      <c r="M330" t="s">
        <v>20</v>
      </c>
      <c r="N330" t="s">
        <v>21</v>
      </c>
      <c r="O330" t="s">
        <v>28</v>
      </c>
      <c r="P330">
        <v>6882</v>
      </c>
      <c r="Q330">
        <v>2536</v>
      </c>
      <c r="R330">
        <v>4346</v>
      </c>
    </row>
    <row r="331" spans="1:18" x14ac:dyDescent="0.3">
      <c r="A331" t="s">
        <v>1351</v>
      </c>
      <c r="B331">
        <v>2022</v>
      </c>
      <c r="C331">
        <v>10.8171784735146</v>
      </c>
      <c r="D331">
        <v>2152399.911458333</v>
      </c>
      <c r="E331">
        <v>1612</v>
      </c>
      <c r="F331">
        <v>628</v>
      </c>
      <c r="G331">
        <v>2.8511732611859999E-4</v>
      </c>
      <c r="H331">
        <v>22</v>
      </c>
      <c r="I331">
        <v>1</v>
      </c>
      <c r="J331">
        <v>0.49613621209853959</v>
      </c>
      <c r="K331">
        <v>-0.34108735736562162</v>
      </c>
      <c r="L331">
        <v>25331206.106013741</v>
      </c>
      <c r="M331" t="s">
        <v>20</v>
      </c>
      <c r="N331" t="s">
        <v>21</v>
      </c>
      <c r="O331" t="s">
        <v>31</v>
      </c>
      <c r="P331">
        <v>8497</v>
      </c>
      <c r="Q331">
        <v>5549</v>
      </c>
      <c r="R331">
        <v>2948</v>
      </c>
    </row>
    <row r="332" spans="1:18" x14ac:dyDescent="0.3">
      <c r="A332" t="s">
        <v>1352</v>
      </c>
      <c r="B332">
        <v>2022</v>
      </c>
      <c r="C332">
        <v>1.51746163297514</v>
      </c>
      <c r="D332">
        <v>2234143.453125</v>
      </c>
      <c r="E332">
        <v>134</v>
      </c>
      <c r="F332">
        <v>131</v>
      </c>
      <c r="G332">
        <v>2.4649204182835998E-3</v>
      </c>
      <c r="H332">
        <v>6</v>
      </c>
      <c r="I332">
        <v>3</v>
      </c>
      <c r="L332">
        <v>150404831.13606629</v>
      </c>
      <c r="M332" t="s">
        <v>586</v>
      </c>
      <c r="N332" t="s">
        <v>595</v>
      </c>
      <c r="O332" t="s">
        <v>595</v>
      </c>
      <c r="P332">
        <v>14960</v>
      </c>
      <c r="Q332">
        <v>5368</v>
      </c>
      <c r="R332">
        <v>9592</v>
      </c>
    </row>
    <row r="333" spans="1:18" x14ac:dyDescent="0.3">
      <c r="A333" t="s">
        <v>1353</v>
      </c>
      <c r="B333">
        <v>2022</v>
      </c>
      <c r="C333">
        <v>0.94507366674189164</v>
      </c>
      <c r="D333">
        <v>4442588.5762867648</v>
      </c>
      <c r="E333">
        <v>169</v>
      </c>
      <c r="F333">
        <v>452</v>
      </c>
      <c r="G333">
        <v>1.9988265612229999E-4</v>
      </c>
      <c r="H333">
        <v>3</v>
      </c>
      <c r="I333">
        <v>2</v>
      </c>
      <c r="J333">
        <v>0.44943747352670221</v>
      </c>
      <c r="K333">
        <v>-0.36340192307493768</v>
      </c>
      <c r="L333">
        <v>369578754.24179113</v>
      </c>
      <c r="M333" t="s">
        <v>499</v>
      </c>
      <c r="N333" t="s">
        <v>539</v>
      </c>
      <c r="O333" t="s">
        <v>539</v>
      </c>
      <c r="P333">
        <v>15167</v>
      </c>
      <c r="Q333">
        <v>9237</v>
      </c>
      <c r="R333">
        <v>5930</v>
      </c>
    </row>
    <row r="334" spans="1:18" x14ac:dyDescent="0.3">
      <c r="A334" t="s">
        <v>1354</v>
      </c>
      <c r="B334">
        <v>2022</v>
      </c>
      <c r="C334">
        <v>0.70213250571384811</v>
      </c>
      <c r="D334">
        <v>744924.421875</v>
      </c>
      <c r="E334">
        <v>43</v>
      </c>
      <c r="F334">
        <v>320</v>
      </c>
      <c r="G334">
        <v>1.180929100852E-4</v>
      </c>
      <c r="H334">
        <v>24</v>
      </c>
      <c r="I334">
        <v>35</v>
      </c>
      <c r="L334">
        <v>775930877.00557804</v>
      </c>
      <c r="M334" t="s">
        <v>191</v>
      </c>
      <c r="N334" t="s">
        <v>227</v>
      </c>
      <c r="O334" t="s">
        <v>227</v>
      </c>
      <c r="P334">
        <v>7540</v>
      </c>
      <c r="Q334">
        <v>2305</v>
      </c>
      <c r="R334">
        <v>5235</v>
      </c>
    </row>
    <row r="335" spans="1:18" x14ac:dyDescent="0.3">
      <c r="A335" t="s">
        <v>1355</v>
      </c>
      <c r="B335">
        <v>2022</v>
      </c>
      <c r="C335">
        <v>1.114998263110573</v>
      </c>
      <c r="D335">
        <v>743906.9375</v>
      </c>
      <c r="E335">
        <v>210</v>
      </c>
      <c r="F335">
        <v>142</v>
      </c>
      <c r="G335">
        <v>5.6298381421529997E-4</v>
      </c>
      <c r="H335">
        <v>3</v>
      </c>
      <c r="I335">
        <v>0</v>
      </c>
      <c r="J335">
        <v>0.54224660703275063</v>
      </c>
      <c r="K335">
        <v>-0.23036015297882981</v>
      </c>
      <c r="L335">
        <v>128951230.37179869</v>
      </c>
      <c r="M335" t="s">
        <v>674</v>
      </c>
      <c r="N335" t="s">
        <v>714</v>
      </c>
      <c r="O335" t="s">
        <v>714</v>
      </c>
      <c r="P335">
        <v>2535</v>
      </c>
      <c r="Q335">
        <v>1463</v>
      </c>
      <c r="R335">
        <v>1072</v>
      </c>
    </row>
    <row r="336" spans="1:18" x14ac:dyDescent="0.3">
      <c r="A336" t="s">
        <v>1356</v>
      </c>
      <c r="B336">
        <v>2022</v>
      </c>
      <c r="C336">
        <v>2.5614508212117681</v>
      </c>
      <c r="D336">
        <v>2182033.1556372549</v>
      </c>
      <c r="E336">
        <v>952</v>
      </c>
      <c r="F336">
        <v>175</v>
      </c>
      <c r="G336">
        <v>1.1010015070653E-3</v>
      </c>
      <c r="H336">
        <v>5</v>
      </c>
      <c r="I336">
        <v>4</v>
      </c>
      <c r="J336">
        <v>0.13371941151960259</v>
      </c>
      <c r="K336">
        <v>-0.23766364660148831</v>
      </c>
      <c r="L336">
        <v>37826360.466780372</v>
      </c>
      <c r="M336" t="s">
        <v>612</v>
      </c>
      <c r="N336" t="s">
        <v>643</v>
      </c>
      <c r="O336" t="s">
        <v>644</v>
      </c>
      <c r="P336">
        <v>3830</v>
      </c>
      <c r="Q336">
        <v>579</v>
      </c>
      <c r="R336">
        <v>3251</v>
      </c>
    </row>
    <row r="337" spans="1:18" x14ac:dyDescent="0.3">
      <c r="A337" t="s">
        <v>1357</v>
      </c>
      <c r="B337">
        <v>2022</v>
      </c>
      <c r="C337">
        <v>7.5093485201931287</v>
      </c>
      <c r="D337">
        <v>496260.453125</v>
      </c>
      <c r="E337">
        <v>109</v>
      </c>
      <c r="F337">
        <v>504</v>
      </c>
      <c r="G337">
        <v>8.3340106912160004E-4</v>
      </c>
      <c r="H337">
        <v>7</v>
      </c>
      <c r="I337">
        <v>10</v>
      </c>
      <c r="J337">
        <v>0.52403723442751593</v>
      </c>
      <c r="K337">
        <v>-0.24777987031886489</v>
      </c>
      <c r="L337">
        <v>49300232.450722598</v>
      </c>
      <c r="M337" t="s">
        <v>674</v>
      </c>
      <c r="N337" t="s">
        <v>675</v>
      </c>
      <c r="O337" t="s">
        <v>676</v>
      </c>
      <c r="P337">
        <v>22193</v>
      </c>
      <c r="Q337">
        <v>17362</v>
      </c>
      <c r="R337">
        <v>4831</v>
      </c>
    </row>
    <row r="338" spans="1:18" x14ac:dyDescent="0.3">
      <c r="A338" t="s">
        <v>1358</v>
      </c>
      <c r="B338">
        <v>2022</v>
      </c>
      <c r="C338">
        <v>26.7511045047053</v>
      </c>
      <c r="D338">
        <v>61173051.714522026</v>
      </c>
      <c r="E338">
        <v>5754</v>
      </c>
      <c r="F338">
        <v>4126</v>
      </c>
      <c r="G338">
        <v>1.6790212465359999E-4</v>
      </c>
      <c r="H338">
        <v>42</v>
      </c>
      <c r="I338">
        <v>68</v>
      </c>
      <c r="J338">
        <v>0.23866365758624539</v>
      </c>
      <c r="K338">
        <v>-0.2587110147931882</v>
      </c>
      <c r="L338">
        <v>61940420.657532647</v>
      </c>
      <c r="M338" t="s">
        <v>232</v>
      </c>
      <c r="N338" t="s">
        <v>233</v>
      </c>
      <c r="O338" t="s">
        <v>233</v>
      </c>
      <c r="P338">
        <v>188664</v>
      </c>
      <c r="Q338">
        <v>165953</v>
      </c>
      <c r="R338">
        <v>22711</v>
      </c>
    </row>
    <row r="339" spans="1:18" x14ac:dyDescent="0.3">
      <c r="A339" t="s">
        <v>1359</v>
      </c>
      <c r="B339">
        <v>2022</v>
      </c>
      <c r="C339">
        <v>10.64862767927748</v>
      </c>
      <c r="D339">
        <v>32341220.518075991</v>
      </c>
      <c r="E339">
        <v>1362</v>
      </c>
      <c r="F339">
        <v>3579</v>
      </c>
      <c r="G339">
        <v>1.102216911668E-4</v>
      </c>
      <c r="H339">
        <v>45</v>
      </c>
      <c r="I339">
        <v>74</v>
      </c>
      <c r="J339">
        <v>0.32528921857282828</v>
      </c>
      <c r="K339">
        <v>-0.28225653709590459</v>
      </c>
      <c r="L339">
        <v>243330442.4585571</v>
      </c>
      <c r="M339" t="s">
        <v>460</v>
      </c>
      <c r="N339" t="s">
        <v>461</v>
      </c>
      <c r="O339" t="s">
        <v>462</v>
      </c>
      <c r="P339">
        <v>167180</v>
      </c>
      <c r="Q339">
        <v>143530</v>
      </c>
      <c r="R339">
        <v>23650</v>
      </c>
    </row>
    <row r="340" spans="1:18" x14ac:dyDescent="0.3">
      <c r="A340" t="s">
        <v>1360</v>
      </c>
      <c r="B340">
        <v>2022</v>
      </c>
      <c r="C340">
        <v>4.4754281741223263</v>
      </c>
      <c r="D340">
        <v>1560658.036335784</v>
      </c>
      <c r="E340">
        <v>619</v>
      </c>
      <c r="F340">
        <v>195</v>
      </c>
      <c r="G340">
        <v>5.4177607866270005E-4</v>
      </c>
      <c r="H340">
        <v>11</v>
      </c>
      <c r="I340">
        <v>3</v>
      </c>
      <c r="J340">
        <v>0.43910673122203631</v>
      </c>
      <c r="K340">
        <v>-0.30487233129981889</v>
      </c>
      <c r="L340">
        <v>36327238.314407893</v>
      </c>
      <c r="M340" t="s">
        <v>830</v>
      </c>
      <c r="N340" t="s">
        <v>831</v>
      </c>
      <c r="O340" t="s">
        <v>837</v>
      </c>
      <c r="P340">
        <v>7520</v>
      </c>
      <c r="Q340">
        <v>2718</v>
      </c>
      <c r="R340">
        <v>4802</v>
      </c>
    </row>
    <row r="341" spans="1:18" x14ac:dyDescent="0.3">
      <c r="A341" t="s">
        <v>1361</v>
      </c>
      <c r="B341">
        <v>2022</v>
      </c>
      <c r="C341">
        <v>3.85062534719453</v>
      </c>
      <c r="D341">
        <v>1944.165196078432</v>
      </c>
      <c r="E341">
        <v>1</v>
      </c>
      <c r="F341">
        <v>188</v>
      </c>
      <c r="G341">
        <v>7.231536583458E-4</v>
      </c>
      <c r="H341">
        <v>12</v>
      </c>
      <c r="I341">
        <v>2</v>
      </c>
      <c r="J341">
        <v>0.55215417612784579</v>
      </c>
      <c r="K341">
        <v>-0.33242443365909241</v>
      </c>
      <c r="L341">
        <v>52207767.948683813</v>
      </c>
      <c r="M341" t="s">
        <v>287</v>
      </c>
      <c r="N341" t="s">
        <v>330</v>
      </c>
      <c r="O341" t="s">
        <v>331</v>
      </c>
      <c r="P341">
        <v>5047</v>
      </c>
      <c r="Q341">
        <v>3414</v>
      </c>
      <c r="R341">
        <v>1633</v>
      </c>
    </row>
    <row r="342" spans="1:18" x14ac:dyDescent="0.3">
      <c r="A342" t="s">
        <v>1362</v>
      </c>
      <c r="B342">
        <v>2022</v>
      </c>
      <c r="C342">
        <v>2.0640041873349619</v>
      </c>
      <c r="D342">
        <v>8565660.0443627462</v>
      </c>
      <c r="E342">
        <v>191</v>
      </c>
      <c r="F342">
        <v>1062</v>
      </c>
      <c r="G342">
        <v>8.5512866676205754E-5</v>
      </c>
      <c r="H342">
        <v>19</v>
      </c>
      <c r="I342">
        <v>35</v>
      </c>
      <c r="J342">
        <v>0.408633760743918</v>
      </c>
      <c r="K342">
        <v>-0.27098525002774149</v>
      </c>
      <c r="L342">
        <v>508072175.42837429</v>
      </c>
      <c r="M342" t="s">
        <v>97</v>
      </c>
      <c r="N342" t="s">
        <v>98</v>
      </c>
      <c r="O342" t="s">
        <v>98</v>
      </c>
      <c r="P342">
        <v>62268</v>
      </c>
      <c r="Q342">
        <v>29538</v>
      </c>
      <c r="R342">
        <v>32730</v>
      </c>
    </row>
    <row r="343" spans="1:18" x14ac:dyDescent="0.3">
      <c r="A343" t="s">
        <v>1363</v>
      </c>
      <c r="B343">
        <v>2022</v>
      </c>
      <c r="C343">
        <v>2.057593178477251</v>
      </c>
      <c r="D343">
        <v>73412045.510968134</v>
      </c>
      <c r="E343">
        <v>2410</v>
      </c>
      <c r="F343">
        <v>1115</v>
      </c>
      <c r="G343">
        <v>1.055997131714E-4</v>
      </c>
      <c r="H343">
        <v>26</v>
      </c>
      <c r="I343">
        <v>27</v>
      </c>
      <c r="J343">
        <v>0.39049864153355912</v>
      </c>
      <c r="K343">
        <v>-0.35077581181832701</v>
      </c>
      <c r="L343">
        <v>294979973.72974533</v>
      </c>
      <c r="M343" t="s">
        <v>191</v>
      </c>
      <c r="N343" t="s">
        <v>211</v>
      </c>
      <c r="O343" t="s">
        <v>211</v>
      </c>
      <c r="P343">
        <v>42545</v>
      </c>
      <c r="Q343">
        <v>20568</v>
      </c>
      <c r="R343">
        <v>21977</v>
      </c>
    </row>
    <row r="344" spans="1:18" x14ac:dyDescent="0.3">
      <c r="A344" t="s">
        <v>1364</v>
      </c>
      <c r="B344">
        <v>2022</v>
      </c>
      <c r="C344">
        <v>1.193110509562834</v>
      </c>
      <c r="D344">
        <v>147991.75888480389</v>
      </c>
      <c r="E344">
        <v>55</v>
      </c>
      <c r="F344">
        <v>80</v>
      </c>
      <c r="G344">
        <v>9.3196040918110004E-4</v>
      </c>
      <c r="H344">
        <v>16</v>
      </c>
      <c r="I344">
        <v>1</v>
      </c>
      <c r="J344">
        <v>0.44426631531496108</v>
      </c>
      <c r="K344">
        <v>-0.35844824135066361</v>
      </c>
      <c r="L344">
        <v>126340622.855841</v>
      </c>
      <c r="M344" t="s">
        <v>830</v>
      </c>
      <c r="N344" t="s">
        <v>864</v>
      </c>
      <c r="O344" t="s">
        <v>868</v>
      </c>
      <c r="P344">
        <v>2266</v>
      </c>
      <c r="Q344">
        <v>1115</v>
      </c>
      <c r="R344">
        <v>1151</v>
      </c>
    </row>
    <row r="345" spans="1:18" x14ac:dyDescent="0.3">
      <c r="A345" t="s">
        <v>1365</v>
      </c>
      <c r="B345">
        <v>2022</v>
      </c>
      <c r="C345">
        <v>8.1256181078399443</v>
      </c>
      <c r="D345">
        <v>152860.6020833333</v>
      </c>
      <c r="E345">
        <v>284</v>
      </c>
      <c r="F345">
        <v>116</v>
      </c>
      <c r="G345">
        <v>1.3976037202232999E-3</v>
      </c>
      <c r="H345">
        <v>20</v>
      </c>
      <c r="I345">
        <v>0</v>
      </c>
      <c r="J345">
        <v>0.49418212416724322</v>
      </c>
      <c r="K345">
        <v>-0.33192335090032732</v>
      </c>
      <c r="L345">
        <v>12578332.529853599</v>
      </c>
      <c r="M345" t="s">
        <v>830</v>
      </c>
      <c r="N345" t="s">
        <v>864</v>
      </c>
      <c r="O345" t="s">
        <v>869</v>
      </c>
      <c r="P345">
        <v>3264</v>
      </c>
      <c r="Q345">
        <v>1967</v>
      </c>
      <c r="R345">
        <v>1297</v>
      </c>
    </row>
    <row r="346" spans="1:18" x14ac:dyDescent="0.3">
      <c r="A346" t="s">
        <v>1366</v>
      </c>
      <c r="B346">
        <v>2022</v>
      </c>
      <c r="C346">
        <v>1.4616461688726139</v>
      </c>
      <c r="D346">
        <v>496641.5625</v>
      </c>
      <c r="E346">
        <v>47</v>
      </c>
      <c r="F346">
        <v>556</v>
      </c>
      <c r="G346">
        <v>2.9083638094559998E-4</v>
      </c>
      <c r="H346">
        <v>19</v>
      </c>
      <c r="I346">
        <v>23</v>
      </c>
      <c r="J346">
        <v>0.48535812946645968</v>
      </c>
      <c r="K346">
        <v>-0.2377160184661353</v>
      </c>
      <c r="L346">
        <v>244341791.58672729</v>
      </c>
      <c r="M346" t="s">
        <v>990</v>
      </c>
      <c r="N346" t="s">
        <v>991</v>
      </c>
      <c r="O346" t="s">
        <v>994</v>
      </c>
      <c r="P346">
        <v>11628</v>
      </c>
      <c r="Q346">
        <v>1649</v>
      </c>
      <c r="R346">
        <v>9979</v>
      </c>
    </row>
    <row r="347" spans="1:18" x14ac:dyDescent="0.3">
      <c r="A347" t="s">
        <v>1367</v>
      </c>
      <c r="B347">
        <v>2022</v>
      </c>
      <c r="C347">
        <v>7.137780994102199</v>
      </c>
      <c r="D347">
        <v>28242327.796875</v>
      </c>
      <c r="E347">
        <v>718</v>
      </c>
      <c r="F347">
        <v>5060</v>
      </c>
      <c r="G347">
        <v>6.1943818797238398E-5</v>
      </c>
      <c r="H347">
        <v>8</v>
      </c>
      <c r="I347">
        <v>53</v>
      </c>
      <c r="J347">
        <v>0.48950723683874459</v>
      </c>
      <c r="K347">
        <v>-0.28561813110095702</v>
      </c>
      <c r="L347">
        <v>284771384.55177629</v>
      </c>
      <c r="M347" t="s">
        <v>499</v>
      </c>
      <c r="N347" t="s">
        <v>499</v>
      </c>
      <c r="O347" t="s">
        <v>499</v>
      </c>
      <c r="P347">
        <v>213130</v>
      </c>
      <c r="Q347">
        <v>173785</v>
      </c>
      <c r="R347">
        <v>39345</v>
      </c>
    </row>
    <row r="348" spans="1:18" x14ac:dyDescent="0.3">
      <c r="A348" t="s">
        <v>1368</v>
      </c>
      <c r="B348">
        <v>2022</v>
      </c>
      <c r="C348">
        <v>2.1727678819841301</v>
      </c>
      <c r="D348">
        <v>7447765.609375</v>
      </c>
      <c r="E348">
        <v>226</v>
      </c>
      <c r="F348">
        <v>1090</v>
      </c>
      <c r="G348">
        <v>1.5643766427280001E-4</v>
      </c>
      <c r="H348">
        <v>22</v>
      </c>
      <c r="I348">
        <v>39</v>
      </c>
      <c r="J348">
        <v>0.29362296883301942</v>
      </c>
      <c r="K348">
        <v>-0.27690265525959618</v>
      </c>
      <c r="L348">
        <v>384915169.30222178</v>
      </c>
      <c r="M348" t="s">
        <v>612</v>
      </c>
      <c r="N348" t="s">
        <v>635</v>
      </c>
      <c r="O348" t="s">
        <v>635</v>
      </c>
      <c r="P348">
        <v>54438</v>
      </c>
      <c r="Q348">
        <v>19431</v>
      </c>
      <c r="R348">
        <v>35007</v>
      </c>
    </row>
    <row r="349" spans="1:18" x14ac:dyDescent="0.3">
      <c r="A349" t="s">
        <v>1369</v>
      </c>
      <c r="B349">
        <v>2022</v>
      </c>
      <c r="C349">
        <v>5.3463921036745878</v>
      </c>
      <c r="D349">
        <v>3228755.4239583332</v>
      </c>
      <c r="E349">
        <v>1814</v>
      </c>
      <c r="F349">
        <v>551</v>
      </c>
      <c r="G349">
        <v>3.3056772889759997E-4</v>
      </c>
      <c r="H349">
        <v>18</v>
      </c>
      <c r="I349">
        <v>5</v>
      </c>
      <c r="J349">
        <v>0.47010704760652039</v>
      </c>
      <c r="K349">
        <v>-0.32052494218337269</v>
      </c>
      <c r="L349">
        <v>37927340.137363829</v>
      </c>
      <c r="M349" t="s">
        <v>191</v>
      </c>
      <c r="N349" t="s">
        <v>192</v>
      </c>
      <c r="O349" t="s">
        <v>194</v>
      </c>
      <c r="P349">
        <v>7269</v>
      </c>
      <c r="Q349">
        <v>4123</v>
      </c>
      <c r="R349">
        <v>3146</v>
      </c>
    </row>
    <row r="350" spans="1:18" x14ac:dyDescent="0.3">
      <c r="A350" t="s">
        <v>1370</v>
      </c>
      <c r="B350">
        <v>2022</v>
      </c>
      <c r="C350">
        <v>3.7388634666211189</v>
      </c>
      <c r="D350">
        <v>8707977.406740196</v>
      </c>
      <c r="E350">
        <v>517</v>
      </c>
      <c r="F350">
        <v>903</v>
      </c>
      <c r="G350">
        <v>3.0401199188159999E-4</v>
      </c>
      <c r="H350">
        <v>5</v>
      </c>
      <c r="I350">
        <v>25</v>
      </c>
      <c r="J350">
        <v>0.40325576720175521</v>
      </c>
      <c r="K350">
        <v>-0.2491114425901029</v>
      </c>
      <c r="L350">
        <v>254845272.22283539</v>
      </c>
      <c r="M350" t="s">
        <v>652</v>
      </c>
      <c r="N350" t="s">
        <v>803</v>
      </c>
      <c r="O350" t="s">
        <v>803</v>
      </c>
      <c r="P350">
        <v>49187</v>
      </c>
      <c r="Q350">
        <v>38664</v>
      </c>
      <c r="R350">
        <v>10523</v>
      </c>
    </row>
    <row r="351" spans="1:18" x14ac:dyDescent="0.3">
      <c r="A351" t="s">
        <v>1371</v>
      </c>
      <c r="B351">
        <v>2022</v>
      </c>
      <c r="C351">
        <v>1.5181792447094391</v>
      </c>
      <c r="D351">
        <v>496453.859375</v>
      </c>
      <c r="E351">
        <v>35</v>
      </c>
      <c r="F351">
        <v>225</v>
      </c>
      <c r="G351">
        <v>6.5529530322029996E-4</v>
      </c>
      <c r="H351">
        <v>36</v>
      </c>
      <c r="I351">
        <v>4</v>
      </c>
      <c r="J351">
        <v>0.37664702519265031</v>
      </c>
      <c r="K351">
        <v>-0.26456524706862561</v>
      </c>
      <c r="L351">
        <v>138363257.0630697</v>
      </c>
      <c r="M351" t="s">
        <v>586</v>
      </c>
      <c r="N351" t="s">
        <v>603</v>
      </c>
      <c r="O351" t="s">
        <v>604</v>
      </c>
      <c r="P351">
        <v>17378</v>
      </c>
      <c r="Q351">
        <v>3328</v>
      </c>
      <c r="R351">
        <v>14050</v>
      </c>
    </row>
    <row r="352" spans="1:18" x14ac:dyDescent="0.3">
      <c r="A352" t="s">
        <v>1372</v>
      </c>
      <c r="B352">
        <v>2022</v>
      </c>
      <c r="C352">
        <v>0.83285142787500288</v>
      </c>
      <c r="D352">
        <v>150928.25723039219</v>
      </c>
      <c r="E352">
        <v>53</v>
      </c>
      <c r="F352">
        <v>196</v>
      </c>
      <c r="G352">
        <v>1.9409209778890001E-4</v>
      </c>
      <c r="H352">
        <v>2</v>
      </c>
      <c r="I352">
        <v>12</v>
      </c>
      <c r="L352">
        <v>84817419.47465466</v>
      </c>
      <c r="M352" t="s">
        <v>191</v>
      </c>
      <c r="N352" t="s">
        <v>227</v>
      </c>
      <c r="O352" t="s">
        <v>229</v>
      </c>
      <c r="P352">
        <v>1941</v>
      </c>
      <c r="Q352">
        <v>114</v>
      </c>
      <c r="R352">
        <v>1827</v>
      </c>
    </row>
    <row r="353" spans="1:18" x14ac:dyDescent="0.3">
      <c r="A353" t="s">
        <v>1373</v>
      </c>
      <c r="B353">
        <v>2022</v>
      </c>
      <c r="C353">
        <v>0.87060322900523635</v>
      </c>
      <c r="D353">
        <v>1944.1741421568629</v>
      </c>
      <c r="E353">
        <v>1</v>
      </c>
      <c r="F353">
        <v>151</v>
      </c>
      <c r="G353">
        <v>2.9158621419309998E-4</v>
      </c>
      <c r="H353">
        <v>8</v>
      </c>
      <c r="I353">
        <v>0</v>
      </c>
      <c r="J353">
        <v>0.40019579541198208</v>
      </c>
      <c r="K353">
        <v>-0.31868342218099938</v>
      </c>
      <c r="L353">
        <v>154489740.52742019</v>
      </c>
      <c r="M353" t="s">
        <v>20</v>
      </c>
      <c r="N353" t="s">
        <v>55</v>
      </c>
      <c r="O353" t="s">
        <v>57</v>
      </c>
      <c r="P353">
        <v>1388</v>
      </c>
      <c r="Q353">
        <v>397</v>
      </c>
      <c r="R353">
        <v>991</v>
      </c>
    </row>
    <row r="354" spans="1:18" x14ac:dyDescent="0.3">
      <c r="A354" t="s">
        <v>1374</v>
      </c>
      <c r="B354">
        <v>2022</v>
      </c>
      <c r="C354">
        <v>0.79098112599467751</v>
      </c>
      <c r="D354">
        <v>1986366.109375</v>
      </c>
      <c r="E354">
        <v>88</v>
      </c>
      <c r="F354">
        <v>499</v>
      </c>
      <c r="G354">
        <v>5.0206537657290003E-4</v>
      </c>
      <c r="H354">
        <v>13</v>
      </c>
      <c r="I354">
        <v>1</v>
      </c>
      <c r="J354">
        <v>0.52079598583627262</v>
      </c>
      <c r="K354">
        <v>-0.29104404979641829</v>
      </c>
      <c r="L354">
        <v>979326879.88451958</v>
      </c>
      <c r="M354" t="s">
        <v>730</v>
      </c>
      <c r="N354" t="s">
        <v>739</v>
      </c>
      <c r="O354" t="s">
        <v>739</v>
      </c>
      <c r="P354">
        <v>14873</v>
      </c>
      <c r="Q354">
        <v>5634</v>
      </c>
      <c r="R354">
        <v>9239</v>
      </c>
    </row>
    <row r="355" spans="1:18" x14ac:dyDescent="0.3">
      <c r="A355" t="s">
        <v>1375</v>
      </c>
      <c r="B355">
        <v>2022</v>
      </c>
      <c r="C355">
        <v>0.90336429884032021</v>
      </c>
      <c r="D355">
        <v>496651.59375</v>
      </c>
      <c r="E355">
        <v>60</v>
      </c>
      <c r="F355">
        <v>291</v>
      </c>
      <c r="G355">
        <v>4.2605887095600002E-4</v>
      </c>
      <c r="H355">
        <v>3</v>
      </c>
      <c r="I355">
        <v>0</v>
      </c>
      <c r="J355">
        <v>0.62796948186424695</v>
      </c>
      <c r="K355">
        <v>-0.25286807874121181</v>
      </c>
      <c r="L355">
        <v>1108590008.749454</v>
      </c>
      <c r="M355" t="s">
        <v>922</v>
      </c>
      <c r="N355" t="s">
        <v>956</v>
      </c>
      <c r="O355" t="s">
        <v>957</v>
      </c>
      <c r="P355">
        <v>6739</v>
      </c>
      <c r="Q355">
        <v>1513</v>
      </c>
      <c r="R355">
        <v>5226</v>
      </c>
    </row>
    <row r="356" spans="1:18" x14ac:dyDescent="0.3">
      <c r="A356" t="s">
        <v>1376</v>
      </c>
      <c r="B356">
        <v>2022</v>
      </c>
      <c r="C356">
        <v>49.79970432839248</v>
      </c>
      <c r="D356">
        <v>46779558.402696073</v>
      </c>
      <c r="E356">
        <v>11678</v>
      </c>
      <c r="F356">
        <v>5177</v>
      </c>
      <c r="G356">
        <v>1.164322260246E-4</v>
      </c>
      <c r="H356">
        <v>43</v>
      </c>
      <c r="I356">
        <v>62</v>
      </c>
      <c r="J356">
        <v>0.25912946520281849</v>
      </c>
      <c r="K356">
        <v>-0.25154245907998141</v>
      </c>
      <c r="L356">
        <v>47034175.994357944</v>
      </c>
      <c r="M356" t="s">
        <v>830</v>
      </c>
      <c r="N356" t="s">
        <v>831</v>
      </c>
      <c r="O356" t="s">
        <v>831</v>
      </c>
      <c r="P356">
        <v>187137</v>
      </c>
      <c r="Q356">
        <v>164186</v>
      </c>
      <c r="R356">
        <v>22951</v>
      </c>
    </row>
    <row r="357" spans="1:18" x14ac:dyDescent="0.3">
      <c r="A357" t="s">
        <v>1377</v>
      </c>
      <c r="B357">
        <v>2022</v>
      </c>
      <c r="C357">
        <v>5.5079910488289752</v>
      </c>
      <c r="D357">
        <v>1986337.265625</v>
      </c>
      <c r="E357">
        <v>1634</v>
      </c>
      <c r="F357">
        <v>424</v>
      </c>
      <c r="G357">
        <v>5.1283919926900002E-4</v>
      </c>
      <c r="H357">
        <v>15</v>
      </c>
      <c r="I357">
        <v>8</v>
      </c>
      <c r="J357">
        <v>0.30404299018100489</v>
      </c>
      <c r="K357">
        <v>-0.1155356245365375</v>
      </c>
      <c r="L357">
        <v>73037283.394602761</v>
      </c>
      <c r="M357" t="s">
        <v>348</v>
      </c>
      <c r="N357" t="s">
        <v>348</v>
      </c>
      <c r="O357" t="s">
        <v>355</v>
      </c>
      <c r="P357">
        <v>6395</v>
      </c>
      <c r="Q357">
        <v>2948</v>
      </c>
      <c r="R357">
        <v>3447</v>
      </c>
    </row>
    <row r="358" spans="1:18" x14ac:dyDescent="0.3">
      <c r="A358" t="s">
        <v>1378</v>
      </c>
      <c r="B358">
        <v>2022</v>
      </c>
      <c r="C358">
        <v>1.018952407026809</v>
      </c>
      <c r="D358">
        <v>991195.25</v>
      </c>
      <c r="E358">
        <v>300</v>
      </c>
      <c r="F358">
        <v>135</v>
      </c>
      <c r="G358">
        <v>6.6848004907139999E-4</v>
      </c>
      <c r="H358">
        <v>1</v>
      </c>
      <c r="I358">
        <v>2</v>
      </c>
      <c r="J358">
        <v>0.33146211277659859</v>
      </c>
      <c r="K358">
        <v>-0.24056502352772879</v>
      </c>
      <c r="L358">
        <v>108149666.15886401</v>
      </c>
      <c r="M358" t="s">
        <v>287</v>
      </c>
      <c r="N358" t="s">
        <v>346</v>
      </c>
      <c r="O358" t="s">
        <v>214</v>
      </c>
      <c r="P358">
        <v>3275</v>
      </c>
      <c r="Q358">
        <v>2322</v>
      </c>
      <c r="R358">
        <v>953</v>
      </c>
    </row>
    <row r="359" spans="1:18" x14ac:dyDescent="0.3">
      <c r="A359" t="s">
        <v>1379</v>
      </c>
      <c r="B359">
        <v>2022</v>
      </c>
      <c r="C359">
        <v>1.9380196765538229</v>
      </c>
      <c r="D359">
        <v>2940849.994240196</v>
      </c>
      <c r="E359">
        <v>172</v>
      </c>
      <c r="F359">
        <v>976</v>
      </c>
      <c r="G359">
        <v>1.308782600222E-4</v>
      </c>
      <c r="H359">
        <v>30</v>
      </c>
      <c r="I359">
        <v>15</v>
      </c>
      <c r="L359">
        <v>392909735.18197</v>
      </c>
      <c r="M359" t="s">
        <v>652</v>
      </c>
      <c r="N359" t="s">
        <v>809</v>
      </c>
      <c r="O359" t="s">
        <v>810</v>
      </c>
      <c r="P359">
        <v>32808</v>
      </c>
      <c r="Q359">
        <v>26241</v>
      </c>
      <c r="R359">
        <v>6567</v>
      </c>
    </row>
    <row r="360" spans="1:18" x14ac:dyDescent="0.3">
      <c r="A360" t="s">
        <v>1380</v>
      </c>
      <c r="B360">
        <v>2022</v>
      </c>
      <c r="C360">
        <v>3.238849884199285</v>
      </c>
      <c r="D360">
        <v>5418343.115196079</v>
      </c>
      <c r="E360">
        <v>762</v>
      </c>
      <c r="F360">
        <v>787</v>
      </c>
      <c r="G360">
        <v>1.691958529513E-4</v>
      </c>
      <c r="H360">
        <v>13</v>
      </c>
      <c r="I360">
        <v>12</v>
      </c>
      <c r="J360">
        <v>0.47392129372534619</v>
      </c>
      <c r="K360">
        <v>-0.33926990091459958</v>
      </c>
      <c r="L360">
        <v>254315779.3372232</v>
      </c>
      <c r="M360" t="s">
        <v>652</v>
      </c>
      <c r="N360" t="s">
        <v>772</v>
      </c>
      <c r="O360" t="s">
        <v>793</v>
      </c>
      <c r="P360">
        <v>23142</v>
      </c>
      <c r="Q360">
        <v>17585</v>
      </c>
      <c r="R360">
        <v>5557</v>
      </c>
    </row>
    <row r="361" spans="1:18" x14ac:dyDescent="0.3">
      <c r="A361" t="s">
        <v>1381</v>
      </c>
      <c r="B361">
        <v>2022</v>
      </c>
      <c r="C361">
        <v>2.1640428207633762</v>
      </c>
      <c r="D361">
        <v>3214508.7770220591</v>
      </c>
      <c r="E361">
        <v>662</v>
      </c>
      <c r="F361">
        <v>414</v>
      </c>
      <c r="G361">
        <v>2.0524862132899999E-4</v>
      </c>
      <c r="H361">
        <v>21</v>
      </c>
      <c r="I361">
        <v>4</v>
      </c>
      <c r="J361">
        <v>0.43436907721301338</v>
      </c>
      <c r="K361">
        <v>-0.35633761961319238</v>
      </c>
      <c r="L361">
        <v>204188873.02618241</v>
      </c>
      <c r="M361" t="s">
        <v>20</v>
      </c>
      <c r="N361" t="s">
        <v>21</v>
      </c>
      <c r="O361" t="s">
        <v>34</v>
      </c>
      <c r="P361">
        <v>10728</v>
      </c>
      <c r="Q361">
        <v>7651</v>
      </c>
      <c r="R361">
        <v>3077</v>
      </c>
    </row>
    <row r="362" spans="1:18" x14ac:dyDescent="0.3">
      <c r="A362" t="s">
        <v>1382</v>
      </c>
      <c r="B362">
        <v>2022</v>
      </c>
      <c r="C362">
        <v>3.5039059611286971</v>
      </c>
      <c r="D362">
        <v>25319.07720588236</v>
      </c>
      <c r="E362">
        <v>21</v>
      </c>
      <c r="F362">
        <v>212</v>
      </c>
      <c r="G362">
        <v>9.917851031401E-4</v>
      </c>
      <c r="H362">
        <v>9</v>
      </c>
      <c r="I362">
        <v>2</v>
      </c>
      <c r="L362">
        <v>35987760.846254677</v>
      </c>
      <c r="M362" t="s">
        <v>652</v>
      </c>
      <c r="N362" t="s">
        <v>822</v>
      </c>
      <c r="O362" t="s">
        <v>824</v>
      </c>
      <c r="P362">
        <v>4384</v>
      </c>
      <c r="Q362">
        <v>3494</v>
      </c>
      <c r="R362">
        <v>890</v>
      </c>
    </row>
    <row r="363" spans="1:18" x14ac:dyDescent="0.3">
      <c r="A363" t="s">
        <v>1383</v>
      </c>
      <c r="B363">
        <v>2022</v>
      </c>
      <c r="C363">
        <v>4.3358789573094354</v>
      </c>
      <c r="D363">
        <v>2336527.9207107839</v>
      </c>
      <c r="E363">
        <v>767</v>
      </c>
      <c r="F363">
        <v>460</v>
      </c>
      <c r="G363">
        <v>1.9856251211700001E-4</v>
      </c>
      <c r="H363">
        <v>5</v>
      </c>
      <c r="I363">
        <v>3</v>
      </c>
      <c r="J363">
        <v>0.3598534421617115</v>
      </c>
      <c r="K363">
        <v>-0.19262466247411131</v>
      </c>
      <c r="L363">
        <v>94450644.164688259</v>
      </c>
      <c r="M363" t="s">
        <v>830</v>
      </c>
      <c r="N363" t="s">
        <v>855</v>
      </c>
      <c r="O363" t="s">
        <v>855</v>
      </c>
      <c r="P363">
        <v>14399</v>
      </c>
      <c r="Q363">
        <v>6207</v>
      </c>
      <c r="R363">
        <v>8192</v>
      </c>
    </row>
    <row r="364" spans="1:18" x14ac:dyDescent="0.3">
      <c r="A364" t="s">
        <v>1384</v>
      </c>
      <c r="B364">
        <v>2022</v>
      </c>
      <c r="C364">
        <v>2.2791094880266121</v>
      </c>
      <c r="D364">
        <v>7931972.7018995089</v>
      </c>
      <c r="E364">
        <v>1893</v>
      </c>
      <c r="F364">
        <v>341</v>
      </c>
      <c r="G364">
        <v>2.0194453628790001E-4</v>
      </c>
      <c r="H364">
        <v>6</v>
      </c>
      <c r="I364">
        <v>5</v>
      </c>
      <c r="J364">
        <v>0.4957916798923665</v>
      </c>
      <c r="K364">
        <v>-0.3340559893029344</v>
      </c>
      <c r="L364">
        <v>122148437.3872254</v>
      </c>
      <c r="M364" t="s">
        <v>830</v>
      </c>
      <c r="N364" t="s">
        <v>831</v>
      </c>
      <c r="O364" t="s">
        <v>841</v>
      </c>
      <c r="P364">
        <v>10766</v>
      </c>
      <c r="Q364">
        <v>4723</v>
      </c>
      <c r="R364">
        <v>6043</v>
      </c>
    </row>
    <row r="365" spans="1:18" x14ac:dyDescent="0.3">
      <c r="A365" t="s">
        <v>1385</v>
      </c>
      <c r="B365">
        <v>2022</v>
      </c>
      <c r="C365">
        <v>1.6705284114522021</v>
      </c>
      <c r="D365">
        <v>1488378.59375</v>
      </c>
      <c r="E365">
        <v>55</v>
      </c>
      <c r="F365">
        <v>914</v>
      </c>
      <c r="G365">
        <v>3.399012813787E-4</v>
      </c>
      <c r="H365">
        <v>9</v>
      </c>
      <c r="I365">
        <v>2</v>
      </c>
      <c r="J365">
        <v>0.25751536500245309</v>
      </c>
      <c r="K365">
        <v>-0.12243458043794971</v>
      </c>
      <c r="L365">
        <v>601867837.41078603</v>
      </c>
      <c r="M365" t="s">
        <v>406</v>
      </c>
      <c r="N365" t="s">
        <v>429</v>
      </c>
      <c r="O365" t="s">
        <v>429</v>
      </c>
      <c r="P365">
        <v>51986</v>
      </c>
      <c r="Q365">
        <v>30277</v>
      </c>
      <c r="R365">
        <v>21709</v>
      </c>
    </row>
    <row r="366" spans="1:18" x14ac:dyDescent="0.3">
      <c r="A366" t="s">
        <v>1386</v>
      </c>
      <c r="B366">
        <v>2022</v>
      </c>
      <c r="C366">
        <v>6.813210583023027</v>
      </c>
      <c r="D366">
        <v>2116540.1432598042</v>
      </c>
      <c r="E366">
        <v>1321</v>
      </c>
      <c r="F366">
        <v>461</v>
      </c>
      <c r="G366">
        <v>3.6900804581239998E-4</v>
      </c>
      <c r="H366">
        <v>17</v>
      </c>
      <c r="I366">
        <v>5</v>
      </c>
      <c r="J366">
        <v>0.43343373232824473</v>
      </c>
      <c r="K366">
        <v>-0.28668866241819518</v>
      </c>
      <c r="L366">
        <v>48380459.52806621</v>
      </c>
      <c r="M366" t="s">
        <v>830</v>
      </c>
      <c r="N366" t="s">
        <v>872</v>
      </c>
      <c r="O366" t="s">
        <v>872</v>
      </c>
      <c r="P366">
        <v>12674</v>
      </c>
      <c r="Q366">
        <v>7551</v>
      </c>
      <c r="R366">
        <v>5123</v>
      </c>
    </row>
    <row r="367" spans="1:18" x14ac:dyDescent="0.3">
      <c r="A367" t="s">
        <v>1387</v>
      </c>
      <c r="B367">
        <v>2022</v>
      </c>
      <c r="C367">
        <v>1.1850249453966</v>
      </c>
      <c r="D367">
        <v>1734026.71875</v>
      </c>
      <c r="E367">
        <v>135</v>
      </c>
      <c r="F367">
        <v>603</v>
      </c>
      <c r="G367">
        <v>3.5364099988410001E-4</v>
      </c>
      <c r="H367">
        <v>4</v>
      </c>
      <c r="I367">
        <v>18</v>
      </c>
      <c r="J367">
        <v>0.56018639475579535</v>
      </c>
      <c r="K367">
        <v>-0.25366123999224349</v>
      </c>
      <c r="L367">
        <v>395551253.34086227</v>
      </c>
      <c r="M367" t="s">
        <v>874</v>
      </c>
      <c r="N367" t="s">
        <v>875</v>
      </c>
      <c r="O367" t="s">
        <v>875</v>
      </c>
      <c r="P367">
        <v>17741</v>
      </c>
      <c r="Q367">
        <v>14274</v>
      </c>
      <c r="R367">
        <v>3467</v>
      </c>
    </row>
    <row r="368" spans="1:18" x14ac:dyDescent="0.3">
      <c r="A368" t="s">
        <v>1388</v>
      </c>
      <c r="B368">
        <v>2022</v>
      </c>
      <c r="C368">
        <v>1.1682915738395609</v>
      </c>
      <c r="D368">
        <v>4860.4129901960787</v>
      </c>
      <c r="E368">
        <v>7</v>
      </c>
      <c r="F368">
        <v>98</v>
      </c>
      <c r="G368">
        <v>7.7095303701149999E-4</v>
      </c>
      <c r="H368">
        <v>3</v>
      </c>
      <c r="I368">
        <v>1</v>
      </c>
      <c r="J368">
        <v>0.37549933101416622</v>
      </c>
      <c r="K368">
        <v>-0.37414841902824048</v>
      </c>
      <c r="L368">
        <v>72153206.242964998</v>
      </c>
      <c r="M368" t="s">
        <v>20</v>
      </c>
      <c r="N368" t="s">
        <v>82</v>
      </c>
      <c r="O368" t="s">
        <v>84</v>
      </c>
      <c r="P368">
        <v>966</v>
      </c>
      <c r="Q368">
        <v>522</v>
      </c>
      <c r="R368">
        <v>444</v>
      </c>
    </row>
    <row r="369" spans="1:18" x14ac:dyDescent="0.3">
      <c r="A369" t="s">
        <v>1389</v>
      </c>
      <c r="B369">
        <v>2022</v>
      </c>
      <c r="C369">
        <v>3.5865226379132169</v>
      </c>
      <c r="D369">
        <v>5710582.28125</v>
      </c>
      <c r="E369">
        <v>479</v>
      </c>
      <c r="F369">
        <v>546</v>
      </c>
      <c r="G369">
        <v>4.9075835401910005E-4</v>
      </c>
      <c r="H369">
        <v>14</v>
      </c>
      <c r="I369">
        <v>14</v>
      </c>
      <c r="J369">
        <v>0.2738149451353491</v>
      </c>
      <c r="K369">
        <v>-0.22018272214265469</v>
      </c>
      <c r="L369">
        <v>147977706.3676658</v>
      </c>
      <c r="M369" t="s">
        <v>406</v>
      </c>
      <c r="N369" t="s">
        <v>423</v>
      </c>
      <c r="O369" t="s">
        <v>424</v>
      </c>
      <c r="P369">
        <v>50926</v>
      </c>
      <c r="Q369">
        <v>20067</v>
      </c>
      <c r="R369">
        <v>30859</v>
      </c>
    </row>
    <row r="370" spans="1:18" x14ac:dyDescent="0.3">
      <c r="A370" t="s">
        <v>1390</v>
      </c>
      <c r="B370">
        <v>2022</v>
      </c>
      <c r="C370">
        <v>2.1451965195115799</v>
      </c>
      <c r="D370">
        <v>3115738.479656863</v>
      </c>
      <c r="E370">
        <v>1255</v>
      </c>
      <c r="F370">
        <v>247</v>
      </c>
      <c r="G370">
        <v>3.1818185158320002E-4</v>
      </c>
      <c r="H370">
        <v>11</v>
      </c>
      <c r="I370">
        <v>2</v>
      </c>
      <c r="J370">
        <v>0.40118543879930468</v>
      </c>
      <c r="K370">
        <v>-0.30343686707228468</v>
      </c>
      <c r="L370">
        <v>60036570.93130374</v>
      </c>
      <c r="M370" t="s">
        <v>232</v>
      </c>
      <c r="N370" t="s">
        <v>233</v>
      </c>
      <c r="O370" t="s">
        <v>239</v>
      </c>
      <c r="P370">
        <v>6776</v>
      </c>
      <c r="Q370">
        <v>1368</v>
      </c>
      <c r="R370">
        <v>5408</v>
      </c>
    </row>
    <row r="371" spans="1:18" x14ac:dyDescent="0.3">
      <c r="A371" t="s">
        <v>1391</v>
      </c>
      <c r="B371">
        <v>2022</v>
      </c>
      <c r="C371">
        <v>0.87128715065324525</v>
      </c>
      <c r="D371">
        <v>951290.42457107839</v>
      </c>
      <c r="E371">
        <v>299</v>
      </c>
      <c r="F371">
        <v>141</v>
      </c>
      <c r="G371">
        <v>6.5103778446959999E-4</v>
      </c>
      <c r="H371">
        <v>27</v>
      </c>
      <c r="I371">
        <v>13</v>
      </c>
      <c r="J371">
        <v>0.34641710362918421</v>
      </c>
      <c r="K371">
        <v>-0.2108209815525782</v>
      </c>
      <c r="L371">
        <v>97656972.936622113</v>
      </c>
      <c r="M371" t="s">
        <v>612</v>
      </c>
      <c r="N371" t="s">
        <v>97</v>
      </c>
      <c r="O371" t="s">
        <v>478</v>
      </c>
      <c r="P371">
        <v>3552</v>
      </c>
      <c r="Q371">
        <v>740</v>
      </c>
      <c r="R371">
        <v>2812</v>
      </c>
    </row>
    <row r="372" spans="1:18" x14ac:dyDescent="0.3">
      <c r="A372" t="s">
        <v>1392</v>
      </c>
      <c r="B372">
        <v>2022</v>
      </c>
      <c r="C372">
        <v>9.7994597641732248</v>
      </c>
      <c r="D372">
        <v>9108909.3975490164</v>
      </c>
      <c r="E372">
        <v>4281</v>
      </c>
      <c r="F372">
        <v>1166</v>
      </c>
      <c r="G372">
        <v>3.3847659660700001E-4</v>
      </c>
      <c r="H372">
        <v>30</v>
      </c>
      <c r="I372">
        <v>14</v>
      </c>
      <c r="J372">
        <v>0.16596185702955021</v>
      </c>
      <c r="K372">
        <v>-0.26723427395512978</v>
      </c>
      <c r="L372">
        <v>96508042.56701228</v>
      </c>
      <c r="M372" t="s">
        <v>612</v>
      </c>
      <c r="N372" t="s">
        <v>672</v>
      </c>
      <c r="O372" t="s">
        <v>672</v>
      </c>
      <c r="P372">
        <v>29754</v>
      </c>
      <c r="Q372">
        <v>13078</v>
      </c>
      <c r="R372">
        <v>16676</v>
      </c>
    </row>
    <row r="373" spans="1:18" x14ac:dyDescent="0.3">
      <c r="A373" t="s">
        <v>1393</v>
      </c>
      <c r="B373">
        <v>2022</v>
      </c>
      <c r="C373">
        <v>1.0303865884803911</v>
      </c>
      <c r="D373">
        <v>3549562.2768995101</v>
      </c>
      <c r="E373">
        <v>357</v>
      </c>
      <c r="F373">
        <v>370</v>
      </c>
      <c r="G373">
        <v>3.1302693457489999E-4</v>
      </c>
      <c r="H373">
        <v>7</v>
      </c>
      <c r="I373">
        <v>2</v>
      </c>
      <c r="J373">
        <v>0.12773692026108999</v>
      </c>
      <c r="K373">
        <v>8.4342539044171799E-2</v>
      </c>
      <c r="L373">
        <v>2212268439.9646978</v>
      </c>
      <c r="M373" t="s">
        <v>406</v>
      </c>
      <c r="N373" t="s">
        <v>407</v>
      </c>
      <c r="O373" t="s">
        <v>411</v>
      </c>
      <c r="P373">
        <v>15244</v>
      </c>
      <c r="Q373">
        <v>1035</v>
      </c>
      <c r="R373">
        <v>14209</v>
      </c>
    </row>
    <row r="374" spans="1:18" x14ac:dyDescent="0.3">
      <c r="A374" t="s">
        <v>1394</v>
      </c>
      <c r="B374">
        <v>2022</v>
      </c>
      <c r="C374">
        <v>2.126416818619846</v>
      </c>
      <c r="D374">
        <v>2371198.6125612748</v>
      </c>
      <c r="E374">
        <v>345</v>
      </c>
      <c r="F374">
        <v>581</v>
      </c>
      <c r="G374">
        <v>1.950773910438E-4</v>
      </c>
      <c r="H374">
        <v>53</v>
      </c>
      <c r="I374">
        <v>7</v>
      </c>
      <c r="J374">
        <v>0.4949963941250447</v>
      </c>
      <c r="K374">
        <v>-0.3867596533965697</v>
      </c>
      <c r="L374">
        <v>251442841.82870281</v>
      </c>
      <c r="M374" t="s">
        <v>20</v>
      </c>
      <c r="N374" t="s">
        <v>21</v>
      </c>
      <c r="O374" t="s">
        <v>22</v>
      </c>
      <c r="P374">
        <v>21783</v>
      </c>
      <c r="Q374">
        <v>15591</v>
      </c>
      <c r="R374">
        <v>6192</v>
      </c>
    </row>
    <row r="375" spans="1:18" x14ac:dyDescent="0.3">
      <c r="A375" t="s">
        <v>1395</v>
      </c>
      <c r="B375">
        <v>2022</v>
      </c>
      <c r="C375">
        <v>1.7019203166136421</v>
      </c>
      <c r="D375">
        <v>993125.140625</v>
      </c>
      <c r="E375">
        <v>821</v>
      </c>
      <c r="F375">
        <v>449</v>
      </c>
      <c r="G375">
        <v>2.9624901700630002E-4</v>
      </c>
      <c r="H375">
        <v>30</v>
      </c>
      <c r="I375">
        <v>2</v>
      </c>
      <c r="J375">
        <v>0.24241370232964859</v>
      </c>
      <c r="K375">
        <v>-0.30590066002582778</v>
      </c>
      <c r="L375">
        <v>106422326.7346554</v>
      </c>
      <c r="M375" t="s">
        <v>612</v>
      </c>
      <c r="N375" t="s">
        <v>645</v>
      </c>
      <c r="O375" t="s">
        <v>646</v>
      </c>
      <c r="P375">
        <v>3079</v>
      </c>
      <c r="Q375">
        <v>35</v>
      </c>
      <c r="R375">
        <v>3044</v>
      </c>
    </row>
    <row r="376" spans="1:18" x14ac:dyDescent="0.3">
      <c r="A376" t="s">
        <v>1396</v>
      </c>
      <c r="B376">
        <v>2022</v>
      </c>
      <c r="C376">
        <v>3.4603094491336139</v>
      </c>
      <c r="D376">
        <v>56395.636029411769</v>
      </c>
      <c r="E376">
        <v>70</v>
      </c>
      <c r="F376">
        <v>461</v>
      </c>
      <c r="G376">
        <v>2.512502983135E-4</v>
      </c>
      <c r="H376">
        <v>2</v>
      </c>
      <c r="I376">
        <v>2</v>
      </c>
      <c r="J376">
        <v>0.54625352816006734</v>
      </c>
      <c r="K376">
        <v>-0.35437357135935799</v>
      </c>
      <c r="L376">
        <v>62429820.4129299</v>
      </c>
      <c r="M376" t="s">
        <v>20</v>
      </c>
      <c r="N376" t="s">
        <v>71</v>
      </c>
      <c r="O376" t="s">
        <v>72</v>
      </c>
      <c r="P376">
        <v>4194</v>
      </c>
      <c r="Q376">
        <v>3149</v>
      </c>
      <c r="R376">
        <v>1045</v>
      </c>
    </row>
    <row r="377" spans="1:18" x14ac:dyDescent="0.3">
      <c r="A377" t="s">
        <v>1397</v>
      </c>
      <c r="B377">
        <v>2022</v>
      </c>
      <c r="C377">
        <v>4.444080250514622</v>
      </c>
      <c r="D377">
        <v>1737150.9375</v>
      </c>
      <c r="E377">
        <v>364</v>
      </c>
      <c r="F377">
        <v>723</v>
      </c>
      <c r="G377">
        <v>3.5589920103389999E-4</v>
      </c>
      <c r="H377">
        <v>30</v>
      </c>
      <c r="I377">
        <v>6</v>
      </c>
      <c r="J377">
        <v>0.3306296057529019</v>
      </c>
      <c r="K377">
        <v>-7.1412522148076807E-2</v>
      </c>
      <c r="L377">
        <v>277261853.80029571</v>
      </c>
      <c r="M377" t="s">
        <v>406</v>
      </c>
      <c r="N377" t="s">
        <v>446</v>
      </c>
      <c r="O377" t="s">
        <v>446</v>
      </c>
      <c r="P377">
        <v>32913</v>
      </c>
      <c r="Q377">
        <v>16685</v>
      </c>
      <c r="R377">
        <v>16228</v>
      </c>
    </row>
    <row r="378" spans="1:18" x14ac:dyDescent="0.3">
      <c r="A378" t="s">
        <v>1398</v>
      </c>
      <c r="B378">
        <v>2022</v>
      </c>
      <c r="C378">
        <v>0.94451939504351756</v>
      </c>
      <c r="D378">
        <v>992716.125</v>
      </c>
      <c r="E378">
        <v>124</v>
      </c>
      <c r="F378">
        <v>361</v>
      </c>
      <c r="G378">
        <v>1.275437237255E-4</v>
      </c>
      <c r="H378">
        <v>5</v>
      </c>
      <c r="I378">
        <v>8</v>
      </c>
      <c r="J378">
        <v>0.54173489594460134</v>
      </c>
      <c r="K378">
        <v>-0.31237476190312058</v>
      </c>
      <c r="L378">
        <v>380092591.19016892</v>
      </c>
      <c r="M378" t="s">
        <v>232</v>
      </c>
      <c r="N378" t="s">
        <v>278</v>
      </c>
      <c r="O378" t="s">
        <v>278</v>
      </c>
      <c r="P378">
        <v>11732</v>
      </c>
      <c r="Q378">
        <v>4128</v>
      </c>
      <c r="R378">
        <v>7604</v>
      </c>
    </row>
    <row r="379" spans="1:18" x14ac:dyDescent="0.3">
      <c r="A379" t="s">
        <v>1399</v>
      </c>
      <c r="B379">
        <v>2022</v>
      </c>
      <c r="C379">
        <v>1.076770976649071</v>
      </c>
      <c r="D379">
        <v>169443.51360294121</v>
      </c>
      <c r="E379">
        <v>52</v>
      </c>
      <c r="F379">
        <v>173</v>
      </c>
      <c r="G379">
        <v>3.802852039066E-4</v>
      </c>
      <c r="H379">
        <v>8</v>
      </c>
      <c r="I379">
        <v>0</v>
      </c>
      <c r="J379">
        <v>0.49993198318642967</v>
      </c>
      <c r="K379">
        <v>-0.37709740917470019</v>
      </c>
      <c r="L379">
        <v>229476508.38396201</v>
      </c>
      <c r="M379" t="s">
        <v>460</v>
      </c>
      <c r="N379" t="s">
        <v>473</v>
      </c>
      <c r="O379" t="s">
        <v>475</v>
      </c>
      <c r="P379">
        <v>5476</v>
      </c>
      <c r="Q379">
        <v>1916</v>
      </c>
      <c r="R379">
        <v>3560</v>
      </c>
    </row>
    <row r="380" spans="1:18" x14ac:dyDescent="0.3">
      <c r="A380" t="s">
        <v>1400</v>
      </c>
      <c r="B380">
        <v>2022</v>
      </c>
      <c r="C380">
        <v>1.4067100174317291</v>
      </c>
      <c r="D380">
        <v>213006.96838235299</v>
      </c>
      <c r="E380">
        <v>46</v>
      </c>
      <c r="F380">
        <v>364</v>
      </c>
      <c r="G380">
        <v>1.757717035038E-4</v>
      </c>
      <c r="H380">
        <v>22</v>
      </c>
      <c r="I380">
        <v>2</v>
      </c>
      <c r="J380">
        <v>0.37656735332051638</v>
      </c>
      <c r="K380">
        <v>-0.33516031960568399</v>
      </c>
      <c r="L380">
        <v>279737882.7429893</v>
      </c>
      <c r="M380" t="s">
        <v>20</v>
      </c>
      <c r="N380" t="s">
        <v>21</v>
      </c>
      <c r="O380" t="s">
        <v>36</v>
      </c>
      <c r="P380">
        <v>10351</v>
      </c>
      <c r="Q380">
        <v>7347</v>
      </c>
      <c r="R380">
        <v>3004</v>
      </c>
    </row>
    <row r="381" spans="1:18" x14ac:dyDescent="0.3">
      <c r="A381" t="s">
        <v>1401</v>
      </c>
      <c r="B381">
        <v>2022</v>
      </c>
      <c r="C381">
        <v>1.0853586620093709</v>
      </c>
      <c r="D381">
        <v>496208.46875</v>
      </c>
      <c r="E381">
        <v>54</v>
      </c>
      <c r="F381">
        <v>462</v>
      </c>
      <c r="G381">
        <v>5.4003172042870005E-4</v>
      </c>
      <c r="H381">
        <v>8</v>
      </c>
      <c r="I381">
        <v>9</v>
      </c>
      <c r="J381">
        <v>0.41357552434643119</v>
      </c>
      <c r="K381">
        <v>-0.17058299846571359</v>
      </c>
      <c r="L381">
        <v>718958547.49397612</v>
      </c>
      <c r="M381" t="s">
        <v>674</v>
      </c>
      <c r="N381" t="s">
        <v>709</v>
      </c>
      <c r="O381" t="s">
        <v>709</v>
      </c>
      <c r="P381">
        <v>16277</v>
      </c>
      <c r="Q381">
        <v>9056</v>
      </c>
      <c r="R381">
        <v>7221</v>
      </c>
    </row>
    <row r="382" spans="1:18" x14ac:dyDescent="0.3">
      <c r="A382" t="s">
        <v>1402</v>
      </c>
      <c r="B382">
        <v>2022</v>
      </c>
      <c r="C382">
        <v>1.673266408127752</v>
      </c>
      <c r="D382">
        <v>3470340.9033088242</v>
      </c>
      <c r="E382">
        <v>1218</v>
      </c>
      <c r="F382">
        <v>288</v>
      </c>
      <c r="G382">
        <v>4.5386113840400002E-4</v>
      </c>
      <c r="H382">
        <v>26</v>
      </c>
      <c r="I382">
        <v>6</v>
      </c>
      <c r="L382">
        <v>144180861.38840449</v>
      </c>
      <c r="M382" t="s">
        <v>191</v>
      </c>
      <c r="N382" t="s">
        <v>192</v>
      </c>
      <c r="O382" t="s">
        <v>193</v>
      </c>
      <c r="P382">
        <v>7957</v>
      </c>
      <c r="Q382">
        <v>4451</v>
      </c>
      <c r="R382">
        <v>3506</v>
      </c>
    </row>
    <row r="383" spans="1:18" x14ac:dyDescent="0.3">
      <c r="A383" t="s">
        <v>1403</v>
      </c>
      <c r="B383">
        <v>2022</v>
      </c>
      <c r="C383">
        <v>2.11494034330387</v>
      </c>
      <c r="D383">
        <v>1241324.703125</v>
      </c>
      <c r="E383">
        <v>137</v>
      </c>
      <c r="F383">
        <v>466</v>
      </c>
      <c r="G383">
        <v>4.7238085663719998E-4</v>
      </c>
      <c r="H383">
        <v>14</v>
      </c>
      <c r="I383">
        <v>10</v>
      </c>
      <c r="J383">
        <v>0.60659956219617905</v>
      </c>
      <c r="K383">
        <v>-0.19639699621318549</v>
      </c>
      <c r="L383">
        <v>248304339.2913247</v>
      </c>
      <c r="M383" t="s">
        <v>348</v>
      </c>
      <c r="N383" t="s">
        <v>102</v>
      </c>
      <c r="O383" t="s">
        <v>102</v>
      </c>
      <c r="P383">
        <v>32117</v>
      </c>
      <c r="Q383">
        <v>10318</v>
      </c>
      <c r="R383">
        <v>21799</v>
      </c>
    </row>
    <row r="384" spans="1:18" x14ac:dyDescent="0.3">
      <c r="A384" t="s">
        <v>1404</v>
      </c>
      <c r="B384">
        <v>2022</v>
      </c>
      <c r="C384">
        <v>1.769240191146489</v>
      </c>
      <c r="D384">
        <v>3227541.28125</v>
      </c>
      <c r="E384">
        <v>422</v>
      </c>
      <c r="F384">
        <v>517</v>
      </c>
      <c r="G384">
        <v>2.2834594745939999E-4</v>
      </c>
      <c r="H384">
        <v>18</v>
      </c>
      <c r="I384">
        <v>46</v>
      </c>
      <c r="J384">
        <v>0.36168124350463482</v>
      </c>
      <c r="K384">
        <v>-0.2584711049895087</v>
      </c>
      <c r="L384">
        <v>293020483.75270581</v>
      </c>
      <c r="M384" t="s">
        <v>612</v>
      </c>
      <c r="N384" t="s">
        <v>35</v>
      </c>
      <c r="O384" t="s">
        <v>654</v>
      </c>
      <c r="P384">
        <v>24500</v>
      </c>
      <c r="Q384">
        <v>10080</v>
      </c>
      <c r="R384">
        <v>14420</v>
      </c>
    </row>
    <row r="385" spans="1:18" x14ac:dyDescent="0.3">
      <c r="A385" t="s">
        <v>1405</v>
      </c>
      <c r="B385">
        <v>2022</v>
      </c>
      <c r="C385">
        <v>0.55338181985514523</v>
      </c>
      <c r="D385">
        <v>417770.14632352942</v>
      </c>
      <c r="E385">
        <v>838</v>
      </c>
      <c r="F385">
        <v>113</v>
      </c>
      <c r="G385">
        <v>7.5951996300869997E-4</v>
      </c>
      <c r="H385">
        <v>7</v>
      </c>
      <c r="I385">
        <v>0</v>
      </c>
      <c r="J385">
        <v>0.61972121336741526</v>
      </c>
      <c r="K385">
        <v>-0.2378492121328096</v>
      </c>
      <c r="L385">
        <v>1929913701.823293</v>
      </c>
      <c r="M385" t="s">
        <v>730</v>
      </c>
      <c r="N385" t="s">
        <v>743</v>
      </c>
      <c r="O385" t="s">
        <v>744</v>
      </c>
      <c r="P385">
        <v>519</v>
      </c>
      <c r="Q385">
        <v>70</v>
      </c>
      <c r="R385">
        <v>449</v>
      </c>
    </row>
    <row r="386" spans="1:18" x14ac:dyDescent="0.3">
      <c r="A386" t="s">
        <v>1406</v>
      </c>
      <c r="B386">
        <v>2022</v>
      </c>
      <c r="C386">
        <v>1.6230173958176961</v>
      </c>
      <c r="D386">
        <v>3503254.8737745099</v>
      </c>
      <c r="E386">
        <v>2008</v>
      </c>
      <c r="F386">
        <v>450</v>
      </c>
      <c r="G386">
        <v>2.9894001409630001E-4</v>
      </c>
      <c r="H386">
        <v>13</v>
      </c>
      <c r="I386">
        <v>2</v>
      </c>
      <c r="J386">
        <v>0.1961194573869843</v>
      </c>
      <c r="K386">
        <v>-0.2068218491735139</v>
      </c>
      <c r="L386">
        <v>162043794.28649461</v>
      </c>
      <c r="M386" t="s">
        <v>612</v>
      </c>
      <c r="N386" t="s">
        <v>643</v>
      </c>
      <c r="O386" t="s">
        <v>102</v>
      </c>
      <c r="P386">
        <v>5438</v>
      </c>
      <c r="Q386">
        <v>628</v>
      </c>
      <c r="R386">
        <v>4810</v>
      </c>
    </row>
    <row r="387" spans="1:18" x14ac:dyDescent="0.3">
      <c r="A387" t="s">
        <v>1407</v>
      </c>
      <c r="B387">
        <v>2022</v>
      </c>
      <c r="C387">
        <v>0.87844730764429646</v>
      </c>
      <c r="D387">
        <v>1238526.453125</v>
      </c>
      <c r="E387">
        <v>318</v>
      </c>
      <c r="F387">
        <v>268</v>
      </c>
      <c r="G387">
        <v>1.982463352153E-4</v>
      </c>
      <c r="H387">
        <v>10</v>
      </c>
      <c r="I387">
        <v>2</v>
      </c>
      <c r="J387">
        <v>0.4275579486368607</v>
      </c>
      <c r="K387">
        <v>-0.37747862693174378</v>
      </c>
      <c r="L387">
        <v>238476582.3791258</v>
      </c>
      <c r="M387" t="s">
        <v>499</v>
      </c>
      <c r="N387" t="s">
        <v>522</v>
      </c>
      <c r="O387" t="s">
        <v>522</v>
      </c>
      <c r="P387">
        <v>6677</v>
      </c>
      <c r="Q387">
        <v>4068</v>
      </c>
      <c r="R387">
        <v>2609</v>
      </c>
    </row>
    <row r="388" spans="1:18" x14ac:dyDescent="0.3">
      <c r="A388" t="s">
        <v>1408</v>
      </c>
      <c r="B388">
        <v>2022</v>
      </c>
      <c r="C388">
        <v>1.561792242322096</v>
      </c>
      <c r="D388">
        <v>1489927.984375</v>
      </c>
      <c r="E388">
        <v>196</v>
      </c>
      <c r="F388">
        <v>746</v>
      </c>
      <c r="G388">
        <v>1.1265804066509999E-4</v>
      </c>
      <c r="H388">
        <v>19</v>
      </c>
      <c r="I388">
        <v>14</v>
      </c>
      <c r="J388">
        <v>0.48797362234290831</v>
      </c>
      <c r="K388">
        <v>-0.34664798759710141</v>
      </c>
      <c r="L388">
        <v>486515784.24552959</v>
      </c>
      <c r="M388" t="s">
        <v>652</v>
      </c>
      <c r="N388" t="s">
        <v>772</v>
      </c>
      <c r="O388" t="s">
        <v>794</v>
      </c>
      <c r="P388">
        <v>23239</v>
      </c>
      <c r="Q388">
        <v>14781</v>
      </c>
      <c r="R388">
        <v>8458</v>
      </c>
    </row>
    <row r="389" spans="1:18" x14ac:dyDescent="0.3">
      <c r="A389" t="s">
        <v>1409</v>
      </c>
      <c r="B389">
        <v>2022</v>
      </c>
      <c r="C389">
        <v>1.997449787158585</v>
      </c>
      <c r="D389">
        <v>1141196.1680759799</v>
      </c>
      <c r="E389">
        <v>902</v>
      </c>
      <c r="F389">
        <v>271</v>
      </c>
      <c r="G389">
        <v>5.8573859677329997E-4</v>
      </c>
      <c r="H389">
        <v>26</v>
      </c>
      <c r="I389">
        <v>12</v>
      </c>
      <c r="J389">
        <v>0.59494286477937042</v>
      </c>
      <c r="K389">
        <v>-0.41018635586914232</v>
      </c>
      <c r="L389">
        <v>76118779.69844684</v>
      </c>
      <c r="M389" t="s">
        <v>191</v>
      </c>
      <c r="N389" t="s">
        <v>192</v>
      </c>
      <c r="O389" t="s">
        <v>199</v>
      </c>
      <c r="P389">
        <v>4960</v>
      </c>
      <c r="Q389">
        <v>1166</v>
      </c>
      <c r="R389">
        <v>3794</v>
      </c>
    </row>
    <row r="390" spans="1:18" x14ac:dyDescent="0.3">
      <c r="A390" t="s">
        <v>1410</v>
      </c>
      <c r="B390">
        <v>2022</v>
      </c>
      <c r="C390">
        <v>1.763335149157611</v>
      </c>
      <c r="D390">
        <v>2231627.4375</v>
      </c>
      <c r="E390">
        <v>927</v>
      </c>
      <c r="F390">
        <v>462</v>
      </c>
      <c r="G390">
        <v>1.6853231648590001E-4</v>
      </c>
      <c r="H390">
        <v>17</v>
      </c>
      <c r="I390">
        <v>10</v>
      </c>
      <c r="J390">
        <v>0.52328807430078761</v>
      </c>
      <c r="K390">
        <v>-0.38024872999993092</v>
      </c>
      <c r="L390">
        <v>239518819.46180749</v>
      </c>
      <c r="M390" t="s">
        <v>20</v>
      </c>
      <c r="N390" t="s">
        <v>43</v>
      </c>
      <c r="O390" t="s">
        <v>43</v>
      </c>
      <c r="P390">
        <v>8434</v>
      </c>
      <c r="Q390">
        <v>5457</v>
      </c>
      <c r="R390">
        <v>2977</v>
      </c>
    </row>
    <row r="391" spans="1:18" x14ac:dyDescent="0.3">
      <c r="A391" t="s">
        <v>1411</v>
      </c>
      <c r="B391">
        <v>2022</v>
      </c>
      <c r="C391">
        <v>1.4885544001467641</v>
      </c>
      <c r="D391">
        <v>1241612.0625</v>
      </c>
      <c r="E391">
        <v>66</v>
      </c>
      <c r="F391">
        <v>869</v>
      </c>
      <c r="G391">
        <v>1.6022338430790001E-4</v>
      </c>
      <c r="H391">
        <v>34</v>
      </c>
      <c r="I391">
        <v>15</v>
      </c>
      <c r="J391">
        <v>0.54891085123109851</v>
      </c>
      <c r="K391">
        <v>-0.25962795457852372</v>
      </c>
      <c r="L391">
        <v>1021275146.89344</v>
      </c>
      <c r="M391" t="s">
        <v>348</v>
      </c>
      <c r="N391" t="s">
        <v>380</v>
      </c>
      <c r="O391" t="s">
        <v>381</v>
      </c>
      <c r="P391">
        <v>55614</v>
      </c>
      <c r="Q391">
        <v>21446</v>
      </c>
      <c r="R391">
        <v>34168</v>
      </c>
    </row>
    <row r="392" spans="1:18" x14ac:dyDescent="0.3">
      <c r="A392" t="s">
        <v>1412</v>
      </c>
      <c r="B392">
        <v>2022</v>
      </c>
      <c r="C392">
        <v>9.4114939036594745</v>
      </c>
      <c r="D392">
        <v>5163149.6766544124</v>
      </c>
      <c r="E392">
        <v>2379</v>
      </c>
      <c r="F392">
        <v>909</v>
      </c>
      <c r="G392">
        <v>4.0894732118360001E-4</v>
      </c>
      <c r="H392">
        <v>27</v>
      </c>
      <c r="I392">
        <v>12</v>
      </c>
      <c r="L392">
        <v>56377558.010918632</v>
      </c>
      <c r="M392" t="s">
        <v>652</v>
      </c>
      <c r="N392" t="s">
        <v>772</v>
      </c>
      <c r="O392" t="s">
        <v>775</v>
      </c>
      <c r="P392">
        <v>43150</v>
      </c>
      <c r="Q392">
        <v>32488</v>
      </c>
      <c r="R392">
        <v>10662</v>
      </c>
    </row>
    <row r="393" spans="1:18" x14ac:dyDescent="0.3">
      <c r="A393" t="s">
        <v>1413</v>
      </c>
      <c r="B393">
        <v>2022</v>
      </c>
      <c r="C393">
        <v>1.842753650841841</v>
      </c>
      <c r="D393">
        <v>7195761.2194852941</v>
      </c>
      <c r="E393">
        <v>487</v>
      </c>
      <c r="F393">
        <v>1147</v>
      </c>
      <c r="G393">
        <v>2.0228432171710001E-4</v>
      </c>
      <c r="H393">
        <v>15</v>
      </c>
      <c r="I393">
        <v>30</v>
      </c>
      <c r="J393">
        <v>0.48644178957676171</v>
      </c>
      <c r="K393">
        <v>-0.21396374857742209</v>
      </c>
      <c r="L393">
        <v>414927824.12271118</v>
      </c>
      <c r="M393" t="s">
        <v>586</v>
      </c>
      <c r="N393" t="s">
        <v>606</v>
      </c>
      <c r="O393" t="s">
        <v>607</v>
      </c>
      <c r="P393">
        <v>59389</v>
      </c>
      <c r="Q393">
        <v>31688</v>
      </c>
      <c r="R393">
        <v>27701</v>
      </c>
    </row>
    <row r="394" spans="1:18" x14ac:dyDescent="0.3">
      <c r="A394" t="s">
        <v>1414</v>
      </c>
      <c r="B394">
        <v>2022</v>
      </c>
      <c r="C394">
        <v>0.58634077770451076</v>
      </c>
      <c r="D394">
        <v>993305.28125</v>
      </c>
      <c r="E394">
        <v>1263</v>
      </c>
      <c r="F394">
        <v>62</v>
      </c>
      <c r="G394">
        <v>1.2460628939503001E-3</v>
      </c>
      <c r="H394">
        <v>3</v>
      </c>
      <c r="I394">
        <v>0</v>
      </c>
      <c r="J394">
        <v>0.48669428587534208</v>
      </c>
      <c r="K394">
        <v>-0.19273173322903661</v>
      </c>
      <c r="L394">
        <v>985553361.84256399</v>
      </c>
      <c r="M394" t="s">
        <v>922</v>
      </c>
      <c r="N394" t="s">
        <v>931</v>
      </c>
      <c r="O394" t="s">
        <v>933</v>
      </c>
      <c r="P394">
        <v>1063</v>
      </c>
      <c r="Q394">
        <v>422</v>
      </c>
      <c r="R394">
        <v>641</v>
      </c>
    </row>
    <row r="395" spans="1:18" x14ac:dyDescent="0.3">
      <c r="A395" t="s">
        <v>1415</v>
      </c>
      <c r="B395">
        <v>2022</v>
      </c>
      <c r="C395">
        <v>0.70362513376039337</v>
      </c>
      <c r="D395">
        <v>196699.41850490199</v>
      </c>
      <c r="E395">
        <v>55</v>
      </c>
      <c r="F395">
        <v>107</v>
      </c>
      <c r="G395">
        <v>1.4386535616207001E-3</v>
      </c>
      <c r="H395">
        <v>1</v>
      </c>
      <c r="I395">
        <v>0</v>
      </c>
      <c r="J395">
        <v>0.65780582404973664</v>
      </c>
      <c r="K395">
        <v>-0.2942440189867514</v>
      </c>
      <c r="L395">
        <v>331310206.39121151</v>
      </c>
      <c r="M395" t="s">
        <v>959</v>
      </c>
      <c r="N395" t="s">
        <v>984</v>
      </c>
      <c r="O395" t="s">
        <v>985</v>
      </c>
      <c r="P395">
        <v>5863</v>
      </c>
      <c r="Q395">
        <v>688</v>
      </c>
      <c r="R395">
        <v>5175</v>
      </c>
    </row>
    <row r="396" spans="1:18" x14ac:dyDescent="0.3">
      <c r="A396" t="s">
        <v>1416</v>
      </c>
      <c r="B396">
        <v>2022</v>
      </c>
      <c r="C396">
        <v>0.62495055620893825</v>
      </c>
      <c r="D396">
        <v>248303.796875</v>
      </c>
      <c r="E396">
        <v>102</v>
      </c>
      <c r="F396">
        <v>73</v>
      </c>
      <c r="G396">
        <v>3.0915123128236999E-3</v>
      </c>
      <c r="H396">
        <v>6</v>
      </c>
      <c r="I396">
        <v>1</v>
      </c>
      <c r="J396">
        <v>0.5701947331938757</v>
      </c>
      <c r="K396">
        <v>-0.19544137577164561</v>
      </c>
      <c r="L396">
        <v>1741295690.6669919</v>
      </c>
      <c r="M396" t="s">
        <v>959</v>
      </c>
      <c r="N396" t="s">
        <v>971</v>
      </c>
      <c r="O396" t="s">
        <v>972</v>
      </c>
      <c r="P396">
        <v>3659</v>
      </c>
      <c r="Q396">
        <v>1098</v>
      </c>
      <c r="R396">
        <v>2561</v>
      </c>
    </row>
    <row r="397" spans="1:18" x14ac:dyDescent="0.3">
      <c r="A397" t="s">
        <v>1417</v>
      </c>
      <c r="B397">
        <v>2022</v>
      </c>
      <c r="C397">
        <v>7.1420456641221044</v>
      </c>
      <c r="D397">
        <v>91977951.313419119</v>
      </c>
      <c r="E397">
        <v>13116</v>
      </c>
      <c r="F397">
        <v>3866</v>
      </c>
      <c r="G397">
        <v>8.2284462782322866E-5</v>
      </c>
      <c r="H397">
        <v>49</v>
      </c>
      <c r="I397">
        <v>84</v>
      </c>
      <c r="J397">
        <v>0.37163436864961658</v>
      </c>
      <c r="K397">
        <v>-0.3260429656267414</v>
      </c>
      <c r="L397">
        <v>266340098.35864449</v>
      </c>
      <c r="M397" t="s">
        <v>191</v>
      </c>
      <c r="N397" t="s">
        <v>192</v>
      </c>
      <c r="O397" t="s">
        <v>192</v>
      </c>
      <c r="P397">
        <v>125524</v>
      </c>
      <c r="Q397">
        <v>90652</v>
      </c>
      <c r="R397">
        <v>34872</v>
      </c>
    </row>
    <row r="398" spans="1:18" x14ac:dyDescent="0.3">
      <c r="A398" t="s">
        <v>1418</v>
      </c>
      <c r="B398">
        <v>2022</v>
      </c>
      <c r="C398">
        <v>3.9245217221942261</v>
      </c>
      <c r="D398">
        <v>2234286.359375</v>
      </c>
      <c r="E398">
        <v>1367</v>
      </c>
      <c r="F398">
        <v>465</v>
      </c>
      <c r="G398">
        <v>4.0707887269150002E-4</v>
      </c>
      <c r="H398">
        <v>16</v>
      </c>
      <c r="I398">
        <v>10</v>
      </c>
      <c r="J398">
        <v>0.3912351726810373</v>
      </c>
      <c r="K398">
        <v>-0.16450106011443771</v>
      </c>
      <c r="L398">
        <v>84056930.649310797</v>
      </c>
      <c r="M398" t="s">
        <v>830</v>
      </c>
      <c r="N398" t="s">
        <v>846</v>
      </c>
      <c r="O398" t="s">
        <v>22</v>
      </c>
      <c r="P398">
        <v>15917</v>
      </c>
      <c r="Q398">
        <v>13264</v>
      </c>
      <c r="R398">
        <v>2653</v>
      </c>
    </row>
    <row r="399" spans="1:18" x14ac:dyDescent="0.3">
      <c r="A399" t="s">
        <v>1419</v>
      </c>
      <c r="B399">
        <v>2022</v>
      </c>
      <c r="C399">
        <v>3.7629199832373179</v>
      </c>
      <c r="D399">
        <v>343558.91348039208</v>
      </c>
      <c r="E399">
        <v>358</v>
      </c>
      <c r="F399">
        <v>167</v>
      </c>
      <c r="G399">
        <v>6.5788963981990001E-4</v>
      </c>
      <c r="H399">
        <v>8</v>
      </c>
      <c r="I399">
        <v>1</v>
      </c>
      <c r="J399">
        <v>0.35208374669088333</v>
      </c>
      <c r="K399">
        <v>-0.1797551369525347</v>
      </c>
      <c r="L399">
        <v>121734914.8096883</v>
      </c>
      <c r="M399" t="s">
        <v>406</v>
      </c>
      <c r="N399" t="s">
        <v>373</v>
      </c>
      <c r="O399" t="s">
        <v>421</v>
      </c>
      <c r="P399">
        <v>9695</v>
      </c>
      <c r="Q399">
        <v>252</v>
      </c>
      <c r="R399">
        <v>9443</v>
      </c>
    </row>
    <row r="400" spans="1:18" x14ac:dyDescent="0.3">
      <c r="A400" t="s">
        <v>1420</v>
      </c>
      <c r="B400">
        <v>2022</v>
      </c>
      <c r="C400">
        <v>5.3776237636739159</v>
      </c>
      <c r="D400">
        <v>12656.756188725491</v>
      </c>
      <c r="E400">
        <v>66</v>
      </c>
      <c r="F400">
        <v>83</v>
      </c>
      <c r="G400">
        <v>5.901307444839E-4</v>
      </c>
      <c r="H400">
        <v>7</v>
      </c>
      <c r="I400">
        <v>1</v>
      </c>
      <c r="J400">
        <v>0.45481073710220021</v>
      </c>
      <c r="K400">
        <v>-0.3227188946049207</v>
      </c>
      <c r="L400">
        <v>15998355.58944915</v>
      </c>
      <c r="M400" t="s">
        <v>830</v>
      </c>
      <c r="N400" t="s">
        <v>857</v>
      </c>
      <c r="O400" t="s">
        <v>861</v>
      </c>
      <c r="P400">
        <v>2844</v>
      </c>
      <c r="Q400">
        <v>309</v>
      </c>
      <c r="R400">
        <v>2535</v>
      </c>
    </row>
    <row r="401" spans="1:18" x14ac:dyDescent="0.3">
      <c r="A401" t="s">
        <v>1421</v>
      </c>
      <c r="B401">
        <v>2022</v>
      </c>
      <c r="C401">
        <v>4.4334527150109526</v>
      </c>
      <c r="D401">
        <v>1950487.53125</v>
      </c>
      <c r="E401">
        <v>1145</v>
      </c>
      <c r="F401">
        <v>456</v>
      </c>
      <c r="G401">
        <v>5.152552924667E-4</v>
      </c>
      <c r="H401">
        <v>8</v>
      </c>
      <c r="I401">
        <v>2</v>
      </c>
      <c r="J401">
        <v>0.27904957717445411</v>
      </c>
      <c r="K401">
        <v>-0.20935602555716989</v>
      </c>
      <c r="L401">
        <v>134677621.7439625</v>
      </c>
      <c r="M401" t="s">
        <v>406</v>
      </c>
      <c r="N401" t="s">
        <v>455</v>
      </c>
      <c r="O401" t="s">
        <v>456</v>
      </c>
      <c r="P401">
        <v>23753</v>
      </c>
      <c r="Q401">
        <v>12198</v>
      </c>
      <c r="R401">
        <v>11555</v>
      </c>
    </row>
    <row r="402" spans="1:18" x14ac:dyDescent="0.3">
      <c r="A402" t="s">
        <v>1422</v>
      </c>
      <c r="B402">
        <v>2022</v>
      </c>
      <c r="C402">
        <v>0.78094592644511573</v>
      </c>
      <c r="D402">
        <v>744005.18682598043</v>
      </c>
      <c r="E402">
        <v>444</v>
      </c>
      <c r="F402">
        <v>130</v>
      </c>
      <c r="G402">
        <v>1.5601177179732E-3</v>
      </c>
      <c r="H402">
        <v>18</v>
      </c>
      <c r="I402">
        <v>0</v>
      </c>
      <c r="J402">
        <v>0.71440296813523119</v>
      </c>
      <c r="K402">
        <v>-0.31023934322768598</v>
      </c>
      <c r="L402">
        <v>246794938.88758329</v>
      </c>
      <c r="M402" t="s">
        <v>922</v>
      </c>
      <c r="N402" t="s">
        <v>931</v>
      </c>
      <c r="O402" t="s">
        <v>932</v>
      </c>
      <c r="P402">
        <v>4159</v>
      </c>
      <c r="Q402">
        <v>2671</v>
      </c>
      <c r="R402">
        <v>1488</v>
      </c>
    </row>
    <row r="403" spans="1:18" x14ac:dyDescent="0.3">
      <c r="A403" t="s">
        <v>1423</v>
      </c>
      <c r="B403">
        <v>2022</v>
      </c>
      <c r="C403">
        <v>1.4425900576694941</v>
      </c>
      <c r="D403">
        <v>1241372.65625</v>
      </c>
      <c r="E403">
        <v>138</v>
      </c>
      <c r="F403">
        <v>707</v>
      </c>
      <c r="G403">
        <v>1.7116292944580001E-4</v>
      </c>
      <c r="H403">
        <v>36</v>
      </c>
      <c r="I403">
        <v>14</v>
      </c>
      <c r="J403">
        <v>0.3458473225109775</v>
      </c>
      <c r="K403">
        <v>-0.26209193401615449</v>
      </c>
      <c r="L403">
        <v>565602867.36832094</v>
      </c>
      <c r="M403" t="s">
        <v>586</v>
      </c>
      <c r="N403" t="s">
        <v>610</v>
      </c>
      <c r="O403" t="s">
        <v>610</v>
      </c>
      <c r="P403">
        <v>42023</v>
      </c>
      <c r="Q403">
        <v>10918</v>
      </c>
      <c r="R403">
        <v>31105</v>
      </c>
    </row>
    <row r="404" spans="1:18" x14ac:dyDescent="0.3">
      <c r="A404" t="s">
        <v>1424</v>
      </c>
      <c r="B404">
        <v>2022</v>
      </c>
      <c r="C404">
        <v>1.4493943352846519</v>
      </c>
      <c r="D404">
        <v>502290.59411764698</v>
      </c>
      <c r="E404">
        <v>550</v>
      </c>
      <c r="F404">
        <v>200</v>
      </c>
      <c r="G404">
        <v>2.7793594297980003E-4</v>
      </c>
      <c r="H404">
        <v>3</v>
      </c>
      <c r="I404">
        <v>1</v>
      </c>
      <c r="J404">
        <v>0.38805377607899538</v>
      </c>
      <c r="K404">
        <v>-0.2117939716897857</v>
      </c>
      <c r="L404">
        <v>135922102.73123449</v>
      </c>
      <c r="M404" t="s">
        <v>232</v>
      </c>
      <c r="N404" t="s">
        <v>233</v>
      </c>
      <c r="O404" t="s">
        <v>242</v>
      </c>
      <c r="P404">
        <v>4479</v>
      </c>
      <c r="Q404">
        <v>931</v>
      </c>
      <c r="R404">
        <v>3548</v>
      </c>
    </row>
    <row r="405" spans="1:18" x14ac:dyDescent="0.3">
      <c r="A405" t="s">
        <v>1425</v>
      </c>
      <c r="B405">
        <v>2022</v>
      </c>
      <c r="C405">
        <v>5.4792007814570347</v>
      </c>
      <c r="D405">
        <v>4409977.5375612751</v>
      </c>
      <c r="E405">
        <v>4845</v>
      </c>
      <c r="F405">
        <v>917</v>
      </c>
      <c r="G405">
        <v>2.76201793615E-4</v>
      </c>
      <c r="H405">
        <v>10</v>
      </c>
      <c r="I405">
        <v>16</v>
      </c>
      <c r="J405">
        <v>0.20724466258939769</v>
      </c>
      <c r="K405">
        <v>-0.26412480740454852</v>
      </c>
      <c r="L405">
        <v>61886853.552497409</v>
      </c>
      <c r="M405" t="s">
        <v>612</v>
      </c>
      <c r="N405" t="s">
        <v>613</v>
      </c>
      <c r="O405" t="s">
        <v>615</v>
      </c>
      <c r="P405">
        <v>16985</v>
      </c>
      <c r="Q405">
        <v>2892</v>
      </c>
      <c r="R405">
        <v>14093</v>
      </c>
    </row>
    <row r="406" spans="1:18" x14ac:dyDescent="0.3">
      <c r="A406" t="s">
        <v>1426</v>
      </c>
      <c r="B406">
        <v>2022</v>
      </c>
      <c r="C406">
        <v>9.3223013068664127</v>
      </c>
      <c r="D406">
        <v>18502.357169117651</v>
      </c>
      <c r="E406">
        <v>96</v>
      </c>
      <c r="F406">
        <v>233</v>
      </c>
      <c r="G406">
        <v>1.0966445907503999E-3</v>
      </c>
      <c r="H406">
        <v>12</v>
      </c>
      <c r="I406">
        <v>2</v>
      </c>
      <c r="L406">
        <v>21076878.140606541</v>
      </c>
      <c r="M406" t="s">
        <v>652</v>
      </c>
      <c r="N406" t="s">
        <v>809</v>
      </c>
      <c r="O406" t="s">
        <v>816</v>
      </c>
      <c r="P406">
        <v>6192</v>
      </c>
      <c r="Q406">
        <v>4858</v>
      </c>
      <c r="R406">
        <v>1334</v>
      </c>
    </row>
    <row r="407" spans="1:18" x14ac:dyDescent="0.3">
      <c r="A407" t="s">
        <v>1427</v>
      </c>
      <c r="B407">
        <v>2022</v>
      </c>
      <c r="C407">
        <v>0.67511605727884627</v>
      </c>
      <c r="D407">
        <v>228846.22549019611</v>
      </c>
      <c r="E407">
        <v>46</v>
      </c>
      <c r="F407">
        <v>378</v>
      </c>
      <c r="G407">
        <v>1.3420979169929999E-4</v>
      </c>
      <c r="H407">
        <v>11</v>
      </c>
      <c r="I407">
        <v>20</v>
      </c>
      <c r="J407">
        <v>0.46801354253716898</v>
      </c>
      <c r="K407">
        <v>-0.2070031000056764</v>
      </c>
      <c r="L407">
        <v>886281770.00175893</v>
      </c>
      <c r="M407" t="s">
        <v>460</v>
      </c>
      <c r="N407" t="s">
        <v>473</v>
      </c>
      <c r="O407" t="s">
        <v>167</v>
      </c>
      <c r="P407">
        <v>11546</v>
      </c>
      <c r="Q407">
        <v>1764</v>
      </c>
      <c r="R407">
        <v>9782</v>
      </c>
    </row>
    <row r="408" spans="1:18" x14ac:dyDescent="0.3">
      <c r="A408" t="s">
        <v>1428</v>
      </c>
      <c r="B408">
        <v>2022</v>
      </c>
      <c r="C408">
        <v>0.93118321249375358</v>
      </c>
      <c r="D408">
        <v>1440112.7147671571</v>
      </c>
      <c r="E408">
        <v>713</v>
      </c>
      <c r="F408">
        <v>351</v>
      </c>
      <c r="G408">
        <v>1.8300655925080001E-4</v>
      </c>
      <c r="H408">
        <v>30</v>
      </c>
      <c r="I408">
        <v>19</v>
      </c>
      <c r="J408">
        <v>0.2972387422693617</v>
      </c>
      <c r="K408">
        <v>-0.2322624857092791</v>
      </c>
      <c r="L408">
        <v>208803427.4539369</v>
      </c>
      <c r="M408" t="s">
        <v>191</v>
      </c>
      <c r="N408" t="s">
        <v>211</v>
      </c>
      <c r="O408" t="s">
        <v>217</v>
      </c>
      <c r="P408">
        <v>6934</v>
      </c>
      <c r="Q408">
        <v>376</v>
      </c>
      <c r="R408">
        <v>6558</v>
      </c>
    </row>
    <row r="409" spans="1:18" x14ac:dyDescent="0.3">
      <c r="A409" t="s">
        <v>1429</v>
      </c>
      <c r="B409">
        <v>2022</v>
      </c>
      <c r="C409">
        <v>3.8591361294807789</v>
      </c>
      <c r="D409">
        <v>1241601.078125</v>
      </c>
      <c r="E409">
        <v>1895</v>
      </c>
      <c r="F409">
        <v>376</v>
      </c>
      <c r="G409">
        <v>7.0438633269959995E-4</v>
      </c>
      <c r="H409">
        <v>8</v>
      </c>
      <c r="I409">
        <v>6</v>
      </c>
      <c r="L409">
        <v>50002336.075365268</v>
      </c>
      <c r="M409" t="s">
        <v>652</v>
      </c>
      <c r="N409" t="s">
        <v>809</v>
      </c>
      <c r="O409" t="s">
        <v>394</v>
      </c>
      <c r="P409">
        <v>9842</v>
      </c>
      <c r="Q409">
        <v>7893</v>
      </c>
      <c r="R409">
        <v>1949</v>
      </c>
    </row>
    <row r="410" spans="1:18" x14ac:dyDescent="0.3">
      <c r="A410" t="s">
        <v>1430</v>
      </c>
      <c r="B410">
        <v>2022</v>
      </c>
      <c r="C410">
        <v>2.2217469705135122</v>
      </c>
      <c r="D410">
        <v>747543.18995098048</v>
      </c>
      <c r="E410">
        <v>230</v>
      </c>
      <c r="F410">
        <v>415</v>
      </c>
      <c r="G410">
        <v>2.718791856234E-4</v>
      </c>
      <c r="H410">
        <v>15</v>
      </c>
      <c r="I410">
        <v>0</v>
      </c>
      <c r="J410">
        <v>0.2283076241585153</v>
      </c>
      <c r="K410">
        <v>-0.1396659338558395</v>
      </c>
      <c r="L410">
        <v>279333626.444736</v>
      </c>
      <c r="M410" t="s">
        <v>586</v>
      </c>
      <c r="N410" t="s">
        <v>587</v>
      </c>
      <c r="O410" t="s">
        <v>590</v>
      </c>
      <c r="P410">
        <v>28135</v>
      </c>
      <c r="Q410">
        <v>5570</v>
      </c>
      <c r="R410">
        <v>22565</v>
      </c>
    </row>
    <row r="411" spans="1:18" x14ac:dyDescent="0.3">
      <c r="A411" t="s">
        <v>1431</v>
      </c>
      <c r="B411">
        <v>2022</v>
      </c>
      <c r="C411">
        <v>1.36340393030343</v>
      </c>
      <c r="D411">
        <v>67183.710294117642</v>
      </c>
      <c r="E411">
        <v>50</v>
      </c>
      <c r="F411">
        <v>205</v>
      </c>
      <c r="G411">
        <v>9.207766974538E-4</v>
      </c>
      <c r="H411">
        <v>10</v>
      </c>
      <c r="I411">
        <v>7</v>
      </c>
      <c r="J411">
        <v>0.69593573780413509</v>
      </c>
      <c r="K411">
        <v>-0.31082597838025372</v>
      </c>
      <c r="L411">
        <v>223725852.82066491</v>
      </c>
      <c r="M411" t="s">
        <v>730</v>
      </c>
      <c r="N411" t="s">
        <v>731</v>
      </c>
      <c r="O411" t="s">
        <v>736</v>
      </c>
      <c r="P411">
        <v>7144</v>
      </c>
      <c r="Q411">
        <v>1581</v>
      </c>
      <c r="R411">
        <v>5563</v>
      </c>
    </row>
    <row r="412" spans="1:18" x14ac:dyDescent="0.3">
      <c r="A412" t="s">
        <v>1432</v>
      </c>
      <c r="B412">
        <v>2022</v>
      </c>
      <c r="C412">
        <v>1.3346522389838511</v>
      </c>
      <c r="D412">
        <v>993038.28125</v>
      </c>
      <c r="E412">
        <v>1234</v>
      </c>
      <c r="F412">
        <v>418</v>
      </c>
      <c r="G412">
        <v>3.8411345440269998E-4</v>
      </c>
      <c r="H412">
        <v>14</v>
      </c>
      <c r="I412">
        <v>9</v>
      </c>
      <c r="J412">
        <v>0.3351480399357164</v>
      </c>
      <c r="K412">
        <v>-0.23543792625803081</v>
      </c>
      <c r="L412">
        <v>182887694.85142329</v>
      </c>
      <c r="M412" t="s">
        <v>612</v>
      </c>
      <c r="N412" t="s">
        <v>635</v>
      </c>
      <c r="O412" t="s">
        <v>641</v>
      </c>
      <c r="P412">
        <v>4455</v>
      </c>
      <c r="Q412">
        <v>848</v>
      </c>
      <c r="R412">
        <v>3607</v>
      </c>
    </row>
    <row r="413" spans="1:18" x14ac:dyDescent="0.3">
      <c r="A413" t="s">
        <v>1433</v>
      </c>
      <c r="B413">
        <v>2022</v>
      </c>
      <c r="C413">
        <v>0.93200399497777242</v>
      </c>
      <c r="D413">
        <v>2561910.5442401958</v>
      </c>
      <c r="E413">
        <v>1123</v>
      </c>
      <c r="F413">
        <v>725</v>
      </c>
      <c r="G413">
        <v>1.6685746740369999E-4</v>
      </c>
      <c r="H413">
        <v>36</v>
      </c>
      <c r="I413">
        <v>4</v>
      </c>
      <c r="L413">
        <v>509424857.30415767</v>
      </c>
      <c r="M413" t="s">
        <v>191</v>
      </c>
      <c r="N413" t="s">
        <v>192</v>
      </c>
      <c r="O413" t="s">
        <v>197</v>
      </c>
      <c r="P413">
        <v>9098</v>
      </c>
      <c r="Q413">
        <v>4250</v>
      </c>
      <c r="R413">
        <v>4848</v>
      </c>
    </row>
    <row r="414" spans="1:18" x14ac:dyDescent="0.3">
      <c r="A414" t="s">
        <v>1434</v>
      </c>
      <c r="B414">
        <v>2022</v>
      </c>
      <c r="C414">
        <v>0.88332333637123239</v>
      </c>
      <c r="D414">
        <v>1565663.5319852941</v>
      </c>
      <c r="E414">
        <v>346</v>
      </c>
      <c r="F414">
        <v>395</v>
      </c>
      <c r="G414">
        <v>7.3607792088328875E-5</v>
      </c>
      <c r="H414">
        <v>36</v>
      </c>
      <c r="I414">
        <v>12</v>
      </c>
      <c r="J414">
        <v>0.30476091106461051</v>
      </c>
      <c r="K414">
        <v>-0.17408255750551069</v>
      </c>
      <c r="L414">
        <v>500707740.77392417</v>
      </c>
      <c r="M414" t="s">
        <v>612</v>
      </c>
      <c r="N414" t="s">
        <v>652</v>
      </c>
      <c r="O414" t="s">
        <v>652</v>
      </c>
      <c r="P414">
        <v>17293</v>
      </c>
      <c r="Q414">
        <v>3722</v>
      </c>
      <c r="R414">
        <v>13571</v>
      </c>
    </row>
    <row r="415" spans="1:18" x14ac:dyDescent="0.3">
      <c r="A415" t="s">
        <v>1435</v>
      </c>
      <c r="B415">
        <v>2022</v>
      </c>
      <c r="C415">
        <v>1.5363705630760769</v>
      </c>
      <c r="D415">
        <v>2384589.9401960778</v>
      </c>
      <c r="E415">
        <v>487</v>
      </c>
      <c r="F415">
        <v>1187</v>
      </c>
      <c r="G415">
        <v>1.7478878386079999E-4</v>
      </c>
      <c r="H415">
        <v>13</v>
      </c>
      <c r="I415">
        <v>15</v>
      </c>
      <c r="J415">
        <v>0.46809441541062968</v>
      </c>
      <c r="K415">
        <v>-0.25385596132138161</v>
      </c>
      <c r="L415">
        <v>424701164.87465948</v>
      </c>
      <c r="M415" t="s">
        <v>940</v>
      </c>
      <c r="N415" t="s">
        <v>940</v>
      </c>
      <c r="O415" t="s">
        <v>1006</v>
      </c>
      <c r="P415">
        <v>36849</v>
      </c>
      <c r="Q415">
        <v>16383</v>
      </c>
      <c r="R415">
        <v>20466</v>
      </c>
    </row>
    <row r="416" spans="1:18" x14ac:dyDescent="0.3">
      <c r="A416" t="s">
        <v>1436</v>
      </c>
      <c r="B416">
        <v>2022</v>
      </c>
      <c r="C416">
        <v>7.2998610692142147</v>
      </c>
      <c r="D416">
        <v>13837731.271691181</v>
      </c>
      <c r="E416">
        <v>8044</v>
      </c>
      <c r="F416">
        <v>1059</v>
      </c>
      <c r="G416">
        <v>2.5755974070000001E-4</v>
      </c>
      <c r="H416">
        <v>9</v>
      </c>
      <c r="I416">
        <v>80</v>
      </c>
      <c r="J416">
        <v>0.38549053783636161</v>
      </c>
      <c r="K416">
        <v>-0.29702747670959873</v>
      </c>
      <c r="L416">
        <v>135925871.89272779</v>
      </c>
      <c r="M416" t="s">
        <v>156</v>
      </c>
      <c r="N416" t="s">
        <v>157</v>
      </c>
      <c r="O416" t="s">
        <v>157</v>
      </c>
      <c r="P416">
        <v>63348</v>
      </c>
      <c r="Q416">
        <v>53245</v>
      </c>
      <c r="R416">
        <v>10103</v>
      </c>
    </row>
    <row r="417" spans="1:18" x14ac:dyDescent="0.3">
      <c r="A417" t="s">
        <v>1437</v>
      </c>
      <c r="B417">
        <v>2022</v>
      </c>
      <c r="C417">
        <v>8.6997776208768762</v>
      </c>
      <c r="D417">
        <v>22097610.578125</v>
      </c>
      <c r="E417">
        <v>5289</v>
      </c>
      <c r="F417">
        <v>2726</v>
      </c>
      <c r="G417">
        <v>1.5095415420520001E-4</v>
      </c>
      <c r="H417">
        <v>40</v>
      </c>
      <c r="I417">
        <v>46</v>
      </c>
      <c r="J417">
        <v>0.4236677538866721</v>
      </c>
      <c r="K417">
        <v>-0.16070521319676009</v>
      </c>
      <c r="L417">
        <v>255522650.7786729</v>
      </c>
      <c r="M417" t="s">
        <v>586</v>
      </c>
      <c r="N417" t="s">
        <v>597</v>
      </c>
      <c r="O417" t="s">
        <v>597</v>
      </c>
      <c r="P417">
        <v>186215</v>
      </c>
      <c r="Q417">
        <v>95171</v>
      </c>
      <c r="R417">
        <v>91044</v>
      </c>
    </row>
    <row r="418" spans="1:18" x14ac:dyDescent="0.3">
      <c r="A418" t="s">
        <v>1438</v>
      </c>
      <c r="B418">
        <v>2022</v>
      </c>
      <c r="C418">
        <v>0.65626527486372355</v>
      </c>
      <c r="D418">
        <v>1240692.328125</v>
      </c>
      <c r="E418">
        <v>526</v>
      </c>
      <c r="F418">
        <v>240</v>
      </c>
      <c r="G418">
        <v>1.7548268365439999E-4</v>
      </c>
      <c r="H418">
        <v>6</v>
      </c>
      <c r="I418">
        <v>0</v>
      </c>
      <c r="J418">
        <v>0.38802322509608389</v>
      </c>
      <c r="K418">
        <v>-0.34651350204162029</v>
      </c>
      <c r="L418">
        <v>580991657.03418493</v>
      </c>
      <c r="M418" t="s">
        <v>232</v>
      </c>
      <c r="N418" t="s">
        <v>244</v>
      </c>
      <c r="O418" t="s">
        <v>245</v>
      </c>
      <c r="P418">
        <v>8111</v>
      </c>
      <c r="Q418">
        <v>497</v>
      </c>
      <c r="R418">
        <v>7614</v>
      </c>
    </row>
    <row r="419" spans="1:18" x14ac:dyDescent="0.3">
      <c r="A419" t="s">
        <v>1439</v>
      </c>
      <c r="B419">
        <v>2022</v>
      </c>
      <c r="C419">
        <v>0.76903795542761055</v>
      </c>
      <c r="D419">
        <v>993122.9375</v>
      </c>
      <c r="E419">
        <v>700</v>
      </c>
      <c r="F419">
        <v>302</v>
      </c>
      <c r="G419">
        <v>2.8465500579000002E-4</v>
      </c>
      <c r="H419">
        <v>30</v>
      </c>
      <c r="I419">
        <v>8</v>
      </c>
      <c r="J419">
        <v>0.34043547862679641</v>
      </c>
      <c r="K419">
        <v>-0.18225014211028401</v>
      </c>
      <c r="L419">
        <v>160814804.53751159</v>
      </c>
      <c r="M419" t="s">
        <v>612</v>
      </c>
      <c r="N419" t="s">
        <v>35</v>
      </c>
      <c r="O419" t="s">
        <v>142</v>
      </c>
      <c r="P419">
        <v>5794</v>
      </c>
      <c r="Q419">
        <v>756</v>
      </c>
      <c r="R419">
        <v>5038</v>
      </c>
    </row>
    <row r="420" spans="1:18" x14ac:dyDescent="0.3">
      <c r="A420" t="s">
        <v>1440</v>
      </c>
      <c r="B420">
        <v>2022</v>
      </c>
      <c r="C420">
        <v>2.1182447261066608</v>
      </c>
      <c r="D420">
        <v>5479676.8614583332</v>
      </c>
      <c r="E420">
        <v>826</v>
      </c>
      <c r="F420">
        <v>1493</v>
      </c>
      <c r="G420">
        <v>7.0622747866389438E-5</v>
      </c>
      <c r="H420">
        <v>36</v>
      </c>
      <c r="I420">
        <v>41</v>
      </c>
      <c r="J420">
        <v>0.47185335734033362</v>
      </c>
      <c r="K420">
        <v>-0.2375623489586407</v>
      </c>
      <c r="L420">
        <v>754816762.66881049</v>
      </c>
      <c r="M420" t="s">
        <v>612</v>
      </c>
      <c r="N420" t="s">
        <v>627</v>
      </c>
      <c r="O420" t="s">
        <v>627</v>
      </c>
      <c r="P420">
        <v>84123</v>
      </c>
      <c r="Q420">
        <v>32247</v>
      </c>
      <c r="R420">
        <v>51876</v>
      </c>
    </row>
    <row r="421" spans="1:18" x14ac:dyDescent="0.3">
      <c r="A421" t="s">
        <v>1441</v>
      </c>
      <c r="B421">
        <v>2022</v>
      </c>
      <c r="C421">
        <v>37.0922059122774</v>
      </c>
      <c r="D421">
        <v>54330153.365379907</v>
      </c>
      <c r="E421">
        <v>48708</v>
      </c>
      <c r="F421">
        <v>6289</v>
      </c>
      <c r="G421">
        <v>1.063063055005E-4</v>
      </c>
      <c r="H421">
        <v>56</v>
      </c>
      <c r="I421">
        <v>52</v>
      </c>
      <c r="J421">
        <v>8.1538643603403196E-2</v>
      </c>
      <c r="K421">
        <v>-0.19189616538199919</v>
      </c>
      <c r="L421">
        <v>96215067.576395318</v>
      </c>
      <c r="M421" t="s">
        <v>612</v>
      </c>
      <c r="N421" t="s">
        <v>643</v>
      </c>
      <c r="O421" t="s">
        <v>643</v>
      </c>
      <c r="P421">
        <v>261692</v>
      </c>
      <c r="Q421">
        <v>181931</v>
      </c>
      <c r="R421">
        <v>79761</v>
      </c>
    </row>
    <row r="422" spans="1:18" x14ac:dyDescent="0.3">
      <c r="A422" t="s">
        <v>1442</v>
      </c>
      <c r="B422">
        <v>2022</v>
      </c>
      <c r="C422">
        <v>0.61822957644374565</v>
      </c>
      <c r="D422">
        <v>77905.843137254895</v>
      </c>
      <c r="E422">
        <v>189</v>
      </c>
      <c r="F422">
        <v>84</v>
      </c>
      <c r="G422">
        <v>4.575539287432E-4</v>
      </c>
      <c r="H422">
        <v>4</v>
      </c>
      <c r="I422">
        <v>0</v>
      </c>
      <c r="J422">
        <v>0.63675908441852658</v>
      </c>
      <c r="K422">
        <v>-0.28787303894951882</v>
      </c>
      <c r="L422">
        <v>307949316.47968978</v>
      </c>
      <c r="M422" t="s">
        <v>730</v>
      </c>
      <c r="N422" t="s">
        <v>743</v>
      </c>
      <c r="O422" t="s">
        <v>330</v>
      </c>
      <c r="P422">
        <v>1646</v>
      </c>
      <c r="Q422">
        <v>892</v>
      </c>
      <c r="R422">
        <v>754</v>
      </c>
    </row>
    <row r="423" spans="1:18" x14ac:dyDescent="0.3">
      <c r="A423" t="s">
        <v>1443</v>
      </c>
      <c r="B423">
        <v>2022</v>
      </c>
      <c r="C423">
        <v>0.89191431456403725</v>
      </c>
      <c r="D423">
        <v>1238288.515625</v>
      </c>
      <c r="E423">
        <v>1487</v>
      </c>
      <c r="F423">
        <v>319</v>
      </c>
      <c r="G423">
        <v>3.2841620853560002E-4</v>
      </c>
      <c r="H423">
        <v>14</v>
      </c>
      <c r="I423">
        <v>4</v>
      </c>
      <c r="J423">
        <v>0.46904782853579358</v>
      </c>
      <c r="K423">
        <v>-0.36243833065734032</v>
      </c>
      <c r="L423">
        <v>159768511.02759969</v>
      </c>
      <c r="M423" t="s">
        <v>499</v>
      </c>
      <c r="N423" t="s">
        <v>499</v>
      </c>
      <c r="O423" t="s">
        <v>509</v>
      </c>
      <c r="P423">
        <v>5487</v>
      </c>
      <c r="Q423">
        <v>3624</v>
      </c>
      <c r="R423">
        <v>1863</v>
      </c>
    </row>
    <row r="424" spans="1:18" x14ac:dyDescent="0.3">
      <c r="A424" t="s">
        <v>1444</v>
      </c>
      <c r="B424">
        <v>2022</v>
      </c>
      <c r="C424">
        <v>2.8448787292289062</v>
      </c>
      <c r="D424">
        <v>1738283.09375</v>
      </c>
      <c r="E424">
        <v>2751</v>
      </c>
      <c r="F424">
        <v>437</v>
      </c>
      <c r="G424">
        <v>2.6906445735659998E-4</v>
      </c>
      <c r="H424">
        <v>13</v>
      </c>
      <c r="I424">
        <v>4</v>
      </c>
      <c r="J424">
        <v>0.48068344232598431</v>
      </c>
      <c r="K424">
        <v>-0.30809179978294221</v>
      </c>
      <c r="L424">
        <v>130795071.9694521</v>
      </c>
      <c r="M424" t="s">
        <v>652</v>
      </c>
      <c r="N424" t="s">
        <v>803</v>
      </c>
      <c r="O424" t="s">
        <v>808</v>
      </c>
      <c r="P424">
        <v>14388</v>
      </c>
      <c r="Q424">
        <v>9005</v>
      </c>
      <c r="R424">
        <v>5383</v>
      </c>
    </row>
    <row r="425" spans="1:18" x14ac:dyDescent="0.3">
      <c r="A425" t="s">
        <v>1445</v>
      </c>
      <c r="B425">
        <v>2022</v>
      </c>
      <c r="C425">
        <v>1.7420905347949189</v>
      </c>
      <c r="D425">
        <v>3020460.8047794122</v>
      </c>
      <c r="E425">
        <v>1359</v>
      </c>
      <c r="F425">
        <v>674</v>
      </c>
      <c r="G425">
        <v>1.5941256929799999E-4</v>
      </c>
      <c r="H425">
        <v>92</v>
      </c>
      <c r="I425">
        <v>64</v>
      </c>
      <c r="J425">
        <v>0.32725532444650068</v>
      </c>
      <c r="K425">
        <v>-0.22324912249824419</v>
      </c>
      <c r="L425">
        <v>304517906.77206689</v>
      </c>
      <c r="M425" t="s">
        <v>612</v>
      </c>
      <c r="N425" t="s">
        <v>97</v>
      </c>
      <c r="O425" t="s">
        <v>620</v>
      </c>
      <c r="P425">
        <v>34688</v>
      </c>
      <c r="Q425">
        <v>8429</v>
      </c>
      <c r="R425">
        <v>26259</v>
      </c>
    </row>
    <row r="426" spans="1:18" x14ac:dyDescent="0.3">
      <c r="A426" t="s">
        <v>1446</v>
      </c>
      <c r="B426">
        <v>2022</v>
      </c>
      <c r="C426">
        <v>8.8108912297405091</v>
      </c>
      <c r="D426">
        <v>13361309.084436269</v>
      </c>
      <c r="E426">
        <v>19137</v>
      </c>
      <c r="F426">
        <v>1256</v>
      </c>
      <c r="G426">
        <v>3.2947659571369998E-4</v>
      </c>
      <c r="H426">
        <v>17</v>
      </c>
      <c r="I426">
        <v>54</v>
      </c>
      <c r="J426">
        <v>0.17075936391467611</v>
      </c>
      <c r="K426">
        <v>1.5748718757568302E-2</v>
      </c>
      <c r="L426">
        <v>98476770.138014376</v>
      </c>
      <c r="M426" t="s">
        <v>287</v>
      </c>
      <c r="N426" t="s">
        <v>309</v>
      </c>
      <c r="O426" t="s">
        <v>309</v>
      </c>
      <c r="P426">
        <v>56267</v>
      </c>
      <c r="Q426">
        <v>33009</v>
      </c>
      <c r="R426">
        <v>23258</v>
      </c>
    </row>
    <row r="427" spans="1:18" x14ac:dyDescent="0.3">
      <c r="A427" t="s">
        <v>1447</v>
      </c>
      <c r="B427">
        <v>2022</v>
      </c>
      <c r="C427">
        <v>8.4638424524671976</v>
      </c>
      <c r="D427">
        <v>12415936.640625</v>
      </c>
      <c r="E427">
        <v>16413</v>
      </c>
      <c r="F427">
        <v>1230</v>
      </c>
      <c r="G427">
        <v>5.3501220719369999E-4</v>
      </c>
      <c r="H427">
        <v>24</v>
      </c>
      <c r="I427">
        <v>12</v>
      </c>
      <c r="J427">
        <v>0.48503601281498099</v>
      </c>
      <c r="K427">
        <v>-0.1822868082801295</v>
      </c>
      <c r="L427">
        <v>147560059.4418143</v>
      </c>
      <c r="M427" t="s">
        <v>959</v>
      </c>
      <c r="N427" t="s">
        <v>960</v>
      </c>
      <c r="O427" t="s">
        <v>961</v>
      </c>
      <c r="P427">
        <v>59016</v>
      </c>
      <c r="Q427">
        <v>35312</v>
      </c>
      <c r="R427">
        <v>23704</v>
      </c>
    </row>
    <row r="428" spans="1:18" x14ac:dyDescent="0.3">
      <c r="A428" t="s">
        <v>1448</v>
      </c>
      <c r="B428">
        <v>2022</v>
      </c>
      <c r="C428">
        <v>1.018702134512508</v>
      </c>
      <c r="D428">
        <v>2476371.265625</v>
      </c>
      <c r="E428">
        <v>1232</v>
      </c>
      <c r="F428">
        <v>1286</v>
      </c>
      <c r="G428">
        <v>7.399316304126916E-5</v>
      </c>
      <c r="H428">
        <v>12</v>
      </c>
      <c r="I428">
        <v>23</v>
      </c>
      <c r="J428">
        <v>0.46980223164924029</v>
      </c>
      <c r="K428">
        <v>-0.39711908461248818</v>
      </c>
      <c r="L428">
        <v>349330560.48472393</v>
      </c>
      <c r="M428" t="s">
        <v>499</v>
      </c>
      <c r="N428" t="s">
        <v>512</v>
      </c>
      <c r="O428" t="s">
        <v>513</v>
      </c>
      <c r="P428">
        <v>19361</v>
      </c>
      <c r="Q428">
        <v>11887</v>
      </c>
      <c r="R428">
        <v>7474</v>
      </c>
    </row>
    <row r="429" spans="1:18" x14ac:dyDescent="0.3">
      <c r="A429" t="s">
        <v>1449</v>
      </c>
      <c r="B429">
        <v>2022</v>
      </c>
      <c r="C429">
        <v>1.159063783443752</v>
      </c>
      <c r="D429">
        <v>993019.234375</v>
      </c>
      <c r="E429">
        <v>1150</v>
      </c>
      <c r="F429">
        <v>170</v>
      </c>
      <c r="G429">
        <v>4.1092662107320002E-4</v>
      </c>
      <c r="H429">
        <v>21</v>
      </c>
      <c r="I429">
        <v>13</v>
      </c>
      <c r="J429">
        <v>0.37118529513885179</v>
      </c>
      <c r="K429">
        <v>-0.26719665126149411</v>
      </c>
      <c r="L429">
        <v>256787710.57124299</v>
      </c>
      <c r="M429" t="s">
        <v>612</v>
      </c>
      <c r="N429" t="s">
        <v>584</v>
      </c>
      <c r="O429" t="s">
        <v>584</v>
      </c>
      <c r="P429">
        <v>10085</v>
      </c>
      <c r="Q429">
        <v>645</v>
      </c>
      <c r="R429">
        <v>9440</v>
      </c>
    </row>
    <row r="430" spans="1:18" x14ac:dyDescent="0.3">
      <c r="A430" t="s">
        <v>1450</v>
      </c>
      <c r="B430">
        <v>2022</v>
      </c>
      <c r="C430">
        <v>35.634589514387407</v>
      </c>
      <c r="D430">
        <v>204097559.589093</v>
      </c>
      <c r="E430">
        <v>41409</v>
      </c>
      <c r="F430">
        <v>68586</v>
      </c>
      <c r="G430">
        <v>1.0293767021062221E-5</v>
      </c>
      <c r="H430">
        <v>1257</v>
      </c>
      <c r="I430">
        <v>519</v>
      </c>
      <c r="L430">
        <v>364173136.32824057</v>
      </c>
      <c r="M430" t="s">
        <v>652</v>
      </c>
      <c r="N430" t="s">
        <v>772</v>
      </c>
      <c r="O430" t="s">
        <v>773</v>
      </c>
      <c r="P430">
        <v>1772665</v>
      </c>
      <c r="Q430">
        <v>1566150</v>
      </c>
      <c r="R430">
        <v>206515</v>
      </c>
    </row>
    <row r="431" spans="1:18" x14ac:dyDescent="0.3">
      <c r="A431" t="s">
        <v>1451</v>
      </c>
      <c r="B431">
        <v>2022</v>
      </c>
      <c r="C431">
        <v>8.389404387650659</v>
      </c>
      <c r="D431">
        <v>235638.03541666671</v>
      </c>
      <c r="E431">
        <v>2293</v>
      </c>
      <c r="F431">
        <v>529</v>
      </c>
      <c r="G431">
        <v>3.6849130434400001E-4</v>
      </c>
      <c r="H431">
        <v>78</v>
      </c>
      <c r="I431">
        <v>5</v>
      </c>
      <c r="J431">
        <v>0.25500607686621268</v>
      </c>
      <c r="K431">
        <v>-8.8507438911655106E-2</v>
      </c>
      <c r="L431">
        <v>77228122.569014952</v>
      </c>
      <c r="M431" t="s">
        <v>348</v>
      </c>
      <c r="N431" t="s">
        <v>348</v>
      </c>
      <c r="O431" t="s">
        <v>356</v>
      </c>
      <c r="P431">
        <v>8930</v>
      </c>
      <c r="Q431">
        <v>3713</v>
      </c>
      <c r="R431">
        <v>5217</v>
      </c>
    </row>
    <row r="432" spans="1:18" x14ac:dyDescent="0.3">
      <c r="A432" t="s">
        <v>1452</v>
      </c>
      <c r="B432">
        <v>2022</v>
      </c>
      <c r="C432">
        <v>34.769514979344542</v>
      </c>
      <c r="D432">
        <v>19478856.363664221</v>
      </c>
      <c r="E432">
        <v>42399</v>
      </c>
      <c r="F432">
        <v>2801</v>
      </c>
      <c r="G432">
        <v>1.441708908064E-4</v>
      </c>
      <c r="H432">
        <v>36</v>
      </c>
      <c r="I432">
        <v>92</v>
      </c>
      <c r="J432">
        <v>0.21501836502959251</v>
      </c>
      <c r="K432">
        <v>-7.6765222154999299E-2</v>
      </c>
      <c r="L432">
        <v>70817049.983287379</v>
      </c>
      <c r="M432" t="s">
        <v>348</v>
      </c>
      <c r="N432" t="s">
        <v>348</v>
      </c>
      <c r="O432" t="s">
        <v>348</v>
      </c>
      <c r="P432">
        <v>168676</v>
      </c>
      <c r="Q432">
        <v>119664</v>
      </c>
      <c r="R432">
        <v>49012</v>
      </c>
    </row>
    <row r="433" spans="1:18" x14ac:dyDescent="0.3">
      <c r="A433" t="s">
        <v>1453</v>
      </c>
      <c r="B433">
        <v>2022</v>
      </c>
      <c r="C433">
        <v>15.30751365900349</v>
      </c>
      <c r="D433">
        <v>213587821.21654409</v>
      </c>
      <c r="E433">
        <v>13190</v>
      </c>
      <c r="F433">
        <v>31354</v>
      </c>
      <c r="G433">
        <v>2.1399320792392751E-5</v>
      </c>
      <c r="H433">
        <v>85</v>
      </c>
      <c r="I433">
        <v>441</v>
      </c>
      <c r="J433">
        <v>0.2723531593417462</v>
      </c>
      <c r="K433">
        <v>-0.13248575832976239</v>
      </c>
      <c r="L433">
        <v>1768389286.4875529</v>
      </c>
      <c r="M433" t="s">
        <v>406</v>
      </c>
      <c r="N433" t="s">
        <v>407</v>
      </c>
      <c r="O433" t="s">
        <v>407</v>
      </c>
      <c r="P433">
        <v>2651280</v>
      </c>
      <c r="Q433">
        <v>1910806</v>
      </c>
      <c r="R433">
        <v>740474</v>
      </c>
    </row>
    <row r="434" spans="1:18" x14ac:dyDescent="0.3">
      <c r="A434" t="s">
        <v>1454</v>
      </c>
      <c r="B434">
        <v>2022</v>
      </c>
      <c r="C434">
        <v>2.2874671731043721</v>
      </c>
      <c r="D434">
        <v>6455803.984375</v>
      </c>
      <c r="E434">
        <v>7491</v>
      </c>
      <c r="F434">
        <v>2015</v>
      </c>
      <c r="G434">
        <v>8.6635940144367345E-5</v>
      </c>
      <c r="H434">
        <v>71</v>
      </c>
      <c r="I434">
        <v>26</v>
      </c>
      <c r="J434">
        <v>0.1191691413979676</v>
      </c>
      <c r="K434">
        <v>-0.211144840309899</v>
      </c>
      <c r="L434">
        <v>248319342.95368329</v>
      </c>
      <c r="M434" t="s">
        <v>612</v>
      </c>
      <c r="N434" t="s">
        <v>656</v>
      </c>
      <c r="O434" t="s">
        <v>658</v>
      </c>
      <c r="P434">
        <v>23270</v>
      </c>
      <c r="Q434">
        <v>3611</v>
      </c>
      <c r="R434">
        <v>19659</v>
      </c>
    </row>
    <row r="435" spans="1:18" x14ac:dyDescent="0.3">
      <c r="A435" t="s">
        <v>1455</v>
      </c>
      <c r="B435">
        <v>2022</v>
      </c>
      <c r="C435">
        <v>3.211736584143261</v>
      </c>
      <c r="D435">
        <v>5702405.5128676472</v>
      </c>
      <c r="E435">
        <v>8264</v>
      </c>
      <c r="F435">
        <v>1873</v>
      </c>
      <c r="G435">
        <v>1.0277315171500001E-4</v>
      </c>
      <c r="H435">
        <v>69</v>
      </c>
      <c r="I435">
        <v>32</v>
      </c>
      <c r="J435">
        <v>0.10773746431222379</v>
      </c>
      <c r="K435">
        <v>-0.14456209012947649</v>
      </c>
      <c r="L435">
        <v>168504208.790838</v>
      </c>
      <c r="M435" t="s">
        <v>612</v>
      </c>
      <c r="N435" t="s">
        <v>656</v>
      </c>
      <c r="O435" t="s">
        <v>657</v>
      </c>
      <c r="P435">
        <v>26948</v>
      </c>
      <c r="Q435">
        <v>14933</v>
      </c>
      <c r="R435">
        <v>12015</v>
      </c>
    </row>
    <row r="436" spans="1:18" x14ac:dyDescent="0.3">
      <c r="A436" t="s">
        <v>1456</v>
      </c>
      <c r="B436">
        <v>2022</v>
      </c>
      <c r="C436">
        <v>5.9134239351128581</v>
      </c>
      <c r="D436">
        <v>1458631.9277573531</v>
      </c>
      <c r="E436">
        <v>5126</v>
      </c>
      <c r="F436">
        <v>904</v>
      </c>
      <c r="G436">
        <v>2.82962615029E-4</v>
      </c>
      <c r="H436">
        <v>39</v>
      </c>
      <c r="I436">
        <v>6</v>
      </c>
      <c r="J436">
        <v>0.28866634981207212</v>
      </c>
      <c r="K436">
        <v>-0.1153687532733642</v>
      </c>
      <c r="L436">
        <v>104068120.41231801</v>
      </c>
      <c r="M436" t="s">
        <v>348</v>
      </c>
      <c r="N436" t="s">
        <v>396</v>
      </c>
      <c r="O436" t="s">
        <v>396</v>
      </c>
      <c r="P436">
        <v>21645</v>
      </c>
      <c r="Q436">
        <v>6907</v>
      </c>
      <c r="R436">
        <v>14738</v>
      </c>
    </row>
    <row r="437" spans="1:18" x14ac:dyDescent="0.3">
      <c r="A437" t="s">
        <v>1457</v>
      </c>
      <c r="B437">
        <v>2022</v>
      </c>
      <c r="C437">
        <v>0.82165576702524268</v>
      </c>
      <c r="D437">
        <v>491752.10477941169</v>
      </c>
      <c r="E437">
        <v>1218</v>
      </c>
      <c r="F437">
        <v>240</v>
      </c>
      <c r="G437">
        <v>4.4393442420149999E-4</v>
      </c>
      <c r="H437">
        <v>56</v>
      </c>
      <c r="I437">
        <v>7</v>
      </c>
      <c r="J437">
        <v>0.24769713990668071</v>
      </c>
      <c r="K437">
        <v>-2.4461698076561601E-2</v>
      </c>
      <c r="L437">
        <v>191192605.27642411</v>
      </c>
      <c r="M437" t="s">
        <v>348</v>
      </c>
      <c r="N437" t="s">
        <v>372</v>
      </c>
      <c r="O437" t="s">
        <v>377</v>
      </c>
      <c r="P437">
        <v>4992</v>
      </c>
      <c r="Q437">
        <v>309</v>
      </c>
      <c r="R437">
        <v>4683</v>
      </c>
    </row>
    <row r="438" spans="1:18" x14ac:dyDescent="0.3">
      <c r="A438" t="s">
        <v>1458</v>
      </c>
      <c r="B438">
        <v>2022</v>
      </c>
      <c r="C438">
        <v>3.9955812214478108</v>
      </c>
      <c r="D438">
        <v>34165311.471139707</v>
      </c>
      <c r="E438">
        <v>22001</v>
      </c>
      <c r="F438">
        <v>4403</v>
      </c>
      <c r="G438">
        <v>5.4022104712526822E-5</v>
      </c>
      <c r="H438">
        <v>122</v>
      </c>
      <c r="I438">
        <v>27</v>
      </c>
      <c r="J438">
        <v>0.21551785280642061</v>
      </c>
      <c r="K438">
        <v>-0.2530815818787901</v>
      </c>
      <c r="L438">
        <v>598650570.34879041</v>
      </c>
      <c r="M438" t="s">
        <v>612</v>
      </c>
      <c r="N438" t="s">
        <v>645</v>
      </c>
      <c r="O438" t="s">
        <v>645</v>
      </c>
      <c r="P438">
        <v>96831</v>
      </c>
      <c r="Q438">
        <v>21148</v>
      </c>
      <c r="R438">
        <v>75683</v>
      </c>
    </row>
    <row r="439" spans="1:18" x14ac:dyDescent="0.3">
      <c r="A439" t="s">
        <v>1459</v>
      </c>
      <c r="B439">
        <v>2022</v>
      </c>
      <c r="C439">
        <v>0.7608616964339936</v>
      </c>
      <c r="D439">
        <v>1489926.234375</v>
      </c>
      <c r="E439">
        <v>1083</v>
      </c>
      <c r="F439">
        <v>885</v>
      </c>
      <c r="G439">
        <v>5.7616546652005887E-5</v>
      </c>
      <c r="H439">
        <v>113</v>
      </c>
      <c r="I439">
        <v>21</v>
      </c>
      <c r="J439">
        <v>0.4076625337483531</v>
      </c>
      <c r="K439">
        <v>-0.19767087616936829</v>
      </c>
      <c r="L439">
        <v>986421810.18037856</v>
      </c>
      <c r="M439" t="s">
        <v>612</v>
      </c>
      <c r="N439" t="s">
        <v>632</v>
      </c>
      <c r="O439" t="s">
        <v>632</v>
      </c>
      <c r="P439">
        <v>20170</v>
      </c>
      <c r="Q439">
        <v>3332</v>
      </c>
      <c r="R439">
        <v>16838</v>
      </c>
    </row>
    <row r="440" spans="1:18" x14ac:dyDescent="0.3">
      <c r="A440" t="s">
        <v>1460</v>
      </c>
      <c r="B440">
        <v>2022</v>
      </c>
      <c r="C440">
        <v>1.5082426213611519</v>
      </c>
      <c r="D440">
        <v>496625.328125</v>
      </c>
      <c r="E440">
        <v>2118</v>
      </c>
      <c r="F440">
        <v>199</v>
      </c>
      <c r="G440">
        <v>1.3646166558663E-3</v>
      </c>
      <c r="H440">
        <v>34</v>
      </c>
      <c r="I440">
        <v>5</v>
      </c>
      <c r="J440">
        <v>0.16860256120954201</v>
      </c>
      <c r="K440">
        <v>1.8433148578374199E-2</v>
      </c>
      <c r="L440">
        <v>142533824.0558745</v>
      </c>
      <c r="M440" t="s">
        <v>348</v>
      </c>
      <c r="N440" t="s">
        <v>372</v>
      </c>
      <c r="O440" t="s">
        <v>372</v>
      </c>
      <c r="P440">
        <v>8747</v>
      </c>
      <c r="Q440">
        <v>1233</v>
      </c>
      <c r="R440">
        <v>7514</v>
      </c>
    </row>
    <row r="441" spans="1:18" x14ac:dyDescent="0.3">
      <c r="A441" t="s">
        <v>1461</v>
      </c>
      <c r="B441">
        <v>2022</v>
      </c>
      <c r="C441">
        <v>3.6385017436700848</v>
      </c>
      <c r="D441">
        <v>5263854.6624999996</v>
      </c>
      <c r="E441">
        <v>12019</v>
      </c>
      <c r="F441">
        <v>3259</v>
      </c>
      <c r="G441">
        <v>6.6865342567574897E-5</v>
      </c>
      <c r="H441">
        <v>226</v>
      </c>
      <c r="I441">
        <v>52</v>
      </c>
      <c r="J441">
        <v>0.1920908888816017</v>
      </c>
      <c r="K441">
        <v>-0.22845774309523861</v>
      </c>
      <c r="L441">
        <v>278587073.38175052</v>
      </c>
      <c r="M441" t="s">
        <v>612</v>
      </c>
      <c r="N441" t="s">
        <v>405</v>
      </c>
      <c r="O441" t="s">
        <v>405</v>
      </c>
      <c r="P441">
        <v>42684</v>
      </c>
      <c r="Q441">
        <v>20555</v>
      </c>
      <c r="R441">
        <v>22129</v>
      </c>
    </row>
    <row r="442" spans="1:18" x14ac:dyDescent="0.3">
      <c r="A442" t="s">
        <v>1462</v>
      </c>
      <c r="B442">
        <v>2022</v>
      </c>
      <c r="C442">
        <v>0.93935701496553159</v>
      </c>
      <c r="D442">
        <v>1946.39068627451</v>
      </c>
      <c r="E442">
        <v>6</v>
      </c>
      <c r="F442">
        <v>216</v>
      </c>
      <c r="G442">
        <v>2.0849916542360001E-4</v>
      </c>
      <c r="H442">
        <v>12</v>
      </c>
      <c r="I442">
        <v>2</v>
      </c>
      <c r="J442">
        <v>0.36361917133115651</v>
      </c>
      <c r="K442">
        <v>-0.3215772669179896</v>
      </c>
      <c r="L442">
        <v>180906927.25762519</v>
      </c>
      <c r="M442" t="s">
        <v>232</v>
      </c>
      <c r="N442" t="s">
        <v>244</v>
      </c>
      <c r="O442" t="s">
        <v>253</v>
      </c>
      <c r="P442">
        <v>8530</v>
      </c>
      <c r="Q442">
        <v>773</v>
      </c>
      <c r="R442">
        <v>7757</v>
      </c>
    </row>
    <row r="443" spans="1:18" x14ac:dyDescent="0.3">
      <c r="A443" t="s">
        <v>1463</v>
      </c>
      <c r="B443">
        <v>2022</v>
      </c>
      <c r="C443">
        <v>10.303970663473191</v>
      </c>
      <c r="D443">
        <v>43895892.055024512</v>
      </c>
      <c r="E443">
        <v>51099</v>
      </c>
      <c r="F443">
        <v>6689</v>
      </c>
      <c r="G443">
        <v>4.6960328127408177E-5</v>
      </c>
      <c r="H443">
        <v>132</v>
      </c>
      <c r="I443">
        <v>149</v>
      </c>
      <c r="J443">
        <v>0.2310238205776807</v>
      </c>
      <c r="K443">
        <v>-0.2579888785410574</v>
      </c>
      <c r="L443">
        <v>415361757.8346622</v>
      </c>
      <c r="M443" t="s">
        <v>612</v>
      </c>
      <c r="N443" t="s">
        <v>613</v>
      </c>
      <c r="O443" t="s">
        <v>613</v>
      </c>
      <c r="P443">
        <v>252044</v>
      </c>
      <c r="Q443">
        <v>174246</v>
      </c>
      <c r="R443">
        <v>77798</v>
      </c>
    </row>
    <row r="444" spans="1:18" x14ac:dyDescent="0.3">
      <c r="A444" t="s">
        <v>1464</v>
      </c>
      <c r="B444">
        <v>2022</v>
      </c>
      <c r="C444">
        <v>3.062199922562975</v>
      </c>
      <c r="D444">
        <v>993148.828125</v>
      </c>
      <c r="E444">
        <v>5141</v>
      </c>
      <c r="F444">
        <v>581</v>
      </c>
      <c r="G444">
        <v>3.574322862474E-4</v>
      </c>
      <c r="H444">
        <v>64</v>
      </c>
      <c r="I444">
        <v>19</v>
      </c>
      <c r="J444">
        <v>0.3367020870661202</v>
      </c>
      <c r="K444">
        <v>-0.220683660838422</v>
      </c>
      <c r="L444">
        <v>120865842.4380302</v>
      </c>
      <c r="M444" t="s">
        <v>612</v>
      </c>
      <c r="N444" t="s">
        <v>613</v>
      </c>
      <c r="O444" t="s">
        <v>72</v>
      </c>
      <c r="P444">
        <v>16848</v>
      </c>
      <c r="Q444">
        <v>1955</v>
      </c>
      <c r="R444">
        <v>14893</v>
      </c>
    </row>
    <row r="445" spans="1:18" x14ac:dyDescent="0.3">
      <c r="A445" t="s">
        <v>1465</v>
      </c>
      <c r="B445">
        <v>2022</v>
      </c>
      <c r="C445">
        <v>1.202354706970103</v>
      </c>
      <c r="D445">
        <v>496570.09375</v>
      </c>
      <c r="E445">
        <v>2311</v>
      </c>
      <c r="F445">
        <v>300</v>
      </c>
      <c r="G445">
        <v>3.9493818663059998E-4</v>
      </c>
      <c r="H445">
        <v>43</v>
      </c>
      <c r="I445">
        <v>12</v>
      </c>
      <c r="J445">
        <v>0.3341494250628132</v>
      </c>
      <c r="K445">
        <v>-0.17343771237473221</v>
      </c>
      <c r="L445">
        <v>139082614.8431758</v>
      </c>
      <c r="M445" t="s">
        <v>612</v>
      </c>
      <c r="N445" t="s">
        <v>613</v>
      </c>
      <c r="O445" t="s">
        <v>618</v>
      </c>
      <c r="P445">
        <v>8180</v>
      </c>
      <c r="Q445">
        <v>505</v>
      </c>
      <c r="R445">
        <v>7675</v>
      </c>
    </row>
    <row r="446" spans="1:18" x14ac:dyDescent="0.3">
      <c r="A446" t="s">
        <v>1466</v>
      </c>
      <c r="B446">
        <v>2022</v>
      </c>
      <c r="C446">
        <v>4.2656221073792544</v>
      </c>
      <c r="D446">
        <v>4868.6222426470586</v>
      </c>
      <c r="E446">
        <v>286</v>
      </c>
      <c r="F446">
        <v>213</v>
      </c>
      <c r="G446">
        <v>1.1640837098405999E-3</v>
      </c>
      <c r="H446">
        <v>15</v>
      </c>
      <c r="I446">
        <v>1</v>
      </c>
      <c r="L446">
        <v>18407692.516123399</v>
      </c>
      <c r="M446" t="s">
        <v>191</v>
      </c>
      <c r="N446" t="s">
        <v>192</v>
      </c>
      <c r="O446" t="s">
        <v>196</v>
      </c>
      <c r="P446">
        <v>2467</v>
      </c>
      <c r="Q446">
        <v>1481</v>
      </c>
      <c r="R446">
        <v>986</v>
      </c>
    </row>
    <row r="447" spans="1:18" x14ac:dyDescent="0.3">
      <c r="A447" t="s">
        <v>1467</v>
      </c>
      <c r="B447">
        <v>2022</v>
      </c>
      <c r="C447">
        <v>1.0046101769521381</v>
      </c>
      <c r="D447">
        <v>18502.46078431372</v>
      </c>
      <c r="E447">
        <v>30</v>
      </c>
      <c r="F447">
        <v>910</v>
      </c>
      <c r="G447">
        <v>7.3338342493053485E-5</v>
      </c>
      <c r="H447">
        <v>9</v>
      </c>
      <c r="I447">
        <v>8</v>
      </c>
      <c r="J447">
        <v>0.48695999231545101</v>
      </c>
      <c r="K447">
        <v>-0.21940821107218109</v>
      </c>
      <c r="L447">
        <v>695708834.03387284</v>
      </c>
      <c r="M447" t="s">
        <v>652</v>
      </c>
      <c r="N447" t="s">
        <v>829</v>
      </c>
      <c r="O447" t="s">
        <v>829</v>
      </c>
      <c r="P447">
        <v>25043</v>
      </c>
      <c r="Q447">
        <v>8237</v>
      </c>
      <c r="R447">
        <v>16806</v>
      </c>
    </row>
    <row r="448" spans="1:18" x14ac:dyDescent="0.3">
      <c r="A448" t="s">
        <v>1468</v>
      </c>
      <c r="B448">
        <v>2022</v>
      </c>
      <c r="C448">
        <v>0.99033179907850444</v>
      </c>
      <c r="D448">
        <v>1489949.28125</v>
      </c>
      <c r="E448">
        <v>4872</v>
      </c>
      <c r="F448">
        <v>1904</v>
      </c>
      <c r="G448">
        <v>6.4031141018292676E-5</v>
      </c>
      <c r="H448">
        <v>116</v>
      </c>
      <c r="I448">
        <v>41</v>
      </c>
      <c r="J448">
        <v>0.22705526677367091</v>
      </c>
      <c r="K448">
        <v>-0.1916345278005907</v>
      </c>
      <c r="L448">
        <v>568072935.45889437</v>
      </c>
      <c r="M448" t="s">
        <v>612</v>
      </c>
      <c r="N448" t="s">
        <v>671</v>
      </c>
      <c r="O448" t="s">
        <v>671</v>
      </c>
      <c r="P448">
        <v>16568</v>
      </c>
      <c r="Q448">
        <v>5414</v>
      </c>
      <c r="R448">
        <v>11154</v>
      </c>
    </row>
    <row r="449" spans="1:18" x14ac:dyDescent="0.3">
      <c r="A449" t="s">
        <v>1469</v>
      </c>
      <c r="B449">
        <v>2022</v>
      </c>
      <c r="C449">
        <v>0.99404056306395405</v>
      </c>
      <c r="D449">
        <v>744907.984375</v>
      </c>
      <c r="E449">
        <v>3641</v>
      </c>
      <c r="F449">
        <v>1278</v>
      </c>
      <c r="G449">
        <v>1.0711960846949999E-4</v>
      </c>
      <c r="H449">
        <v>114</v>
      </c>
      <c r="I449">
        <v>32</v>
      </c>
      <c r="J449">
        <v>0.37518908694362391</v>
      </c>
      <c r="K449">
        <v>-0.29182247289940189</v>
      </c>
      <c r="L449">
        <v>206220877.80385321</v>
      </c>
      <c r="M449" t="s">
        <v>612</v>
      </c>
      <c r="N449" t="s">
        <v>622</v>
      </c>
      <c r="O449" t="s">
        <v>624</v>
      </c>
      <c r="P449">
        <v>11132</v>
      </c>
      <c r="Q449">
        <v>776</v>
      </c>
      <c r="R449">
        <v>10356</v>
      </c>
    </row>
    <row r="450" spans="1:18" x14ac:dyDescent="0.3">
      <c r="A450" t="s">
        <v>1470</v>
      </c>
      <c r="B450">
        <v>2022</v>
      </c>
      <c r="C450">
        <v>0.69433415758294281</v>
      </c>
      <c r="D450">
        <v>248325.625</v>
      </c>
      <c r="E450">
        <v>1668</v>
      </c>
      <c r="F450">
        <v>611</v>
      </c>
      <c r="G450">
        <v>1.6697250340080001E-4</v>
      </c>
      <c r="H450">
        <v>87</v>
      </c>
      <c r="I450">
        <v>34</v>
      </c>
      <c r="J450">
        <v>0.34450698138181762</v>
      </c>
      <c r="K450">
        <v>-0.24795127841476891</v>
      </c>
      <c r="L450">
        <v>231323090.891729</v>
      </c>
      <c r="M450" t="s">
        <v>612</v>
      </c>
      <c r="N450" t="s">
        <v>665</v>
      </c>
      <c r="O450" t="s">
        <v>667</v>
      </c>
      <c r="P450">
        <v>6135</v>
      </c>
      <c r="Q450">
        <v>209</v>
      </c>
      <c r="R450">
        <v>5926</v>
      </c>
    </row>
    <row r="451" spans="1:18" x14ac:dyDescent="0.3">
      <c r="A451" t="s">
        <v>1471</v>
      </c>
      <c r="B451">
        <v>2022</v>
      </c>
      <c r="C451">
        <v>1.996044867653386</v>
      </c>
      <c r="D451">
        <v>2483036.09375</v>
      </c>
      <c r="E451">
        <v>9688</v>
      </c>
      <c r="F451">
        <v>2457</v>
      </c>
      <c r="G451">
        <v>6.8080640062677107E-5</v>
      </c>
      <c r="H451">
        <v>163</v>
      </c>
      <c r="I451">
        <v>57</v>
      </c>
      <c r="J451">
        <v>0.1100744791313787</v>
      </c>
      <c r="K451">
        <v>-0.18376665602080369</v>
      </c>
      <c r="L451">
        <v>248055289.69217429</v>
      </c>
      <c r="M451" t="s">
        <v>612</v>
      </c>
      <c r="N451" t="s">
        <v>659</v>
      </c>
      <c r="O451" t="s">
        <v>659</v>
      </c>
      <c r="P451">
        <v>31306</v>
      </c>
      <c r="Q451">
        <v>12525</v>
      </c>
      <c r="R451">
        <v>18781</v>
      </c>
    </row>
    <row r="452" spans="1:18" x14ac:dyDescent="0.3">
      <c r="A452" t="s">
        <v>1472</v>
      </c>
      <c r="B452">
        <v>2022</v>
      </c>
      <c r="C452">
        <v>0.53747005077454224</v>
      </c>
      <c r="D452">
        <v>496233.28125</v>
      </c>
      <c r="E452">
        <v>2325</v>
      </c>
      <c r="F452">
        <v>353</v>
      </c>
      <c r="G452">
        <v>3.930771947269E-4</v>
      </c>
      <c r="H452">
        <v>25</v>
      </c>
      <c r="I452">
        <v>4</v>
      </c>
      <c r="J452">
        <v>0.60858717217612179</v>
      </c>
      <c r="K452">
        <v>-0.25345862570576472</v>
      </c>
      <c r="L452">
        <v>1326085100.118645</v>
      </c>
      <c r="M452" t="s">
        <v>674</v>
      </c>
      <c r="N452" t="s">
        <v>719</v>
      </c>
      <c r="O452" t="s">
        <v>719</v>
      </c>
      <c r="P452">
        <v>7812</v>
      </c>
      <c r="Q452">
        <v>796</v>
      </c>
      <c r="R452">
        <v>7016</v>
      </c>
    </row>
    <row r="453" spans="1:18" x14ac:dyDescent="0.3">
      <c r="A453" t="s">
        <v>1473</v>
      </c>
      <c r="B453">
        <v>2022</v>
      </c>
      <c r="C453">
        <v>0.87138714119240246</v>
      </c>
      <c r="D453">
        <v>993281.453125</v>
      </c>
      <c r="E453">
        <v>5003</v>
      </c>
      <c r="F453">
        <v>1301</v>
      </c>
      <c r="G453">
        <v>9.1330597671794998E-5</v>
      </c>
      <c r="H453">
        <v>118</v>
      </c>
      <c r="I453">
        <v>40</v>
      </c>
      <c r="J453">
        <v>0.20948667966879739</v>
      </c>
      <c r="K453">
        <v>-0.23285108618725081</v>
      </c>
      <c r="L453">
        <v>276164275.21635699</v>
      </c>
      <c r="M453" t="s">
        <v>612</v>
      </c>
      <c r="N453" t="s">
        <v>656</v>
      </c>
      <c r="O453" t="s">
        <v>176</v>
      </c>
      <c r="P453">
        <v>12196</v>
      </c>
      <c r="Q453">
        <v>2697</v>
      </c>
      <c r="R453">
        <v>9499</v>
      </c>
    </row>
    <row r="454" spans="1:18" x14ac:dyDescent="0.3">
      <c r="A454" t="s">
        <v>1474</v>
      </c>
      <c r="B454">
        <v>2022</v>
      </c>
      <c r="C454">
        <v>1.274496663477785</v>
      </c>
      <c r="D454">
        <v>993178.34375</v>
      </c>
      <c r="E454">
        <v>4069</v>
      </c>
      <c r="F454">
        <v>745</v>
      </c>
      <c r="G454">
        <v>2.0306895778629999E-4</v>
      </c>
      <c r="H454">
        <v>72</v>
      </c>
      <c r="I454">
        <v>48</v>
      </c>
      <c r="J454">
        <v>0.2895511482742294</v>
      </c>
      <c r="K454">
        <v>-0.21943060274778689</v>
      </c>
      <c r="L454">
        <v>266969524.63654509</v>
      </c>
      <c r="M454" t="s">
        <v>612</v>
      </c>
      <c r="N454" t="s">
        <v>642</v>
      </c>
      <c r="O454" t="s">
        <v>642</v>
      </c>
      <c r="P454">
        <v>22323</v>
      </c>
      <c r="Q454">
        <v>5487</v>
      </c>
      <c r="R454">
        <v>16836</v>
      </c>
    </row>
    <row r="455" spans="1:18" x14ac:dyDescent="0.3">
      <c r="A455" t="s">
        <v>1475</v>
      </c>
      <c r="B455">
        <v>2022</v>
      </c>
      <c r="C455">
        <v>1.23063515622635</v>
      </c>
      <c r="D455">
        <v>252192.4244485294</v>
      </c>
      <c r="E455">
        <v>464</v>
      </c>
      <c r="F455">
        <v>917</v>
      </c>
      <c r="G455">
        <v>9.9131310382077838E-5</v>
      </c>
      <c r="H455">
        <v>22</v>
      </c>
      <c r="I455">
        <v>22</v>
      </c>
      <c r="J455">
        <v>0.57910734499844796</v>
      </c>
      <c r="K455">
        <v>-0.27473659570265868</v>
      </c>
      <c r="L455">
        <v>969553202.89237964</v>
      </c>
      <c r="M455" t="s">
        <v>586</v>
      </c>
      <c r="N455" t="s">
        <v>609</v>
      </c>
      <c r="O455" t="s">
        <v>609</v>
      </c>
      <c r="P455">
        <v>51496</v>
      </c>
      <c r="Q455">
        <v>9130</v>
      </c>
      <c r="R455">
        <v>42366</v>
      </c>
    </row>
    <row r="456" spans="1:18" x14ac:dyDescent="0.3">
      <c r="A456" t="s">
        <v>1476</v>
      </c>
      <c r="B456">
        <v>2022</v>
      </c>
      <c r="C456">
        <v>0.6638483458178237</v>
      </c>
      <c r="D456">
        <v>496641.046875</v>
      </c>
      <c r="E456">
        <v>4104</v>
      </c>
      <c r="F456">
        <v>1361</v>
      </c>
      <c r="G456">
        <v>9.2626851236916083E-5</v>
      </c>
      <c r="H456">
        <v>164</v>
      </c>
      <c r="I456">
        <v>33</v>
      </c>
      <c r="J456">
        <v>0.30252439511138529</v>
      </c>
      <c r="K456">
        <v>-0.28249601809067121</v>
      </c>
      <c r="L456">
        <v>335733536.44926882</v>
      </c>
      <c r="M456" t="s">
        <v>612</v>
      </c>
      <c r="N456" t="s">
        <v>622</v>
      </c>
      <c r="O456" t="s">
        <v>357</v>
      </c>
      <c r="P456">
        <v>6566</v>
      </c>
      <c r="Q456">
        <v>314</v>
      </c>
      <c r="R456">
        <v>6252</v>
      </c>
    </row>
    <row r="457" spans="1:18" x14ac:dyDescent="0.3">
      <c r="A457" t="s">
        <v>1477</v>
      </c>
      <c r="B457">
        <v>2022</v>
      </c>
      <c r="C457">
        <v>1.472909187058866</v>
      </c>
      <c r="D457">
        <v>10925573.53125</v>
      </c>
      <c r="E457">
        <v>18931</v>
      </c>
      <c r="F457">
        <v>4185</v>
      </c>
      <c r="G457">
        <v>2.9285951202797851E-5</v>
      </c>
      <c r="H457">
        <v>482</v>
      </c>
      <c r="I457">
        <v>89</v>
      </c>
      <c r="J457">
        <v>0.39114882527062639</v>
      </c>
      <c r="K457">
        <v>-0.20951237912787621</v>
      </c>
      <c r="L457">
        <v>805939691.99742532</v>
      </c>
      <c r="M457" t="s">
        <v>612</v>
      </c>
      <c r="N457" t="s">
        <v>622</v>
      </c>
      <c r="O457" t="s">
        <v>622</v>
      </c>
      <c r="P457">
        <v>76186</v>
      </c>
      <c r="Q457">
        <v>34704</v>
      </c>
      <c r="R457">
        <v>41482</v>
      </c>
    </row>
    <row r="458" spans="1:18" x14ac:dyDescent="0.3">
      <c r="A458" t="s">
        <v>1478</v>
      </c>
      <c r="B458">
        <v>2022</v>
      </c>
      <c r="C458">
        <v>1.5004689620968961</v>
      </c>
      <c r="D458">
        <v>541420.49595588236</v>
      </c>
      <c r="E458">
        <v>5847</v>
      </c>
      <c r="F458">
        <v>1660</v>
      </c>
      <c r="G458">
        <v>1.098771738294E-4</v>
      </c>
      <c r="H458">
        <v>73</v>
      </c>
      <c r="I458">
        <v>33</v>
      </c>
      <c r="J458">
        <v>0.14980297508755619</v>
      </c>
      <c r="K458">
        <v>-0.19451917922458309</v>
      </c>
      <c r="L458">
        <v>337808720.50793481</v>
      </c>
      <c r="M458" t="s">
        <v>612</v>
      </c>
      <c r="N458" t="s">
        <v>91</v>
      </c>
      <c r="O458" t="s">
        <v>91</v>
      </c>
      <c r="P458">
        <v>16849</v>
      </c>
      <c r="Q458">
        <v>5923</v>
      </c>
      <c r="R458">
        <v>10926</v>
      </c>
    </row>
    <row r="459" spans="1:18" x14ac:dyDescent="0.3">
      <c r="A459" t="s">
        <v>1479</v>
      </c>
      <c r="B459">
        <v>2022</v>
      </c>
      <c r="C459">
        <v>1.301271010498418</v>
      </c>
      <c r="D459">
        <v>2249543.1831495101</v>
      </c>
      <c r="E459">
        <v>8861</v>
      </c>
      <c r="F459">
        <v>1560</v>
      </c>
      <c r="G459">
        <v>1.003714286854E-4</v>
      </c>
      <c r="H459">
        <v>92</v>
      </c>
      <c r="I459">
        <v>26</v>
      </c>
      <c r="J459">
        <v>0.3594191099992583</v>
      </c>
      <c r="K459">
        <v>-0.1343282676422744</v>
      </c>
      <c r="L459">
        <v>696198926.3387481</v>
      </c>
      <c r="M459" t="s">
        <v>612</v>
      </c>
      <c r="N459" t="s">
        <v>665</v>
      </c>
      <c r="O459" t="s">
        <v>665</v>
      </c>
      <c r="P459">
        <v>43002</v>
      </c>
      <c r="Q459">
        <v>12239</v>
      </c>
      <c r="R459">
        <v>30763</v>
      </c>
    </row>
    <row r="460" spans="1:18" x14ac:dyDescent="0.3">
      <c r="A460" t="s">
        <v>1480</v>
      </c>
      <c r="B460">
        <v>2022</v>
      </c>
      <c r="C460">
        <v>4.1175950060035724</v>
      </c>
      <c r="D460">
        <v>727443.44448529417</v>
      </c>
      <c r="E460">
        <v>3071</v>
      </c>
      <c r="F460">
        <v>7193</v>
      </c>
      <c r="G460">
        <v>4.3615855894067522E-5</v>
      </c>
      <c r="H460">
        <v>49</v>
      </c>
      <c r="I460">
        <v>195</v>
      </c>
      <c r="J460">
        <v>0.49847134607180588</v>
      </c>
      <c r="K460">
        <v>-0.24755369511196629</v>
      </c>
      <c r="L460">
        <v>1072857311.765041</v>
      </c>
      <c r="M460" t="s">
        <v>990</v>
      </c>
      <c r="N460" t="s">
        <v>991</v>
      </c>
      <c r="O460" t="s">
        <v>992</v>
      </c>
      <c r="P460">
        <v>371880</v>
      </c>
      <c r="Q460">
        <v>228236</v>
      </c>
      <c r="R460">
        <v>143644</v>
      </c>
    </row>
    <row r="461" spans="1:18" x14ac:dyDescent="0.3">
      <c r="A461" t="s">
        <v>1481</v>
      </c>
      <c r="B461">
        <v>2022</v>
      </c>
      <c r="C461">
        <v>1.673393915534173</v>
      </c>
      <c r="D461">
        <v>8763.7433823529409</v>
      </c>
      <c r="E461">
        <v>537</v>
      </c>
      <c r="F461">
        <v>536</v>
      </c>
      <c r="G461">
        <v>2.3669789872169999E-4</v>
      </c>
      <c r="H461">
        <v>25</v>
      </c>
      <c r="I461">
        <v>7</v>
      </c>
      <c r="L461">
        <v>139670837.62026519</v>
      </c>
      <c r="M461" t="s">
        <v>191</v>
      </c>
      <c r="N461" t="s">
        <v>192</v>
      </c>
      <c r="O461" t="s">
        <v>200</v>
      </c>
      <c r="P461">
        <v>14881</v>
      </c>
      <c r="Q461">
        <v>5990</v>
      </c>
      <c r="R461">
        <v>8891</v>
      </c>
    </row>
    <row r="462" spans="1:18" x14ac:dyDescent="0.3">
      <c r="A462" t="s">
        <v>1482</v>
      </c>
      <c r="B462">
        <v>2022</v>
      </c>
      <c r="C462">
        <v>0.68648751345152881</v>
      </c>
      <c r="D462">
        <v>973.8287990196078</v>
      </c>
      <c r="E462">
        <v>807</v>
      </c>
      <c r="F462">
        <v>117</v>
      </c>
      <c r="G462">
        <v>1.4624890081916999E-3</v>
      </c>
      <c r="H462">
        <v>15</v>
      </c>
      <c r="I462">
        <v>0</v>
      </c>
      <c r="J462">
        <v>0.67836690274583844</v>
      </c>
      <c r="K462">
        <v>-0.30203662988838959</v>
      </c>
      <c r="L462">
        <v>243119461.47969231</v>
      </c>
      <c r="M462" t="s">
        <v>922</v>
      </c>
      <c r="N462" t="s">
        <v>931</v>
      </c>
      <c r="O462" t="s">
        <v>931</v>
      </c>
      <c r="P462">
        <v>3542</v>
      </c>
      <c r="Q462">
        <v>1005</v>
      </c>
      <c r="R462">
        <v>2537</v>
      </c>
    </row>
    <row r="463" spans="1:18" x14ac:dyDescent="0.3">
      <c r="A463" t="s">
        <v>1483</v>
      </c>
      <c r="B463">
        <v>2022</v>
      </c>
      <c r="C463">
        <v>3.0602513022400242</v>
      </c>
      <c r="D463">
        <v>0</v>
      </c>
      <c r="E463">
        <v>17</v>
      </c>
      <c r="F463">
        <v>233</v>
      </c>
      <c r="G463">
        <v>3.5389608849319999E-4</v>
      </c>
      <c r="H463">
        <v>14</v>
      </c>
      <c r="I463">
        <v>1</v>
      </c>
      <c r="J463">
        <v>0.5651846430296994</v>
      </c>
      <c r="K463">
        <v>-0.36512546521271549</v>
      </c>
      <c r="L463">
        <v>75087530.547706649</v>
      </c>
      <c r="M463" t="s">
        <v>20</v>
      </c>
      <c r="N463" t="s">
        <v>21</v>
      </c>
      <c r="O463" t="s">
        <v>23</v>
      </c>
      <c r="P463">
        <v>6455</v>
      </c>
      <c r="Q463">
        <v>2832</v>
      </c>
      <c r="R463">
        <v>3623</v>
      </c>
    </row>
    <row r="464" spans="1:18" x14ac:dyDescent="0.3">
      <c r="A464" t="s">
        <v>1484</v>
      </c>
      <c r="B464">
        <v>2022</v>
      </c>
      <c r="C464">
        <v>1.570451253403343</v>
      </c>
      <c r="D464">
        <v>0</v>
      </c>
      <c r="E464">
        <v>1</v>
      </c>
      <c r="F464">
        <v>214</v>
      </c>
      <c r="G464">
        <v>2.6972325810530002E-4</v>
      </c>
      <c r="H464">
        <v>34</v>
      </c>
      <c r="I464">
        <v>1</v>
      </c>
      <c r="J464">
        <v>0.54521137773070427</v>
      </c>
      <c r="K464">
        <v>-0.35670436348821899</v>
      </c>
      <c r="L464">
        <v>116932262.59844039</v>
      </c>
      <c r="M464" t="s">
        <v>20</v>
      </c>
      <c r="N464" t="s">
        <v>21</v>
      </c>
      <c r="O464" t="s">
        <v>32</v>
      </c>
      <c r="P464">
        <v>7318</v>
      </c>
      <c r="Q464">
        <v>1607</v>
      </c>
      <c r="R464">
        <v>5711</v>
      </c>
    </row>
    <row r="465" spans="1:18" x14ac:dyDescent="0.3">
      <c r="A465" t="s">
        <v>1485</v>
      </c>
      <c r="B465">
        <v>2022</v>
      </c>
      <c r="C465">
        <v>3.099877089127216</v>
      </c>
      <c r="D465">
        <v>0</v>
      </c>
      <c r="E465">
        <v>370</v>
      </c>
      <c r="F465">
        <v>508</v>
      </c>
      <c r="G465">
        <v>1.3976087433469999E-4</v>
      </c>
      <c r="H465">
        <v>31</v>
      </c>
      <c r="I465">
        <v>4</v>
      </c>
      <c r="J465">
        <v>0.5899385878350204</v>
      </c>
      <c r="K465">
        <v>-0.37874209814042459</v>
      </c>
      <c r="L465">
        <v>150843833.19003391</v>
      </c>
      <c r="M465" t="s">
        <v>20</v>
      </c>
      <c r="N465" t="s">
        <v>21</v>
      </c>
      <c r="O465" t="s">
        <v>39</v>
      </c>
      <c r="P465">
        <v>14144</v>
      </c>
      <c r="Q465">
        <v>7382</v>
      </c>
      <c r="R465">
        <v>6762</v>
      </c>
    </row>
    <row r="466" spans="1:18" x14ac:dyDescent="0.3">
      <c r="A466" t="s">
        <v>1486</v>
      </c>
      <c r="B466">
        <v>2022</v>
      </c>
      <c r="C466">
        <v>1.453943046269041</v>
      </c>
      <c r="D466">
        <v>0</v>
      </c>
      <c r="E466">
        <v>117</v>
      </c>
      <c r="F466">
        <v>323</v>
      </c>
      <c r="G466">
        <v>1.862539855214E-4</v>
      </c>
      <c r="H466">
        <v>18</v>
      </c>
      <c r="I466">
        <v>1</v>
      </c>
      <c r="J466">
        <v>0.59324862729522954</v>
      </c>
      <c r="K466">
        <v>-0.39138768774924959</v>
      </c>
      <c r="L466">
        <v>196096488.2647514</v>
      </c>
      <c r="M466" t="s">
        <v>20</v>
      </c>
      <c r="N466" t="s">
        <v>21</v>
      </c>
      <c r="O466" t="s">
        <v>42</v>
      </c>
      <c r="P466">
        <v>6654</v>
      </c>
      <c r="Q466">
        <v>2457</v>
      </c>
      <c r="R466">
        <v>4197</v>
      </c>
    </row>
    <row r="467" spans="1:18" x14ac:dyDescent="0.3">
      <c r="A467" t="s">
        <v>1487</v>
      </c>
      <c r="B467">
        <v>2022</v>
      </c>
      <c r="C467">
        <v>1.4272838985623779</v>
      </c>
      <c r="D467">
        <v>0</v>
      </c>
      <c r="E467">
        <v>222</v>
      </c>
      <c r="F467">
        <v>63</v>
      </c>
      <c r="G467">
        <v>1.1012096666359E-3</v>
      </c>
      <c r="H467">
        <v>1</v>
      </c>
      <c r="I467">
        <v>0</v>
      </c>
      <c r="J467">
        <v>0.59008196679938907</v>
      </c>
      <c r="K467">
        <v>-0.37675519694019738</v>
      </c>
      <c r="L467">
        <v>49493657.08358369</v>
      </c>
      <c r="M467" t="s">
        <v>20</v>
      </c>
      <c r="N467" t="s">
        <v>43</v>
      </c>
      <c r="O467" t="s">
        <v>45</v>
      </c>
      <c r="P467">
        <v>1058</v>
      </c>
      <c r="Q467">
        <v>716</v>
      </c>
      <c r="R467">
        <v>342</v>
      </c>
    </row>
    <row r="468" spans="1:18" x14ac:dyDescent="0.3">
      <c r="A468" t="s">
        <v>1488</v>
      </c>
      <c r="B468">
        <v>2022</v>
      </c>
      <c r="C468">
        <v>2.3588871591661449</v>
      </c>
      <c r="D468">
        <v>0</v>
      </c>
      <c r="E468">
        <v>1</v>
      </c>
      <c r="F468">
        <v>149</v>
      </c>
      <c r="G468">
        <v>5.1109007531300005E-4</v>
      </c>
      <c r="H468">
        <v>2</v>
      </c>
      <c r="I468">
        <v>0</v>
      </c>
      <c r="J468">
        <v>0.54354910079075847</v>
      </c>
      <c r="K468">
        <v>-0.33159596232960359</v>
      </c>
      <c r="L468">
        <v>52563529.797149137</v>
      </c>
      <c r="M468" t="s">
        <v>20</v>
      </c>
      <c r="N468" t="s">
        <v>46</v>
      </c>
      <c r="O468" t="s">
        <v>48</v>
      </c>
      <c r="P468">
        <v>4580</v>
      </c>
      <c r="Q468">
        <v>1732</v>
      </c>
      <c r="R468">
        <v>2848</v>
      </c>
    </row>
    <row r="469" spans="1:18" x14ac:dyDescent="0.3">
      <c r="A469" t="s">
        <v>1489</v>
      </c>
      <c r="B469">
        <v>2022</v>
      </c>
      <c r="C469">
        <v>1.0330303812747961</v>
      </c>
      <c r="D469">
        <v>0</v>
      </c>
      <c r="E469">
        <v>4</v>
      </c>
      <c r="F469">
        <v>127</v>
      </c>
      <c r="G469">
        <v>2.8901654699860002E-4</v>
      </c>
      <c r="H469">
        <v>14</v>
      </c>
      <c r="I469">
        <v>2</v>
      </c>
      <c r="J469">
        <v>0.51968482875769462</v>
      </c>
      <c r="K469">
        <v>-0.35124497706591251</v>
      </c>
      <c r="L469">
        <v>123826751.09540311</v>
      </c>
      <c r="M469" t="s">
        <v>20</v>
      </c>
      <c r="N469" t="s">
        <v>55</v>
      </c>
      <c r="O469" t="s">
        <v>58</v>
      </c>
      <c r="P469">
        <v>1310</v>
      </c>
      <c r="Q469">
        <v>604</v>
      </c>
      <c r="R469">
        <v>706</v>
      </c>
    </row>
    <row r="470" spans="1:18" x14ac:dyDescent="0.3">
      <c r="A470" t="s">
        <v>1490</v>
      </c>
      <c r="B470">
        <v>2022</v>
      </c>
      <c r="C470">
        <v>1.876107921597165</v>
      </c>
      <c r="D470">
        <v>0</v>
      </c>
      <c r="E470">
        <v>1</v>
      </c>
      <c r="F470">
        <v>130</v>
      </c>
      <c r="G470">
        <v>3.1308634561569998E-4</v>
      </c>
      <c r="H470">
        <v>15</v>
      </c>
      <c r="I470">
        <v>1</v>
      </c>
      <c r="J470">
        <v>0.58941179419792289</v>
      </c>
      <c r="K470">
        <v>-0.34516442484216348</v>
      </c>
      <c r="L470">
        <v>38730847.728334107</v>
      </c>
      <c r="M470" t="s">
        <v>20</v>
      </c>
      <c r="N470" t="s">
        <v>59</v>
      </c>
      <c r="O470" t="s">
        <v>60</v>
      </c>
      <c r="P470">
        <v>1911</v>
      </c>
      <c r="Q470">
        <v>1039</v>
      </c>
      <c r="R470">
        <v>872</v>
      </c>
    </row>
    <row r="471" spans="1:18" x14ac:dyDescent="0.3">
      <c r="A471" t="s">
        <v>1491</v>
      </c>
      <c r="B471">
        <v>2022</v>
      </c>
      <c r="C471">
        <v>0.90181085944711936</v>
      </c>
      <c r="D471">
        <v>0</v>
      </c>
      <c r="E471">
        <v>75</v>
      </c>
      <c r="F471">
        <v>409</v>
      </c>
      <c r="G471">
        <v>9.6384241748702197E-5</v>
      </c>
      <c r="H471">
        <v>32</v>
      </c>
      <c r="I471">
        <v>2</v>
      </c>
      <c r="J471">
        <v>0.54118364141426956</v>
      </c>
      <c r="K471">
        <v>-0.30444265339138948</v>
      </c>
      <c r="L471">
        <v>569922043.81420422</v>
      </c>
      <c r="M471" t="s">
        <v>20</v>
      </c>
      <c r="N471" t="s">
        <v>67</v>
      </c>
      <c r="O471" t="s">
        <v>67</v>
      </c>
      <c r="P471">
        <v>7976</v>
      </c>
      <c r="Q471">
        <v>2677</v>
      </c>
      <c r="R471">
        <v>5299</v>
      </c>
    </row>
    <row r="472" spans="1:18" x14ac:dyDescent="0.3">
      <c r="A472" t="s">
        <v>1492</v>
      </c>
      <c r="B472">
        <v>2022</v>
      </c>
      <c r="C472">
        <v>0.92411024115740559</v>
      </c>
      <c r="D472">
        <v>0</v>
      </c>
      <c r="E472">
        <v>4</v>
      </c>
      <c r="F472">
        <v>87</v>
      </c>
      <c r="G472">
        <v>5.2217982069890001E-4</v>
      </c>
      <c r="H472">
        <v>7</v>
      </c>
      <c r="I472">
        <v>1</v>
      </c>
      <c r="J472">
        <v>0.60165638072021876</v>
      </c>
      <c r="K472">
        <v>-0.32138739952350592</v>
      </c>
      <c r="L472">
        <v>68583013.997363567</v>
      </c>
      <c r="M472" t="s">
        <v>20</v>
      </c>
      <c r="N472" t="s">
        <v>67</v>
      </c>
      <c r="O472" t="s">
        <v>68</v>
      </c>
      <c r="P472">
        <v>1692</v>
      </c>
      <c r="Q472">
        <v>754</v>
      </c>
      <c r="R472">
        <v>938</v>
      </c>
    </row>
    <row r="473" spans="1:18" x14ac:dyDescent="0.3">
      <c r="A473" t="s">
        <v>1493</v>
      </c>
      <c r="B473">
        <v>2022</v>
      </c>
      <c r="C473">
        <v>0.7574741417535602</v>
      </c>
      <c r="D473">
        <v>0</v>
      </c>
      <c r="E473">
        <v>3</v>
      </c>
      <c r="F473">
        <v>152</v>
      </c>
      <c r="G473">
        <v>2.5749771697440002E-4</v>
      </c>
      <c r="H473">
        <v>10</v>
      </c>
      <c r="I473">
        <v>1</v>
      </c>
      <c r="J473">
        <v>0.52032745917983514</v>
      </c>
      <c r="K473">
        <v>-0.35177847019106839</v>
      </c>
      <c r="L473">
        <v>279257662.78823411</v>
      </c>
      <c r="M473" t="s">
        <v>20</v>
      </c>
      <c r="N473" t="s">
        <v>71</v>
      </c>
      <c r="O473" t="s">
        <v>74</v>
      </c>
      <c r="P473">
        <v>1849</v>
      </c>
      <c r="Q473">
        <v>372</v>
      </c>
      <c r="R473">
        <v>1477</v>
      </c>
    </row>
    <row r="474" spans="1:18" x14ac:dyDescent="0.3">
      <c r="A474" t="s">
        <v>1494</v>
      </c>
      <c r="B474">
        <v>2022</v>
      </c>
      <c r="C474">
        <v>0.8877778838993885</v>
      </c>
      <c r="D474">
        <v>0</v>
      </c>
      <c r="E474">
        <v>1</v>
      </c>
      <c r="F474">
        <v>108</v>
      </c>
      <c r="G474">
        <v>4.476131639673E-4</v>
      </c>
      <c r="H474">
        <v>8</v>
      </c>
      <c r="I474">
        <v>0</v>
      </c>
      <c r="J474">
        <v>0.58083021191269502</v>
      </c>
      <c r="K474">
        <v>-0.40772355546417938</v>
      </c>
      <c r="L474">
        <v>102407527.6951884</v>
      </c>
      <c r="M474" t="s">
        <v>20</v>
      </c>
      <c r="N474" t="s">
        <v>71</v>
      </c>
      <c r="O474" t="s">
        <v>75</v>
      </c>
      <c r="P474">
        <v>1618</v>
      </c>
      <c r="Q474">
        <v>631</v>
      </c>
      <c r="R474">
        <v>987</v>
      </c>
    </row>
    <row r="475" spans="1:18" x14ac:dyDescent="0.3">
      <c r="A475" t="s">
        <v>1495</v>
      </c>
      <c r="B475">
        <v>2022</v>
      </c>
      <c r="C475">
        <v>0.89032854753413582</v>
      </c>
      <c r="D475">
        <v>0</v>
      </c>
      <c r="E475">
        <v>3</v>
      </c>
      <c r="F475">
        <v>212</v>
      </c>
      <c r="G475">
        <v>1.9532165335170001E-4</v>
      </c>
      <c r="H475">
        <v>8</v>
      </c>
      <c r="I475">
        <v>0</v>
      </c>
      <c r="J475">
        <v>0.51852967420000884</v>
      </c>
      <c r="K475">
        <v>-0.3629590026580895</v>
      </c>
      <c r="L475">
        <v>232764146.46192491</v>
      </c>
      <c r="M475" t="s">
        <v>20</v>
      </c>
      <c r="N475" t="s">
        <v>76</v>
      </c>
      <c r="O475" t="s">
        <v>77</v>
      </c>
      <c r="P475">
        <v>2778</v>
      </c>
      <c r="Q475">
        <v>1301</v>
      </c>
      <c r="R475">
        <v>1477</v>
      </c>
    </row>
    <row r="476" spans="1:18" x14ac:dyDescent="0.3">
      <c r="A476" t="s">
        <v>1496</v>
      </c>
      <c r="B476">
        <v>2022</v>
      </c>
      <c r="C476">
        <v>3.263583287141596</v>
      </c>
      <c r="D476">
        <v>0</v>
      </c>
      <c r="E476">
        <v>8</v>
      </c>
      <c r="F476">
        <v>165</v>
      </c>
      <c r="G476">
        <v>4.2767628054589998E-4</v>
      </c>
      <c r="H476">
        <v>5</v>
      </c>
      <c r="I476">
        <v>0</v>
      </c>
      <c r="J476">
        <v>0.51517297942050033</v>
      </c>
      <c r="K476">
        <v>-0.35477730227720272</v>
      </c>
      <c r="L476">
        <v>35870937.380586907</v>
      </c>
      <c r="M476" t="s">
        <v>20</v>
      </c>
      <c r="N476" t="s">
        <v>76</v>
      </c>
      <c r="O476" t="s">
        <v>80</v>
      </c>
      <c r="P476">
        <v>3367</v>
      </c>
      <c r="Q476">
        <v>1317</v>
      </c>
      <c r="R476">
        <v>2050</v>
      </c>
    </row>
    <row r="477" spans="1:18" x14ac:dyDescent="0.3">
      <c r="A477" t="s">
        <v>1497</v>
      </c>
      <c r="B477">
        <v>2022</v>
      </c>
      <c r="C477">
        <v>1.315776250047946</v>
      </c>
      <c r="D477">
        <v>0</v>
      </c>
      <c r="E477">
        <v>1</v>
      </c>
      <c r="F477">
        <v>28</v>
      </c>
      <c r="G477">
        <v>3.4112409571507999E-3</v>
      </c>
      <c r="H477">
        <v>1</v>
      </c>
      <c r="I477">
        <v>0</v>
      </c>
      <c r="J477">
        <v>0.46825281357430198</v>
      </c>
      <c r="K477">
        <v>-0.31474302180975011</v>
      </c>
      <c r="L477">
        <v>29698857.679852571</v>
      </c>
      <c r="M477" t="s">
        <v>20</v>
      </c>
      <c r="N477" t="s">
        <v>85</v>
      </c>
      <c r="O477" t="s">
        <v>88</v>
      </c>
      <c r="P477">
        <v>1237</v>
      </c>
      <c r="Q477">
        <v>686</v>
      </c>
      <c r="R477">
        <v>551</v>
      </c>
    </row>
    <row r="478" spans="1:18" x14ac:dyDescent="0.3">
      <c r="A478" t="s">
        <v>1498</v>
      </c>
      <c r="B478">
        <v>2022</v>
      </c>
      <c r="C478">
        <v>1.006223018117482</v>
      </c>
      <c r="D478">
        <v>0</v>
      </c>
      <c r="E478">
        <v>4</v>
      </c>
      <c r="F478">
        <v>126</v>
      </c>
      <c r="G478">
        <v>4.5829466177370001E-4</v>
      </c>
      <c r="H478">
        <v>4</v>
      </c>
      <c r="I478">
        <v>0</v>
      </c>
      <c r="J478">
        <v>0.51460587279986647</v>
      </c>
      <c r="K478">
        <v>-0.1801707710840616</v>
      </c>
      <c r="L478">
        <v>179825394.06310409</v>
      </c>
      <c r="M478" t="s">
        <v>20</v>
      </c>
      <c r="N478" t="s">
        <v>92</v>
      </c>
      <c r="O478" t="s">
        <v>93</v>
      </c>
      <c r="P478">
        <v>892</v>
      </c>
      <c r="Q478">
        <v>491</v>
      </c>
      <c r="R478">
        <v>401</v>
      </c>
    </row>
    <row r="479" spans="1:18" x14ac:dyDescent="0.3">
      <c r="A479" t="s">
        <v>1499</v>
      </c>
      <c r="B479">
        <v>2022</v>
      </c>
      <c r="C479">
        <v>2.0525740091966571</v>
      </c>
      <c r="D479">
        <v>0</v>
      </c>
      <c r="E479">
        <v>57</v>
      </c>
      <c r="F479">
        <v>481</v>
      </c>
      <c r="G479">
        <v>1.5894281872809999E-4</v>
      </c>
      <c r="H479">
        <v>11</v>
      </c>
      <c r="I479">
        <v>3</v>
      </c>
      <c r="J479">
        <v>0.28033168140092879</v>
      </c>
      <c r="K479">
        <v>-0.1105217055302516</v>
      </c>
      <c r="L479">
        <v>214573362.90626651</v>
      </c>
      <c r="M479" t="s">
        <v>20</v>
      </c>
      <c r="N479" t="s">
        <v>96</v>
      </c>
      <c r="O479" t="s">
        <v>96</v>
      </c>
      <c r="P479">
        <v>22763</v>
      </c>
      <c r="Q479">
        <v>13835</v>
      </c>
      <c r="R479">
        <v>8928</v>
      </c>
    </row>
    <row r="480" spans="1:18" x14ac:dyDescent="0.3">
      <c r="A480" t="s">
        <v>1500</v>
      </c>
      <c r="B480">
        <v>2022</v>
      </c>
      <c r="C480">
        <v>0.62849420540334289</v>
      </c>
      <c r="D480">
        <v>0</v>
      </c>
      <c r="E480">
        <v>391</v>
      </c>
      <c r="F480">
        <v>337</v>
      </c>
      <c r="G480">
        <v>1.2817658209129999E-4</v>
      </c>
      <c r="H480">
        <v>7</v>
      </c>
      <c r="I480">
        <v>7</v>
      </c>
      <c r="J480">
        <v>0.39327292915588757</v>
      </c>
      <c r="K480">
        <v>-0.2080407583418126</v>
      </c>
      <c r="L480">
        <v>465787450.62656701</v>
      </c>
      <c r="M480" t="s">
        <v>97</v>
      </c>
      <c r="N480" t="s">
        <v>98</v>
      </c>
      <c r="O480" t="s">
        <v>101</v>
      </c>
      <c r="P480">
        <v>5877</v>
      </c>
      <c r="Q480">
        <v>1156</v>
      </c>
      <c r="R480">
        <v>4721</v>
      </c>
    </row>
    <row r="481" spans="1:18" x14ac:dyDescent="0.3">
      <c r="A481" t="s">
        <v>1501</v>
      </c>
      <c r="B481">
        <v>2022</v>
      </c>
      <c r="C481">
        <v>1.038829488549996</v>
      </c>
      <c r="D481">
        <v>0</v>
      </c>
      <c r="E481">
        <v>41</v>
      </c>
      <c r="F481">
        <v>80</v>
      </c>
      <c r="G481">
        <v>6.3523128623400003E-4</v>
      </c>
      <c r="H481">
        <v>6</v>
      </c>
      <c r="I481">
        <v>6</v>
      </c>
      <c r="J481">
        <v>0.41180338745534328</v>
      </c>
      <c r="K481">
        <v>-0.31283145870996032</v>
      </c>
      <c r="L481">
        <v>91682777.950775996</v>
      </c>
      <c r="M481" t="s">
        <v>97</v>
      </c>
      <c r="N481" t="s">
        <v>98</v>
      </c>
      <c r="O481" t="s">
        <v>102</v>
      </c>
      <c r="P481">
        <v>1769</v>
      </c>
      <c r="Q481">
        <v>521</v>
      </c>
      <c r="R481">
        <v>1248</v>
      </c>
    </row>
    <row r="482" spans="1:18" x14ac:dyDescent="0.3">
      <c r="A482" t="s">
        <v>1502</v>
      </c>
      <c r="B482">
        <v>2022</v>
      </c>
      <c r="C482">
        <v>1.19713474788395</v>
      </c>
      <c r="D482">
        <v>0</v>
      </c>
      <c r="E482">
        <v>21</v>
      </c>
      <c r="F482">
        <v>105</v>
      </c>
      <c r="G482">
        <v>4.0674364903639997E-4</v>
      </c>
      <c r="H482">
        <v>9</v>
      </c>
      <c r="I482">
        <v>12</v>
      </c>
      <c r="J482">
        <v>0.43216444592015008</v>
      </c>
      <c r="K482">
        <v>-0.33612247045203508</v>
      </c>
      <c r="L482">
        <v>83135499.040242612</v>
      </c>
      <c r="M482" t="s">
        <v>97</v>
      </c>
      <c r="N482" t="s">
        <v>98</v>
      </c>
      <c r="O482" t="s">
        <v>103</v>
      </c>
      <c r="P482">
        <v>4288</v>
      </c>
      <c r="Q482">
        <v>745</v>
      </c>
      <c r="R482">
        <v>3543</v>
      </c>
    </row>
    <row r="483" spans="1:18" x14ac:dyDescent="0.3">
      <c r="A483" t="s">
        <v>1503</v>
      </c>
      <c r="B483">
        <v>2022</v>
      </c>
      <c r="C483">
        <v>0.94586691222098762</v>
      </c>
      <c r="D483">
        <v>0</v>
      </c>
      <c r="E483">
        <v>7</v>
      </c>
      <c r="F483">
        <v>168</v>
      </c>
      <c r="G483">
        <v>2.2714221498009999E-4</v>
      </c>
      <c r="H483">
        <v>4</v>
      </c>
      <c r="I483">
        <v>14</v>
      </c>
      <c r="J483">
        <v>5.7246518609453297E-2</v>
      </c>
      <c r="K483">
        <v>3.46090052840538E-2</v>
      </c>
      <c r="L483">
        <v>187921348.9765386</v>
      </c>
      <c r="M483" t="s">
        <v>97</v>
      </c>
      <c r="N483" t="s">
        <v>98</v>
      </c>
      <c r="O483" t="s">
        <v>106</v>
      </c>
      <c r="P483">
        <v>7880</v>
      </c>
      <c r="Q483">
        <v>4123</v>
      </c>
      <c r="R483">
        <v>3757</v>
      </c>
    </row>
    <row r="484" spans="1:18" x14ac:dyDescent="0.3">
      <c r="A484" t="s">
        <v>1504</v>
      </c>
      <c r="B484">
        <v>2022</v>
      </c>
      <c r="C484">
        <v>0.94487437279464515</v>
      </c>
      <c r="D484">
        <v>0</v>
      </c>
      <c r="E484">
        <v>14</v>
      </c>
      <c r="F484">
        <v>367</v>
      </c>
      <c r="G484">
        <v>1.045898817682E-4</v>
      </c>
      <c r="H484">
        <v>8</v>
      </c>
      <c r="I484">
        <v>15</v>
      </c>
      <c r="J484">
        <v>0.44690126729541407</v>
      </c>
      <c r="K484">
        <v>-0.26114009524453241</v>
      </c>
      <c r="L484">
        <v>420616303.39218241</v>
      </c>
      <c r="M484" t="s">
        <v>97</v>
      </c>
      <c r="N484" t="s">
        <v>107</v>
      </c>
      <c r="O484" t="s">
        <v>107</v>
      </c>
      <c r="P484">
        <v>13827</v>
      </c>
      <c r="Q484">
        <v>3919</v>
      </c>
      <c r="R484">
        <v>9908</v>
      </c>
    </row>
    <row r="485" spans="1:18" x14ac:dyDescent="0.3">
      <c r="A485" t="s">
        <v>1505</v>
      </c>
      <c r="B485">
        <v>2022</v>
      </c>
      <c r="C485">
        <v>0.75490118964504904</v>
      </c>
      <c r="D485">
        <v>0</v>
      </c>
      <c r="E485">
        <v>129</v>
      </c>
      <c r="F485">
        <v>213</v>
      </c>
      <c r="G485">
        <v>2.2150338106100001E-4</v>
      </c>
      <c r="H485">
        <v>15</v>
      </c>
      <c r="I485">
        <v>8</v>
      </c>
      <c r="J485">
        <v>0.39037813095504448</v>
      </c>
      <c r="K485">
        <v>-0.18711499838047219</v>
      </c>
      <c r="L485">
        <v>249445864.86163729</v>
      </c>
      <c r="M485" t="s">
        <v>97</v>
      </c>
      <c r="N485" t="s">
        <v>107</v>
      </c>
      <c r="O485" t="s">
        <v>108</v>
      </c>
      <c r="P485">
        <v>5947</v>
      </c>
      <c r="Q485">
        <v>1650</v>
      </c>
      <c r="R485">
        <v>4297</v>
      </c>
    </row>
    <row r="486" spans="1:18" x14ac:dyDescent="0.3">
      <c r="A486" t="s">
        <v>1506</v>
      </c>
      <c r="B486">
        <v>2022</v>
      </c>
      <c r="C486">
        <v>1.568597099093004</v>
      </c>
      <c r="D486">
        <v>0</v>
      </c>
      <c r="E486">
        <v>7</v>
      </c>
      <c r="F486">
        <v>137</v>
      </c>
      <c r="G486">
        <v>3.7654608094059999E-4</v>
      </c>
      <c r="H486">
        <v>7</v>
      </c>
      <c r="I486">
        <v>12</v>
      </c>
      <c r="J486">
        <v>0.3930311021509118</v>
      </c>
      <c r="K486">
        <v>-0.32163586913776732</v>
      </c>
      <c r="L486">
        <v>43560677.468997233</v>
      </c>
      <c r="M486" t="s">
        <v>97</v>
      </c>
      <c r="N486" t="s">
        <v>109</v>
      </c>
      <c r="O486" t="s">
        <v>112</v>
      </c>
      <c r="P486">
        <v>2552</v>
      </c>
      <c r="Q486">
        <v>874</v>
      </c>
      <c r="R486">
        <v>1678</v>
      </c>
    </row>
    <row r="487" spans="1:18" x14ac:dyDescent="0.3">
      <c r="A487" t="s">
        <v>1507</v>
      </c>
      <c r="B487">
        <v>2022</v>
      </c>
      <c r="C487">
        <v>0.76353567246536103</v>
      </c>
      <c r="D487">
        <v>0</v>
      </c>
      <c r="E487">
        <v>1</v>
      </c>
      <c r="F487">
        <v>91</v>
      </c>
      <c r="G487">
        <v>2.231893761856E-4</v>
      </c>
      <c r="H487">
        <v>11</v>
      </c>
      <c r="I487">
        <v>4</v>
      </c>
      <c r="J487">
        <v>0.4223252419472347</v>
      </c>
      <c r="K487">
        <v>-0.23883353473226951</v>
      </c>
      <c r="L487">
        <v>166148906.11874551</v>
      </c>
      <c r="M487" t="s">
        <v>97</v>
      </c>
      <c r="N487" t="s">
        <v>109</v>
      </c>
      <c r="O487" t="s">
        <v>114</v>
      </c>
      <c r="P487">
        <v>3031</v>
      </c>
      <c r="Q487">
        <v>165</v>
      </c>
      <c r="R487">
        <v>2866</v>
      </c>
    </row>
    <row r="488" spans="1:18" x14ac:dyDescent="0.3">
      <c r="A488" t="s">
        <v>1508</v>
      </c>
      <c r="B488">
        <v>2022</v>
      </c>
      <c r="C488">
        <v>1.2097418849402559</v>
      </c>
      <c r="D488">
        <v>0</v>
      </c>
      <c r="E488">
        <v>151</v>
      </c>
      <c r="F488">
        <v>469</v>
      </c>
      <c r="G488">
        <v>1.8700408426719999E-4</v>
      </c>
      <c r="H488">
        <v>26</v>
      </c>
      <c r="I488">
        <v>39</v>
      </c>
      <c r="J488">
        <v>0.33613932768793481</v>
      </c>
      <c r="K488">
        <v>-0.16556835646761689</v>
      </c>
      <c r="L488">
        <v>244964876.26672199</v>
      </c>
      <c r="M488" t="s">
        <v>97</v>
      </c>
      <c r="N488" t="s">
        <v>115</v>
      </c>
      <c r="O488" t="s">
        <v>115</v>
      </c>
      <c r="P488">
        <v>14648</v>
      </c>
      <c r="Q488">
        <v>8256</v>
      </c>
      <c r="R488">
        <v>6392</v>
      </c>
    </row>
    <row r="489" spans="1:18" x14ac:dyDescent="0.3">
      <c r="A489" t="s">
        <v>1509</v>
      </c>
      <c r="B489">
        <v>2022</v>
      </c>
      <c r="C489">
        <v>0.98612605468608605</v>
      </c>
      <c r="D489">
        <v>0</v>
      </c>
      <c r="E489">
        <v>9</v>
      </c>
      <c r="F489">
        <v>89</v>
      </c>
      <c r="G489">
        <v>3.4328850383570002E-4</v>
      </c>
      <c r="H489">
        <v>6</v>
      </c>
      <c r="I489">
        <v>3</v>
      </c>
      <c r="J489">
        <v>0.44372581790663401</v>
      </c>
      <c r="K489">
        <v>-0.233382177718648</v>
      </c>
      <c r="L489">
        <v>113979768.5845288</v>
      </c>
      <c r="M489" t="s">
        <v>97</v>
      </c>
      <c r="N489" t="s">
        <v>116</v>
      </c>
      <c r="O489" t="s">
        <v>117</v>
      </c>
      <c r="P489">
        <v>2469</v>
      </c>
      <c r="Q489">
        <v>780</v>
      </c>
      <c r="R489">
        <v>1689</v>
      </c>
    </row>
    <row r="490" spans="1:18" x14ac:dyDescent="0.3">
      <c r="A490" t="s">
        <v>1510</v>
      </c>
      <c r="B490">
        <v>2022</v>
      </c>
      <c r="C490">
        <v>0.82537103158896663</v>
      </c>
      <c r="D490">
        <v>0</v>
      </c>
      <c r="E490">
        <v>12</v>
      </c>
      <c r="F490">
        <v>111</v>
      </c>
      <c r="G490">
        <v>2.5018742189839997E-4</v>
      </c>
      <c r="H490">
        <v>5</v>
      </c>
      <c r="I490">
        <v>12</v>
      </c>
      <c r="J490">
        <v>0.47851702842553051</v>
      </c>
      <c r="K490">
        <v>-0.28859228327066527</v>
      </c>
      <c r="L490">
        <v>138982892.7834312</v>
      </c>
      <c r="M490" t="s">
        <v>97</v>
      </c>
      <c r="N490" t="s">
        <v>116</v>
      </c>
      <c r="O490" t="s">
        <v>118</v>
      </c>
      <c r="P490">
        <v>2966</v>
      </c>
      <c r="Q490">
        <v>472</v>
      </c>
      <c r="R490">
        <v>2494</v>
      </c>
    </row>
    <row r="491" spans="1:18" x14ac:dyDescent="0.3">
      <c r="A491" t="s">
        <v>1511</v>
      </c>
      <c r="B491">
        <v>2022</v>
      </c>
      <c r="C491">
        <v>0.65474920311892937</v>
      </c>
      <c r="D491">
        <v>0</v>
      </c>
      <c r="E491">
        <v>11</v>
      </c>
      <c r="F491">
        <v>36</v>
      </c>
      <c r="G491">
        <v>5.4809512127649998E-4</v>
      </c>
      <c r="H491">
        <v>7</v>
      </c>
      <c r="I491">
        <v>3</v>
      </c>
      <c r="J491">
        <v>0.51337115040828751</v>
      </c>
      <c r="K491">
        <v>-0.2761384989768127</v>
      </c>
      <c r="L491">
        <v>84710239.412660152</v>
      </c>
      <c r="M491" t="s">
        <v>97</v>
      </c>
      <c r="N491" t="s">
        <v>116</v>
      </c>
      <c r="O491" t="s">
        <v>119</v>
      </c>
      <c r="P491">
        <v>1005</v>
      </c>
      <c r="Q491">
        <v>49</v>
      </c>
      <c r="R491">
        <v>956</v>
      </c>
    </row>
    <row r="492" spans="1:18" x14ac:dyDescent="0.3">
      <c r="A492" t="s">
        <v>1512</v>
      </c>
      <c r="B492">
        <v>2022</v>
      </c>
      <c r="C492">
        <v>1.0366782720314089</v>
      </c>
      <c r="D492">
        <v>0</v>
      </c>
      <c r="E492">
        <v>15</v>
      </c>
      <c r="F492">
        <v>134</v>
      </c>
      <c r="G492">
        <v>2.1972761576050001E-4</v>
      </c>
      <c r="H492">
        <v>7</v>
      </c>
      <c r="I492">
        <v>3</v>
      </c>
      <c r="J492">
        <v>0.50812259617622824</v>
      </c>
      <c r="K492">
        <v>-0.33830381554781291</v>
      </c>
      <c r="L492">
        <v>76123715.19922632</v>
      </c>
      <c r="M492" t="s">
        <v>97</v>
      </c>
      <c r="N492" t="s">
        <v>116</v>
      </c>
      <c r="O492" t="s">
        <v>120</v>
      </c>
      <c r="P492">
        <v>5179</v>
      </c>
      <c r="Q492">
        <v>1234</v>
      </c>
      <c r="R492">
        <v>3945</v>
      </c>
    </row>
    <row r="493" spans="1:18" x14ac:dyDescent="0.3">
      <c r="A493" t="s">
        <v>1513</v>
      </c>
      <c r="B493">
        <v>2022</v>
      </c>
      <c r="C493">
        <v>1.3870703702746789</v>
      </c>
      <c r="D493">
        <v>0</v>
      </c>
      <c r="E493">
        <v>50</v>
      </c>
      <c r="F493">
        <v>78</v>
      </c>
      <c r="G493">
        <v>9.7364805445329997E-4</v>
      </c>
      <c r="H493">
        <v>10</v>
      </c>
      <c r="I493">
        <v>6</v>
      </c>
      <c r="J493">
        <v>0.44014664019375033</v>
      </c>
      <c r="K493">
        <v>-0.30250047469835972</v>
      </c>
      <c r="L493">
        <v>50006701.250077277</v>
      </c>
      <c r="M493" t="s">
        <v>97</v>
      </c>
      <c r="N493" t="s">
        <v>116</v>
      </c>
      <c r="O493" t="s">
        <v>121</v>
      </c>
      <c r="P493">
        <v>1633</v>
      </c>
      <c r="Q493">
        <v>488</v>
      </c>
      <c r="R493">
        <v>1145</v>
      </c>
    </row>
    <row r="494" spans="1:18" x14ac:dyDescent="0.3">
      <c r="A494" t="s">
        <v>1514</v>
      </c>
      <c r="B494">
        <v>2022</v>
      </c>
      <c r="C494">
        <v>1.1123669680829</v>
      </c>
      <c r="D494">
        <v>0</v>
      </c>
      <c r="E494">
        <v>18</v>
      </c>
      <c r="F494">
        <v>67</v>
      </c>
      <c r="G494">
        <v>1.0432115095302E-3</v>
      </c>
      <c r="H494">
        <v>3</v>
      </c>
      <c r="I494">
        <v>3</v>
      </c>
      <c r="J494">
        <v>0.55217753976427075</v>
      </c>
      <c r="K494">
        <v>-0.32394746292083909</v>
      </c>
      <c r="L494">
        <v>28416990.036451519</v>
      </c>
      <c r="M494" t="s">
        <v>97</v>
      </c>
      <c r="N494" t="s">
        <v>116</v>
      </c>
      <c r="O494" t="s">
        <v>91</v>
      </c>
      <c r="P494">
        <v>1055</v>
      </c>
      <c r="Q494">
        <v>168</v>
      </c>
      <c r="R494">
        <v>887</v>
      </c>
    </row>
    <row r="495" spans="1:18" x14ac:dyDescent="0.3">
      <c r="A495" t="s">
        <v>1515</v>
      </c>
      <c r="B495">
        <v>2022</v>
      </c>
      <c r="C495">
        <v>1.2883201576792691</v>
      </c>
      <c r="D495">
        <v>0</v>
      </c>
      <c r="E495">
        <v>171</v>
      </c>
      <c r="F495">
        <v>347</v>
      </c>
      <c r="G495">
        <v>2.5165590583709998E-4</v>
      </c>
      <c r="H495">
        <v>7</v>
      </c>
      <c r="I495">
        <v>77</v>
      </c>
      <c r="J495">
        <v>0.41900937882150341</v>
      </c>
      <c r="K495">
        <v>-0.234795156468637</v>
      </c>
      <c r="L495">
        <v>175547611.87050009</v>
      </c>
      <c r="M495" t="s">
        <v>97</v>
      </c>
      <c r="N495" t="s">
        <v>122</v>
      </c>
      <c r="O495" t="s">
        <v>122</v>
      </c>
      <c r="P495">
        <v>15576</v>
      </c>
      <c r="Q495">
        <v>9282</v>
      </c>
      <c r="R495">
        <v>6294</v>
      </c>
    </row>
    <row r="496" spans="1:18" x14ac:dyDescent="0.3">
      <c r="A496" t="s">
        <v>1516</v>
      </c>
      <c r="B496">
        <v>2022</v>
      </c>
      <c r="C496">
        <v>1.1885325734085901</v>
      </c>
      <c r="D496">
        <v>0</v>
      </c>
      <c r="E496">
        <v>16</v>
      </c>
      <c r="F496">
        <v>241</v>
      </c>
      <c r="G496">
        <v>2.390437509004E-4</v>
      </c>
      <c r="H496">
        <v>5</v>
      </c>
      <c r="I496">
        <v>31</v>
      </c>
      <c r="J496">
        <v>0.1603596233092752</v>
      </c>
      <c r="K496">
        <v>-6.8539902361992297E-2</v>
      </c>
      <c r="L496">
        <v>150222364.4962444</v>
      </c>
      <c r="M496" t="s">
        <v>97</v>
      </c>
      <c r="N496" t="s">
        <v>123</v>
      </c>
      <c r="O496" t="s">
        <v>123</v>
      </c>
      <c r="P496">
        <v>6995</v>
      </c>
      <c r="Q496">
        <v>3152</v>
      </c>
      <c r="R496">
        <v>3843</v>
      </c>
    </row>
    <row r="497" spans="1:18" x14ac:dyDescent="0.3">
      <c r="A497" t="s">
        <v>1517</v>
      </c>
      <c r="B497">
        <v>2022</v>
      </c>
      <c r="C497">
        <v>1.2016963122386231</v>
      </c>
      <c r="D497">
        <v>0</v>
      </c>
      <c r="E497">
        <v>7</v>
      </c>
      <c r="F497">
        <v>176</v>
      </c>
      <c r="G497">
        <v>2.610265945876E-4</v>
      </c>
      <c r="H497">
        <v>12</v>
      </c>
      <c r="I497">
        <v>6</v>
      </c>
      <c r="J497">
        <v>0.55098541969015347</v>
      </c>
      <c r="K497">
        <v>-0.32152771396178409</v>
      </c>
      <c r="L497">
        <v>115681413.093009</v>
      </c>
      <c r="M497" t="s">
        <v>124</v>
      </c>
      <c r="N497" t="s">
        <v>125</v>
      </c>
      <c r="O497" t="s">
        <v>130</v>
      </c>
      <c r="P497">
        <v>1837</v>
      </c>
      <c r="Q497">
        <v>640</v>
      </c>
      <c r="R497">
        <v>1197</v>
      </c>
    </row>
    <row r="498" spans="1:18" x14ac:dyDescent="0.3">
      <c r="A498" t="s">
        <v>1518</v>
      </c>
      <c r="B498">
        <v>2022</v>
      </c>
      <c r="C498">
        <v>0.77286754424582882</v>
      </c>
      <c r="D498">
        <v>0</v>
      </c>
      <c r="E498">
        <v>13</v>
      </c>
      <c r="F498">
        <v>180</v>
      </c>
      <c r="G498">
        <v>2.2977886146579999E-4</v>
      </c>
      <c r="H498">
        <v>7</v>
      </c>
      <c r="I498">
        <v>14</v>
      </c>
      <c r="J498">
        <v>0.46451567753536982</v>
      </c>
      <c r="K498">
        <v>-0.27258845344909333</v>
      </c>
      <c r="L498">
        <v>542555180.38455558</v>
      </c>
      <c r="M498" t="s">
        <v>124</v>
      </c>
      <c r="N498" t="s">
        <v>125</v>
      </c>
      <c r="O498" t="s">
        <v>131</v>
      </c>
      <c r="P498">
        <v>1567</v>
      </c>
      <c r="Q498">
        <v>175</v>
      </c>
      <c r="R498">
        <v>1392</v>
      </c>
    </row>
    <row r="499" spans="1:18" x14ac:dyDescent="0.3">
      <c r="A499" t="s">
        <v>1519</v>
      </c>
      <c r="B499">
        <v>2022</v>
      </c>
      <c r="C499">
        <v>1.641835510345292</v>
      </c>
      <c r="D499">
        <v>0</v>
      </c>
      <c r="E499">
        <v>13</v>
      </c>
      <c r="F499">
        <v>149</v>
      </c>
      <c r="G499">
        <v>3.2509752925870001E-4</v>
      </c>
      <c r="H499">
        <v>24</v>
      </c>
      <c r="I499">
        <v>8</v>
      </c>
      <c r="J499">
        <v>0.56835231095426619</v>
      </c>
      <c r="K499">
        <v>-0.37315994965778593</v>
      </c>
      <c r="L499">
        <v>60842602.287114859</v>
      </c>
      <c r="M499" t="s">
        <v>124</v>
      </c>
      <c r="N499" t="s">
        <v>125</v>
      </c>
      <c r="O499" t="s">
        <v>132</v>
      </c>
      <c r="P499">
        <v>1191</v>
      </c>
      <c r="Q499">
        <v>428</v>
      </c>
      <c r="R499">
        <v>763</v>
      </c>
    </row>
    <row r="500" spans="1:18" x14ac:dyDescent="0.3">
      <c r="A500" t="s">
        <v>1520</v>
      </c>
      <c r="B500">
        <v>2022</v>
      </c>
      <c r="C500">
        <v>1.2373707052604159</v>
      </c>
      <c r="D500">
        <v>0</v>
      </c>
      <c r="E500">
        <v>16</v>
      </c>
      <c r="F500">
        <v>141</v>
      </c>
      <c r="G500">
        <v>4.6178047058010002E-4</v>
      </c>
      <c r="H500">
        <v>5</v>
      </c>
      <c r="I500">
        <v>4</v>
      </c>
      <c r="J500">
        <v>0.55613587965136668</v>
      </c>
      <c r="K500">
        <v>-0.44240447295596791</v>
      </c>
      <c r="L500">
        <v>61138511.586005621</v>
      </c>
      <c r="M500" t="s">
        <v>124</v>
      </c>
      <c r="N500" t="s">
        <v>133</v>
      </c>
      <c r="O500" t="s">
        <v>137</v>
      </c>
      <c r="P500">
        <v>1692</v>
      </c>
      <c r="Q500">
        <v>810</v>
      </c>
      <c r="R500">
        <v>882</v>
      </c>
    </row>
    <row r="501" spans="1:18" x14ac:dyDescent="0.3">
      <c r="A501" t="s">
        <v>1521</v>
      </c>
      <c r="B501">
        <v>2022</v>
      </c>
      <c r="C501">
        <v>0.96692674376099341</v>
      </c>
      <c r="D501">
        <v>0</v>
      </c>
      <c r="E501">
        <v>1</v>
      </c>
      <c r="F501">
        <v>97</v>
      </c>
      <c r="G501">
        <v>3.61010688996E-4</v>
      </c>
      <c r="H501">
        <v>19</v>
      </c>
      <c r="I501">
        <v>1</v>
      </c>
      <c r="J501">
        <v>0.47820981854493078</v>
      </c>
      <c r="K501">
        <v>-0.30219625362014468</v>
      </c>
      <c r="L501">
        <v>114168677.6947584</v>
      </c>
      <c r="M501" t="s">
        <v>124</v>
      </c>
      <c r="N501" t="s">
        <v>124</v>
      </c>
      <c r="O501" t="s">
        <v>140</v>
      </c>
      <c r="P501">
        <v>2300</v>
      </c>
      <c r="Q501">
        <v>478</v>
      </c>
      <c r="R501">
        <v>1822</v>
      </c>
    </row>
    <row r="502" spans="1:18" x14ac:dyDescent="0.3">
      <c r="A502" t="s">
        <v>1522</v>
      </c>
      <c r="B502">
        <v>2022</v>
      </c>
      <c r="C502">
        <v>0.86724231612968294</v>
      </c>
      <c r="D502">
        <v>0</v>
      </c>
      <c r="E502">
        <v>106</v>
      </c>
      <c r="F502">
        <v>416</v>
      </c>
      <c r="G502">
        <v>1.3697410389940001E-4</v>
      </c>
      <c r="H502">
        <v>13</v>
      </c>
      <c r="I502">
        <v>0</v>
      </c>
      <c r="J502">
        <v>0.49869736436593881</v>
      </c>
      <c r="K502">
        <v>-0.43084425218535433</v>
      </c>
      <c r="L502">
        <v>414278833.60483909</v>
      </c>
      <c r="M502" t="s">
        <v>124</v>
      </c>
      <c r="N502" t="s">
        <v>124</v>
      </c>
      <c r="O502" t="s">
        <v>143</v>
      </c>
      <c r="P502">
        <v>6955</v>
      </c>
      <c r="Q502">
        <v>2313</v>
      </c>
      <c r="R502">
        <v>4642</v>
      </c>
    </row>
    <row r="503" spans="1:18" x14ac:dyDescent="0.3">
      <c r="A503" t="s">
        <v>1523</v>
      </c>
      <c r="B503">
        <v>2022</v>
      </c>
      <c r="C503">
        <v>1.2247114655211151</v>
      </c>
      <c r="D503">
        <v>0</v>
      </c>
      <c r="E503">
        <v>11</v>
      </c>
      <c r="F503">
        <v>52</v>
      </c>
      <c r="G503">
        <v>1.0904626459351001E-3</v>
      </c>
      <c r="H503">
        <v>2</v>
      </c>
      <c r="I503">
        <v>0</v>
      </c>
      <c r="J503">
        <v>0.4982010907026943</v>
      </c>
      <c r="K503">
        <v>-0.4190268344800645</v>
      </c>
      <c r="L503">
        <v>63742220.438732877</v>
      </c>
      <c r="M503" t="s">
        <v>124</v>
      </c>
      <c r="N503" t="s">
        <v>124</v>
      </c>
      <c r="O503" t="s">
        <v>144</v>
      </c>
      <c r="P503">
        <v>1680</v>
      </c>
      <c r="Q503">
        <v>777</v>
      </c>
      <c r="R503">
        <v>903</v>
      </c>
    </row>
    <row r="504" spans="1:18" x14ac:dyDescent="0.3">
      <c r="A504" t="s">
        <v>1524</v>
      </c>
      <c r="B504">
        <v>2022</v>
      </c>
      <c r="C504">
        <v>0.71042994496796819</v>
      </c>
      <c r="D504">
        <v>0</v>
      </c>
      <c r="E504">
        <v>27</v>
      </c>
      <c r="F504">
        <v>150</v>
      </c>
      <c r="G504">
        <v>1.940984578634E-4</v>
      </c>
      <c r="H504">
        <v>13</v>
      </c>
      <c r="I504">
        <v>0</v>
      </c>
      <c r="J504">
        <v>0.51291134618585188</v>
      </c>
      <c r="K504">
        <v>-0.34569028549141601</v>
      </c>
      <c r="L504">
        <v>412141440.8902784</v>
      </c>
      <c r="M504" t="s">
        <v>124</v>
      </c>
      <c r="N504" t="s">
        <v>124</v>
      </c>
      <c r="O504" t="s">
        <v>145</v>
      </c>
      <c r="P504">
        <v>2127</v>
      </c>
      <c r="Q504">
        <v>1158</v>
      </c>
      <c r="R504">
        <v>969</v>
      </c>
    </row>
    <row r="505" spans="1:18" x14ac:dyDescent="0.3">
      <c r="A505" t="s">
        <v>1525</v>
      </c>
      <c r="B505">
        <v>2022</v>
      </c>
      <c r="C505">
        <v>1.270025777818502</v>
      </c>
      <c r="D505">
        <v>0</v>
      </c>
      <c r="E505">
        <v>3</v>
      </c>
      <c r="F505">
        <v>88</v>
      </c>
      <c r="G505">
        <v>4.7058477756770003E-4</v>
      </c>
      <c r="H505">
        <v>16</v>
      </c>
      <c r="I505">
        <v>1</v>
      </c>
      <c r="J505">
        <v>0.5424956835637893</v>
      </c>
      <c r="K505">
        <v>-0.37656219235579641</v>
      </c>
      <c r="L505">
        <v>83871235.032841027</v>
      </c>
      <c r="M505" t="s">
        <v>124</v>
      </c>
      <c r="N505" t="s">
        <v>124</v>
      </c>
      <c r="O505" t="s">
        <v>146</v>
      </c>
      <c r="P505">
        <v>1683</v>
      </c>
      <c r="Q505">
        <v>475</v>
      </c>
      <c r="R505">
        <v>1208</v>
      </c>
    </row>
    <row r="506" spans="1:18" x14ac:dyDescent="0.3">
      <c r="A506" t="s">
        <v>1526</v>
      </c>
      <c r="B506">
        <v>2022</v>
      </c>
      <c r="C506">
        <v>1.8722471132743299</v>
      </c>
      <c r="D506">
        <v>0</v>
      </c>
      <c r="E506">
        <v>10</v>
      </c>
      <c r="F506">
        <v>118</v>
      </c>
      <c r="G506">
        <v>3.1036420954869999E-4</v>
      </c>
      <c r="H506">
        <v>5</v>
      </c>
      <c r="I506">
        <v>0</v>
      </c>
      <c r="J506">
        <v>0.54672773285663623</v>
      </c>
      <c r="K506">
        <v>-0.33216661721798002</v>
      </c>
      <c r="L506">
        <v>99828855.751940757</v>
      </c>
      <c r="M506" t="s">
        <v>124</v>
      </c>
      <c r="N506" t="s">
        <v>124</v>
      </c>
      <c r="O506" t="s">
        <v>148</v>
      </c>
      <c r="P506">
        <v>3688</v>
      </c>
      <c r="Q506">
        <v>1541</v>
      </c>
      <c r="R506">
        <v>2147</v>
      </c>
    </row>
    <row r="507" spans="1:18" x14ac:dyDescent="0.3">
      <c r="A507" t="s">
        <v>1527</v>
      </c>
      <c r="B507">
        <v>2022</v>
      </c>
      <c r="C507">
        <v>0.52495597214737011</v>
      </c>
      <c r="D507">
        <v>0</v>
      </c>
      <c r="E507">
        <v>2</v>
      </c>
      <c r="F507">
        <v>52</v>
      </c>
      <c r="G507">
        <v>3.9983717110230003E-4</v>
      </c>
      <c r="H507">
        <v>2</v>
      </c>
      <c r="I507">
        <v>0</v>
      </c>
      <c r="J507">
        <v>0.5019060121709279</v>
      </c>
      <c r="K507">
        <v>-0.26468745198648352</v>
      </c>
      <c r="L507">
        <v>200615461.5913789</v>
      </c>
      <c r="M507" t="s">
        <v>156</v>
      </c>
      <c r="N507" t="s">
        <v>157</v>
      </c>
      <c r="O507" t="s">
        <v>160</v>
      </c>
      <c r="P507">
        <v>2069</v>
      </c>
      <c r="Q507">
        <v>466</v>
      </c>
      <c r="R507">
        <v>1603</v>
      </c>
    </row>
    <row r="508" spans="1:18" x14ac:dyDescent="0.3">
      <c r="A508" t="s">
        <v>1528</v>
      </c>
      <c r="B508">
        <v>2022</v>
      </c>
      <c r="C508">
        <v>1.98820491832679</v>
      </c>
      <c r="D508">
        <v>0</v>
      </c>
      <c r="E508">
        <v>1</v>
      </c>
      <c r="F508">
        <v>42</v>
      </c>
      <c r="G508">
        <v>1.1216798277099E-3</v>
      </c>
      <c r="H508">
        <v>3</v>
      </c>
      <c r="I508">
        <v>0</v>
      </c>
      <c r="J508">
        <v>0.50586151908068766</v>
      </c>
      <c r="K508">
        <v>-0.31243454476395299</v>
      </c>
      <c r="L508">
        <v>17776810.92390871</v>
      </c>
      <c r="M508" t="s">
        <v>156</v>
      </c>
      <c r="N508" t="s">
        <v>157</v>
      </c>
      <c r="O508" t="s">
        <v>161</v>
      </c>
      <c r="P508">
        <v>670</v>
      </c>
      <c r="Q508">
        <v>314</v>
      </c>
      <c r="R508">
        <v>356</v>
      </c>
    </row>
    <row r="509" spans="1:18" x14ac:dyDescent="0.3">
      <c r="A509" t="s">
        <v>1529</v>
      </c>
      <c r="B509">
        <v>2022</v>
      </c>
      <c r="C509">
        <v>0.612403470712511</v>
      </c>
      <c r="D509">
        <v>0</v>
      </c>
      <c r="E509">
        <v>4</v>
      </c>
      <c r="F509">
        <v>8</v>
      </c>
      <c r="G509">
        <v>6.7335408739766997E-3</v>
      </c>
      <c r="H509">
        <v>3</v>
      </c>
      <c r="I509">
        <v>7</v>
      </c>
      <c r="J509">
        <v>0.37690563413611988</v>
      </c>
      <c r="K509">
        <v>-0.15877183813334411</v>
      </c>
      <c r="L509">
        <v>623727251.41813791</v>
      </c>
      <c r="M509" t="s">
        <v>156</v>
      </c>
      <c r="N509" t="s">
        <v>157</v>
      </c>
      <c r="O509" t="s">
        <v>162</v>
      </c>
      <c r="P509">
        <v>1393</v>
      </c>
      <c r="Q509">
        <v>19</v>
      </c>
      <c r="R509">
        <v>1374</v>
      </c>
    </row>
    <row r="510" spans="1:18" x14ac:dyDescent="0.3">
      <c r="A510" t="s">
        <v>1530</v>
      </c>
      <c r="B510">
        <v>2022</v>
      </c>
      <c r="C510">
        <v>0.73427308981436679</v>
      </c>
      <c r="D510">
        <v>0</v>
      </c>
      <c r="E510">
        <v>6</v>
      </c>
      <c r="F510">
        <v>88</v>
      </c>
      <c r="G510">
        <v>5.609745407079E-4</v>
      </c>
      <c r="H510">
        <v>7</v>
      </c>
      <c r="I510">
        <v>1</v>
      </c>
      <c r="J510">
        <v>0.36717596737034908</v>
      </c>
      <c r="K510">
        <v>-0.31310081567740328</v>
      </c>
      <c r="L510">
        <v>178919750.9149788</v>
      </c>
      <c r="M510" t="s">
        <v>156</v>
      </c>
      <c r="N510" t="s">
        <v>157</v>
      </c>
      <c r="O510" t="s">
        <v>163</v>
      </c>
      <c r="P510">
        <v>2683</v>
      </c>
      <c r="Q510">
        <v>1374</v>
      </c>
      <c r="R510">
        <v>1309</v>
      </c>
    </row>
    <row r="511" spans="1:18" x14ac:dyDescent="0.3">
      <c r="A511" t="s">
        <v>1531</v>
      </c>
      <c r="B511">
        <v>2022</v>
      </c>
      <c r="C511">
        <v>0.56618931243979542</v>
      </c>
      <c r="D511">
        <v>0</v>
      </c>
      <c r="E511">
        <v>3</v>
      </c>
      <c r="F511">
        <v>39</v>
      </c>
      <c r="G511">
        <v>1.3440201790066999E-3</v>
      </c>
      <c r="H511">
        <v>1</v>
      </c>
      <c r="I511">
        <v>1</v>
      </c>
      <c r="J511">
        <v>0.43495359160813352</v>
      </c>
      <c r="K511">
        <v>-0.1517630701761592</v>
      </c>
      <c r="L511">
        <v>442791892.09039962</v>
      </c>
      <c r="M511" t="s">
        <v>156</v>
      </c>
      <c r="N511" t="s">
        <v>157</v>
      </c>
      <c r="O511" t="s">
        <v>165</v>
      </c>
      <c r="P511">
        <v>4349</v>
      </c>
      <c r="Q511">
        <v>630</v>
      </c>
      <c r="R511">
        <v>3719</v>
      </c>
    </row>
    <row r="512" spans="1:18" x14ac:dyDescent="0.3">
      <c r="A512" t="s">
        <v>1532</v>
      </c>
      <c r="B512">
        <v>2022</v>
      </c>
      <c r="C512">
        <v>2.551701255209494</v>
      </c>
      <c r="D512">
        <v>0</v>
      </c>
      <c r="E512">
        <v>2</v>
      </c>
      <c r="F512">
        <v>52</v>
      </c>
      <c r="G512">
        <v>1.1936722977158999E-3</v>
      </c>
      <c r="H512">
        <v>2</v>
      </c>
      <c r="I512">
        <v>0</v>
      </c>
      <c r="J512">
        <v>0.45449333161756311</v>
      </c>
      <c r="K512">
        <v>-0.2961332548052521</v>
      </c>
      <c r="L512">
        <v>16575007.430290589</v>
      </c>
      <c r="M512" t="s">
        <v>156</v>
      </c>
      <c r="N512" t="s">
        <v>157</v>
      </c>
      <c r="O512" t="s">
        <v>166</v>
      </c>
      <c r="P512">
        <v>2404</v>
      </c>
      <c r="Q512">
        <v>1514</v>
      </c>
      <c r="R512">
        <v>890</v>
      </c>
    </row>
    <row r="513" spans="1:18" x14ac:dyDescent="0.3">
      <c r="A513" t="s">
        <v>1533</v>
      </c>
      <c r="B513">
        <v>2022</v>
      </c>
      <c r="C513">
        <v>1.2464382160221561</v>
      </c>
      <c r="D513">
        <v>0</v>
      </c>
      <c r="E513">
        <v>13</v>
      </c>
      <c r="F513">
        <v>144</v>
      </c>
      <c r="G513">
        <v>5.4319314661780002E-4</v>
      </c>
      <c r="H513">
        <v>4</v>
      </c>
      <c r="I513">
        <v>3</v>
      </c>
      <c r="J513">
        <v>0.38813898158061089</v>
      </c>
      <c r="K513">
        <v>-0.33309649254257512</v>
      </c>
      <c r="L513">
        <v>58361555.472915508</v>
      </c>
      <c r="M513" t="s">
        <v>156</v>
      </c>
      <c r="N513" t="s">
        <v>97</v>
      </c>
      <c r="O513" t="s">
        <v>167</v>
      </c>
      <c r="P513">
        <v>1364</v>
      </c>
      <c r="Q513">
        <v>731</v>
      </c>
      <c r="R513">
        <v>633</v>
      </c>
    </row>
    <row r="514" spans="1:18" x14ac:dyDescent="0.3">
      <c r="A514" t="s">
        <v>1534</v>
      </c>
      <c r="B514">
        <v>2022</v>
      </c>
      <c r="C514">
        <v>0.98515336169123158</v>
      </c>
      <c r="D514">
        <v>0</v>
      </c>
      <c r="E514">
        <v>1</v>
      </c>
      <c r="F514">
        <v>62</v>
      </c>
      <c r="G514">
        <v>1.0963807652042E-3</v>
      </c>
      <c r="H514">
        <v>1</v>
      </c>
      <c r="I514">
        <v>5</v>
      </c>
      <c r="J514">
        <v>0.4425006480300423</v>
      </c>
      <c r="K514">
        <v>-0.23328458755482329</v>
      </c>
      <c r="L514">
        <v>69657210.034412861</v>
      </c>
      <c r="M514" t="s">
        <v>156</v>
      </c>
      <c r="N514" t="s">
        <v>97</v>
      </c>
      <c r="O514" t="s">
        <v>169</v>
      </c>
      <c r="P514">
        <v>1699</v>
      </c>
      <c r="Q514">
        <v>894</v>
      </c>
      <c r="R514">
        <v>805</v>
      </c>
    </row>
    <row r="515" spans="1:18" x14ac:dyDescent="0.3">
      <c r="A515" t="s">
        <v>1535</v>
      </c>
      <c r="B515">
        <v>2022</v>
      </c>
      <c r="C515">
        <v>1.6789457397386149</v>
      </c>
      <c r="D515">
        <v>0</v>
      </c>
      <c r="E515">
        <v>1</v>
      </c>
      <c r="F515">
        <v>78</v>
      </c>
      <c r="G515">
        <v>8.3187525879329998E-4</v>
      </c>
      <c r="H515">
        <v>2</v>
      </c>
      <c r="I515">
        <v>3</v>
      </c>
      <c r="J515">
        <v>0.3843450233931105</v>
      </c>
      <c r="K515">
        <v>-0.27506591084613269</v>
      </c>
      <c r="L515">
        <v>31068534.830973201</v>
      </c>
      <c r="M515" t="s">
        <v>156</v>
      </c>
      <c r="N515" t="s">
        <v>97</v>
      </c>
      <c r="O515" t="s">
        <v>171</v>
      </c>
      <c r="P515">
        <v>1951</v>
      </c>
      <c r="Q515">
        <v>1025</v>
      </c>
      <c r="R515">
        <v>926</v>
      </c>
    </row>
    <row r="516" spans="1:18" x14ac:dyDescent="0.3">
      <c r="A516" t="s">
        <v>1536</v>
      </c>
      <c r="B516">
        <v>2022</v>
      </c>
      <c r="C516">
        <v>0.54647718305605542</v>
      </c>
      <c r="D516">
        <v>0</v>
      </c>
      <c r="E516">
        <v>1</v>
      </c>
      <c r="F516">
        <v>34</v>
      </c>
      <c r="G516">
        <v>1.0799129761852001E-3</v>
      </c>
      <c r="H516">
        <v>3</v>
      </c>
      <c r="I516">
        <v>1</v>
      </c>
      <c r="J516">
        <v>0.50798200508489477</v>
      </c>
      <c r="K516">
        <v>-0.2400772182530255</v>
      </c>
      <c r="L516">
        <v>255816272.67176509</v>
      </c>
      <c r="M516" t="s">
        <v>156</v>
      </c>
      <c r="N516" t="s">
        <v>172</v>
      </c>
      <c r="O516" t="s">
        <v>174</v>
      </c>
      <c r="P516">
        <v>746</v>
      </c>
      <c r="Q516">
        <v>196</v>
      </c>
      <c r="R516">
        <v>550</v>
      </c>
    </row>
    <row r="517" spans="1:18" x14ac:dyDescent="0.3">
      <c r="A517" t="s">
        <v>1537</v>
      </c>
      <c r="B517">
        <v>2022</v>
      </c>
      <c r="C517">
        <v>1.042427958120747</v>
      </c>
      <c r="D517">
        <v>0</v>
      </c>
      <c r="E517">
        <v>8</v>
      </c>
      <c r="F517">
        <v>177</v>
      </c>
      <c r="G517">
        <v>4.3488592543980002E-4</v>
      </c>
      <c r="H517">
        <v>8</v>
      </c>
      <c r="I517">
        <v>2</v>
      </c>
      <c r="J517">
        <v>0.40611411319554558</v>
      </c>
      <c r="K517">
        <v>-0.32540411313547241</v>
      </c>
      <c r="L517">
        <v>151082175.47424781</v>
      </c>
      <c r="M517" t="s">
        <v>156</v>
      </c>
      <c r="N517" t="s">
        <v>172</v>
      </c>
      <c r="O517" t="s">
        <v>175</v>
      </c>
      <c r="P517">
        <v>3718</v>
      </c>
      <c r="Q517">
        <v>2002</v>
      </c>
      <c r="R517">
        <v>1716</v>
      </c>
    </row>
    <row r="518" spans="1:18" x14ac:dyDescent="0.3">
      <c r="A518" t="s">
        <v>1538</v>
      </c>
      <c r="B518">
        <v>2022</v>
      </c>
      <c r="C518">
        <v>0.70300739225984321</v>
      </c>
      <c r="D518">
        <v>0</v>
      </c>
      <c r="E518">
        <v>6</v>
      </c>
      <c r="F518">
        <v>95</v>
      </c>
      <c r="G518">
        <v>5.4083004819719999E-4</v>
      </c>
      <c r="H518">
        <v>4</v>
      </c>
      <c r="I518">
        <v>12</v>
      </c>
      <c r="J518">
        <v>0.26870682012615688</v>
      </c>
      <c r="K518">
        <v>-9.6757814042112797E-2</v>
      </c>
      <c r="L518">
        <v>281285922.60046762</v>
      </c>
      <c r="M518" t="s">
        <v>156</v>
      </c>
      <c r="N518" t="s">
        <v>177</v>
      </c>
      <c r="O518" t="s">
        <v>179</v>
      </c>
      <c r="P518">
        <v>1961</v>
      </c>
      <c r="Q518">
        <v>493</v>
      </c>
      <c r="R518">
        <v>1468</v>
      </c>
    </row>
    <row r="519" spans="1:18" x14ac:dyDescent="0.3">
      <c r="A519" t="s">
        <v>1539</v>
      </c>
      <c r="B519">
        <v>2022</v>
      </c>
      <c r="C519">
        <v>3.0941756089893562</v>
      </c>
      <c r="D519">
        <v>0</v>
      </c>
      <c r="E519">
        <v>1</v>
      </c>
      <c r="F519">
        <v>106</v>
      </c>
      <c r="G519">
        <v>1.2670553958481E-3</v>
      </c>
      <c r="H519">
        <v>11</v>
      </c>
      <c r="I519">
        <v>3</v>
      </c>
      <c r="J519">
        <v>0.46581948174998289</v>
      </c>
      <c r="K519">
        <v>-0.32562939970319399</v>
      </c>
      <c r="L519">
        <v>32629655.035461131</v>
      </c>
      <c r="M519" t="s">
        <v>156</v>
      </c>
      <c r="N519" t="s">
        <v>181</v>
      </c>
      <c r="O519" t="s">
        <v>183</v>
      </c>
      <c r="P519">
        <v>2901</v>
      </c>
      <c r="Q519">
        <v>1729</v>
      </c>
      <c r="R519">
        <v>1172</v>
      </c>
    </row>
    <row r="520" spans="1:18" x14ac:dyDescent="0.3">
      <c r="A520" t="s">
        <v>1540</v>
      </c>
      <c r="B520">
        <v>2022</v>
      </c>
      <c r="C520">
        <v>1.6320542681184149</v>
      </c>
      <c r="D520">
        <v>0</v>
      </c>
      <c r="E520">
        <v>1</v>
      </c>
      <c r="F520">
        <v>44</v>
      </c>
      <c r="G520">
        <v>1.5858380969942E-3</v>
      </c>
      <c r="H520">
        <v>4</v>
      </c>
      <c r="I520">
        <v>1</v>
      </c>
      <c r="J520">
        <v>0.45735226119450251</v>
      </c>
      <c r="K520">
        <v>-0.25724092765431628</v>
      </c>
      <c r="L520">
        <v>32060292.932294469</v>
      </c>
      <c r="M520" t="s">
        <v>156</v>
      </c>
      <c r="N520" t="s">
        <v>181</v>
      </c>
      <c r="O520" t="s">
        <v>185</v>
      </c>
      <c r="P520">
        <v>1144</v>
      </c>
      <c r="Q520">
        <v>586</v>
      </c>
      <c r="R520">
        <v>558</v>
      </c>
    </row>
    <row r="521" spans="1:18" x14ac:dyDescent="0.3">
      <c r="A521" t="s">
        <v>1541</v>
      </c>
      <c r="B521">
        <v>2022</v>
      </c>
      <c r="C521">
        <v>0.73735067526969955</v>
      </c>
      <c r="D521">
        <v>0</v>
      </c>
      <c r="E521">
        <v>4</v>
      </c>
      <c r="F521">
        <v>120</v>
      </c>
      <c r="G521">
        <v>5.2993042593659997E-4</v>
      </c>
      <c r="H521">
        <v>5</v>
      </c>
      <c r="I521">
        <v>12</v>
      </c>
      <c r="J521">
        <v>0.5768950911354751</v>
      </c>
      <c r="K521">
        <v>-0.2530710575405139</v>
      </c>
      <c r="L521">
        <v>247982097.33019289</v>
      </c>
      <c r="M521" t="s">
        <v>191</v>
      </c>
      <c r="N521" t="s">
        <v>203</v>
      </c>
      <c r="O521" t="s">
        <v>204</v>
      </c>
      <c r="P521">
        <v>3866</v>
      </c>
      <c r="Q521">
        <v>1223</v>
      </c>
      <c r="R521">
        <v>2643</v>
      </c>
    </row>
    <row r="522" spans="1:18" x14ac:dyDescent="0.3">
      <c r="A522" t="s">
        <v>1542</v>
      </c>
      <c r="B522">
        <v>2022</v>
      </c>
      <c r="C522">
        <v>0.67737122474506573</v>
      </c>
      <c r="D522">
        <v>0</v>
      </c>
      <c r="E522">
        <v>1</v>
      </c>
      <c r="F522">
        <v>56</v>
      </c>
      <c r="G522">
        <v>1.1261190216328E-3</v>
      </c>
      <c r="H522">
        <v>7</v>
      </c>
      <c r="I522">
        <v>11</v>
      </c>
      <c r="J522">
        <v>0.6459424392146168</v>
      </c>
      <c r="K522">
        <v>-0.29269901648654678</v>
      </c>
      <c r="L522">
        <v>181411062.8097333</v>
      </c>
      <c r="M522" t="s">
        <v>191</v>
      </c>
      <c r="N522" t="s">
        <v>203</v>
      </c>
      <c r="O522" t="s">
        <v>205</v>
      </c>
      <c r="P522">
        <v>1958</v>
      </c>
      <c r="Q522">
        <v>714</v>
      </c>
      <c r="R522">
        <v>1244</v>
      </c>
    </row>
    <row r="523" spans="1:18" x14ac:dyDescent="0.3">
      <c r="A523" t="s">
        <v>1543</v>
      </c>
      <c r="B523">
        <v>2022</v>
      </c>
      <c r="C523">
        <v>0.97838165183583836</v>
      </c>
      <c r="D523">
        <v>0</v>
      </c>
      <c r="E523">
        <v>110</v>
      </c>
      <c r="F523">
        <v>148</v>
      </c>
      <c r="G523">
        <v>2.4392946188839999E-4</v>
      </c>
      <c r="H523">
        <v>14</v>
      </c>
      <c r="I523">
        <v>21</v>
      </c>
      <c r="J523">
        <v>0.41660973973283633</v>
      </c>
      <c r="K523">
        <v>-0.2240947643198461</v>
      </c>
      <c r="L523">
        <v>162289338.10519171</v>
      </c>
      <c r="M523" t="s">
        <v>191</v>
      </c>
      <c r="N523" t="s">
        <v>206</v>
      </c>
      <c r="O523" t="s">
        <v>207</v>
      </c>
      <c r="P523">
        <v>5526</v>
      </c>
      <c r="Q523">
        <v>1716</v>
      </c>
      <c r="R523">
        <v>3810</v>
      </c>
    </row>
    <row r="524" spans="1:18" x14ac:dyDescent="0.3">
      <c r="A524" t="s">
        <v>1544</v>
      </c>
      <c r="B524">
        <v>2022</v>
      </c>
      <c r="C524">
        <v>0.78121902393151987</v>
      </c>
      <c r="D524">
        <v>0</v>
      </c>
      <c r="E524">
        <v>157</v>
      </c>
      <c r="F524">
        <v>363</v>
      </c>
      <c r="G524">
        <v>1.3261535307860001E-4</v>
      </c>
      <c r="H524">
        <v>6</v>
      </c>
      <c r="I524">
        <v>30</v>
      </c>
      <c r="J524">
        <v>0.15437195241025931</v>
      </c>
      <c r="K524">
        <v>-1.12726269158318E-2</v>
      </c>
      <c r="L524">
        <v>407965363.59823447</v>
      </c>
      <c r="M524" t="s">
        <v>191</v>
      </c>
      <c r="N524" t="s">
        <v>206</v>
      </c>
      <c r="O524" t="s">
        <v>208</v>
      </c>
      <c r="P524">
        <v>13862</v>
      </c>
      <c r="Q524">
        <v>4841</v>
      </c>
      <c r="R524">
        <v>9021</v>
      </c>
    </row>
    <row r="525" spans="1:18" x14ac:dyDescent="0.3">
      <c r="A525" t="s">
        <v>1545</v>
      </c>
      <c r="B525">
        <v>2022</v>
      </c>
      <c r="C525">
        <v>0.72775641506745159</v>
      </c>
      <c r="D525">
        <v>0</v>
      </c>
      <c r="E525">
        <v>5</v>
      </c>
      <c r="F525">
        <v>19</v>
      </c>
      <c r="G525">
        <v>2.6736512934739999E-3</v>
      </c>
      <c r="H525">
        <v>7</v>
      </c>
      <c r="I525">
        <v>4</v>
      </c>
      <c r="J525">
        <v>0.4447462027641268</v>
      </c>
      <c r="K525">
        <v>-0.2600108033137174</v>
      </c>
      <c r="L525">
        <v>32494962.159293659</v>
      </c>
      <c r="M525" t="s">
        <v>191</v>
      </c>
      <c r="N525" t="s">
        <v>206</v>
      </c>
      <c r="O525" t="s">
        <v>209</v>
      </c>
      <c r="P525">
        <v>692</v>
      </c>
      <c r="Q525">
        <v>168</v>
      </c>
      <c r="R525">
        <v>524</v>
      </c>
    </row>
    <row r="526" spans="1:18" x14ac:dyDescent="0.3">
      <c r="A526" t="s">
        <v>1546</v>
      </c>
      <c r="B526">
        <v>2022</v>
      </c>
      <c r="C526">
        <v>0.68527224986013413</v>
      </c>
      <c r="D526">
        <v>0</v>
      </c>
      <c r="E526">
        <v>29</v>
      </c>
      <c r="F526">
        <v>139</v>
      </c>
      <c r="G526">
        <v>1.7491635454189999E-4</v>
      </c>
      <c r="H526">
        <v>9</v>
      </c>
      <c r="I526">
        <v>24</v>
      </c>
      <c r="J526">
        <v>0.31889816406613208</v>
      </c>
      <c r="K526">
        <v>-0.20636019098698269</v>
      </c>
      <c r="L526">
        <v>282094970.83329397</v>
      </c>
      <c r="M526" t="s">
        <v>191</v>
      </c>
      <c r="N526" t="s">
        <v>211</v>
      </c>
      <c r="O526" t="s">
        <v>212</v>
      </c>
      <c r="P526">
        <v>3798</v>
      </c>
      <c r="Q526">
        <v>178</v>
      </c>
      <c r="R526">
        <v>3620</v>
      </c>
    </row>
    <row r="527" spans="1:18" x14ac:dyDescent="0.3">
      <c r="A527" t="s">
        <v>1547</v>
      </c>
      <c r="B527">
        <v>2022</v>
      </c>
      <c r="C527">
        <v>0.65598112832830036</v>
      </c>
      <c r="D527">
        <v>0</v>
      </c>
      <c r="E527">
        <v>33</v>
      </c>
      <c r="F527">
        <v>106</v>
      </c>
      <c r="G527">
        <v>4.439392154369E-4</v>
      </c>
      <c r="H527">
        <v>8</v>
      </c>
      <c r="I527">
        <v>8</v>
      </c>
      <c r="J527">
        <v>0.46381421312907228</v>
      </c>
      <c r="K527">
        <v>-0.2102740838310504</v>
      </c>
      <c r="L527">
        <v>205989575.65747541</v>
      </c>
      <c r="M527" t="s">
        <v>191</v>
      </c>
      <c r="N527" t="s">
        <v>211</v>
      </c>
      <c r="O527" t="s">
        <v>215</v>
      </c>
      <c r="P527">
        <v>1916</v>
      </c>
      <c r="Q527">
        <v>65</v>
      </c>
      <c r="R527">
        <v>1851</v>
      </c>
    </row>
    <row r="528" spans="1:18" x14ac:dyDescent="0.3">
      <c r="A528" t="s">
        <v>1548</v>
      </c>
      <c r="B528">
        <v>2022</v>
      </c>
      <c r="C528">
        <v>0.75021992727924103</v>
      </c>
      <c r="D528">
        <v>0</v>
      </c>
      <c r="E528">
        <v>11</v>
      </c>
      <c r="F528">
        <v>109</v>
      </c>
      <c r="G528">
        <v>9.1195861186749996E-4</v>
      </c>
      <c r="H528">
        <v>5</v>
      </c>
      <c r="I528">
        <v>9</v>
      </c>
      <c r="J528">
        <v>0.38002187763555362</v>
      </c>
      <c r="K528">
        <v>-0.1091030689846927</v>
      </c>
      <c r="L528">
        <v>192915130.79261491</v>
      </c>
      <c r="M528" t="s">
        <v>191</v>
      </c>
      <c r="N528" t="s">
        <v>211</v>
      </c>
      <c r="O528" t="s">
        <v>216</v>
      </c>
      <c r="P528">
        <v>4026</v>
      </c>
      <c r="Q528">
        <v>1176</v>
      </c>
      <c r="R528">
        <v>2850</v>
      </c>
    </row>
    <row r="529" spans="1:18" x14ac:dyDescent="0.3">
      <c r="A529" t="s">
        <v>1549</v>
      </c>
      <c r="B529">
        <v>2022</v>
      </c>
      <c r="C529">
        <v>0.65527798278416682</v>
      </c>
      <c r="D529">
        <v>0</v>
      </c>
      <c r="E529">
        <v>3</v>
      </c>
      <c r="F529">
        <v>39</v>
      </c>
      <c r="G529">
        <v>9.5011445796780003E-4</v>
      </c>
      <c r="H529">
        <v>11</v>
      </c>
      <c r="I529">
        <v>7</v>
      </c>
      <c r="L529">
        <v>131649847.74023899</v>
      </c>
      <c r="M529" t="s">
        <v>191</v>
      </c>
      <c r="N529" t="s">
        <v>227</v>
      </c>
      <c r="O529" t="s">
        <v>230</v>
      </c>
      <c r="P529">
        <v>1850</v>
      </c>
      <c r="Q529">
        <v>392</v>
      </c>
      <c r="R529">
        <v>1458</v>
      </c>
    </row>
    <row r="530" spans="1:18" x14ac:dyDescent="0.3">
      <c r="A530" t="s">
        <v>1550</v>
      </c>
      <c r="B530">
        <v>2022</v>
      </c>
      <c r="C530">
        <v>0.74892571136440822</v>
      </c>
      <c r="D530">
        <v>0</v>
      </c>
      <c r="E530">
        <v>2</v>
      </c>
      <c r="F530">
        <v>28</v>
      </c>
      <c r="G530">
        <v>9.7370705545180003E-4</v>
      </c>
      <c r="H530">
        <v>6</v>
      </c>
      <c r="I530">
        <v>6</v>
      </c>
      <c r="L530">
        <v>116438367.2025093</v>
      </c>
      <c r="M530" t="s">
        <v>191</v>
      </c>
      <c r="N530" t="s">
        <v>227</v>
      </c>
      <c r="O530" t="s">
        <v>231</v>
      </c>
      <c r="P530">
        <v>1024</v>
      </c>
      <c r="Q530">
        <v>134</v>
      </c>
      <c r="R530">
        <v>890</v>
      </c>
    </row>
    <row r="531" spans="1:18" x14ac:dyDescent="0.3">
      <c r="A531" t="s">
        <v>1551</v>
      </c>
      <c r="B531">
        <v>2022</v>
      </c>
      <c r="C531">
        <v>0.8089681929148973</v>
      </c>
      <c r="D531">
        <v>0</v>
      </c>
      <c r="E531">
        <v>2</v>
      </c>
      <c r="F531">
        <v>142</v>
      </c>
      <c r="G531">
        <v>3.8098022290750002E-4</v>
      </c>
      <c r="H531">
        <v>3</v>
      </c>
      <c r="I531">
        <v>0</v>
      </c>
      <c r="J531">
        <v>0.38531283846750369</v>
      </c>
      <c r="K531">
        <v>-0.26534510085993029</v>
      </c>
      <c r="L531">
        <v>279311157.58146697</v>
      </c>
      <c r="M531" t="s">
        <v>232</v>
      </c>
      <c r="N531" t="s">
        <v>233</v>
      </c>
      <c r="O531" t="s">
        <v>240</v>
      </c>
      <c r="P531">
        <v>3925</v>
      </c>
      <c r="Q531">
        <v>482</v>
      </c>
      <c r="R531">
        <v>3443</v>
      </c>
    </row>
    <row r="532" spans="1:18" x14ac:dyDescent="0.3">
      <c r="A532" t="s">
        <v>1552</v>
      </c>
      <c r="B532">
        <v>2022</v>
      </c>
      <c r="C532">
        <v>0.91278479505365018</v>
      </c>
      <c r="D532">
        <v>0</v>
      </c>
      <c r="E532">
        <v>2</v>
      </c>
      <c r="F532">
        <v>87</v>
      </c>
      <c r="G532">
        <v>5.3319107317500005E-4</v>
      </c>
      <c r="H532">
        <v>9</v>
      </c>
      <c r="I532">
        <v>0</v>
      </c>
      <c r="J532">
        <v>0.4316265500480102</v>
      </c>
      <c r="K532">
        <v>-0.30711801833369978</v>
      </c>
      <c r="L532">
        <v>129549312.9215893</v>
      </c>
      <c r="M532" t="s">
        <v>232</v>
      </c>
      <c r="N532" t="s">
        <v>244</v>
      </c>
      <c r="O532" t="s">
        <v>247</v>
      </c>
      <c r="P532">
        <v>1743</v>
      </c>
      <c r="Q532">
        <v>559</v>
      </c>
      <c r="R532">
        <v>1184</v>
      </c>
    </row>
    <row r="533" spans="1:18" x14ac:dyDescent="0.3">
      <c r="A533" t="s">
        <v>1553</v>
      </c>
      <c r="B533">
        <v>2022</v>
      </c>
      <c r="C533">
        <v>0.82207099575209408</v>
      </c>
      <c r="D533">
        <v>0</v>
      </c>
      <c r="E533">
        <v>2</v>
      </c>
      <c r="F533">
        <v>106</v>
      </c>
      <c r="G533">
        <v>3.5580552981190003E-4</v>
      </c>
      <c r="H533">
        <v>2</v>
      </c>
      <c r="I533">
        <v>0</v>
      </c>
      <c r="J533">
        <v>0.43337887254668872</v>
      </c>
      <c r="K533">
        <v>-0.24158205623864201</v>
      </c>
      <c r="L533">
        <v>102883885.3586278</v>
      </c>
      <c r="M533" t="s">
        <v>232</v>
      </c>
      <c r="N533" t="s">
        <v>244</v>
      </c>
      <c r="O533" t="s">
        <v>248</v>
      </c>
      <c r="P533">
        <v>1864</v>
      </c>
      <c r="Q533">
        <v>355</v>
      </c>
      <c r="R533">
        <v>1509</v>
      </c>
    </row>
    <row r="534" spans="1:18" x14ac:dyDescent="0.3">
      <c r="A534" t="s">
        <v>1554</v>
      </c>
      <c r="B534">
        <v>2022</v>
      </c>
      <c r="C534">
        <v>1.4247856863664079</v>
      </c>
      <c r="D534">
        <v>0</v>
      </c>
      <c r="E534">
        <v>8</v>
      </c>
      <c r="F534">
        <v>29</v>
      </c>
      <c r="G534">
        <v>2.0040039798108998E-3</v>
      </c>
      <c r="H534">
        <v>6</v>
      </c>
      <c r="I534">
        <v>0</v>
      </c>
      <c r="J534">
        <v>0.31022654390263449</v>
      </c>
      <c r="K534">
        <v>-0.27643281246418488</v>
      </c>
      <c r="L534">
        <v>10936374.77909318</v>
      </c>
      <c r="M534" t="s">
        <v>232</v>
      </c>
      <c r="N534" t="s">
        <v>244</v>
      </c>
      <c r="O534" t="s">
        <v>249</v>
      </c>
      <c r="P534">
        <v>257</v>
      </c>
      <c r="Q534">
        <v>193</v>
      </c>
      <c r="R534">
        <v>64</v>
      </c>
    </row>
    <row r="535" spans="1:18" x14ac:dyDescent="0.3">
      <c r="A535" t="s">
        <v>1555</v>
      </c>
      <c r="B535">
        <v>2022</v>
      </c>
      <c r="C535">
        <v>0.6545405067969664</v>
      </c>
      <c r="D535">
        <v>0</v>
      </c>
      <c r="E535">
        <v>2</v>
      </c>
      <c r="F535">
        <v>34</v>
      </c>
      <c r="G535">
        <v>9.004916361286E-4</v>
      </c>
      <c r="H535">
        <v>2</v>
      </c>
      <c r="I535">
        <v>2</v>
      </c>
      <c r="J535">
        <v>0.49727671811522828</v>
      </c>
      <c r="K535">
        <v>-0.28286581158563429</v>
      </c>
      <c r="L535">
        <v>110462026.5237771</v>
      </c>
      <c r="M535" t="s">
        <v>232</v>
      </c>
      <c r="N535" t="s">
        <v>254</v>
      </c>
      <c r="O535" t="s">
        <v>256</v>
      </c>
      <c r="P535">
        <v>710</v>
      </c>
      <c r="Q535">
        <v>55</v>
      </c>
      <c r="R535">
        <v>655</v>
      </c>
    </row>
    <row r="536" spans="1:18" x14ac:dyDescent="0.3">
      <c r="A536" t="s">
        <v>1556</v>
      </c>
      <c r="B536">
        <v>2022</v>
      </c>
      <c r="C536">
        <v>0.74242553143728407</v>
      </c>
      <c r="D536">
        <v>0</v>
      </c>
      <c r="E536">
        <v>6</v>
      </c>
      <c r="F536">
        <v>106</v>
      </c>
      <c r="G536">
        <v>2.730742641169E-4</v>
      </c>
      <c r="H536">
        <v>5</v>
      </c>
      <c r="I536">
        <v>3</v>
      </c>
      <c r="J536">
        <v>0.54415260053022863</v>
      </c>
      <c r="K536">
        <v>-0.32672682551368648</v>
      </c>
      <c r="L536">
        <v>266049407.6911833</v>
      </c>
      <c r="M536" t="s">
        <v>232</v>
      </c>
      <c r="N536" t="s">
        <v>254</v>
      </c>
      <c r="O536" t="s">
        <v>258</v>
      </c>
      <c r="P536">
        <v>3045</v>
      </c>
      <c r="Q536">
        <v>205</v>
      </c>
      <c r="R536">
        <v>2840</v>
      </c>
    </row>
    <row r="537" spans="1:18" x14ac:dyDescent="0.3">
      <c r="A537" t="s">
        <v>1557</v>
      </c>
      <c r="B537">
        <v>2022</v>
      </c>
      <c r="C537">
        <v>1.6250552456580289</v>
      </c>
      <c r="D537">
        <v>0</v>
      </c>
      <c r="E537">
        <v>3</v>
      </c>
      <c r="F537">
        <v>75</v>
      </c>
      <c r="G537">
        <v>9.279373440567E-4</v>
      </c>
      <c r="H537">
        <v>5</v>
      </c>
      <c r="I537">
        <v>0</v>
      </c>
      <c r="J537">
        <v>0.36905627076831649</v>
      </c>
      <c r="K537">
        <v>-0.29255602374735068</v>
      </c>
      <c r="L537">
        <v>24928897.401075792</v>
      </c>
      <c r="M537" t="s">
        <v>232</v>
      </c>
      <c r="N537" t="s">
        <v>261</v>
      </c>
      <c r="O537" t="s">
        <v>264</v>
      </c>
      <c r="P537">
        <v>1083</v>
      </c>
      <c r="Q537">
        <v>292</v>
      </c>
      <c r="R537">
        <v>791</v>
      </c>
    </row>
    <row r="538" spans="1:18" x14ac:dyDescent="0.3">
      <c r="A538" t="s">
        <v>1558</v>
      </c>
      <c r="B538">
        <v>2022</v>
      </c>
      <c r="C538">
        <v>0.75040194140962913</v>
      </c>
      <c r="D538">
        <v>0</v>
      </c>
      <c r="E538">
        <v>2</v>
      </c>
      <c r="F538">
        <v>170</v>
      </c>
      <c r="G538">
        <v>2.2783776150690001E-4</v>
      </c>
      <c r="H538">
        <v>4</v>
      </c>
      <c r="I538">
        <v>1</v>
      </c>
      <c r="J538">
        <v>0.36325470980316649</v>
      </c>
      <c r="K538">
        <v>-0.25472492830410581</v>
      </c>
      <c r="L538">
        <v>566550758.9182924</v>
      </c>
      <c r="M538" t="s">
        <v>232</v>
      </c>
      <c r="N538" t="s">
        <v>266</v>
      </c>
      <c r="O538" t="s">
        <v>267</v>
      </c>
      <c r="P538">
        <v>6410</v>
      </c>
      <c r="Q538">
        <v>616</v>
      </c>
      <c r="R538">
        <v>5794</v>
      </c>
    </row>
    <row r="539" spans="1:18" x14ac:dyDescent="0.3">
      <c r="A539" t="s">
        <v>1559</v>
      </c>
      <c r="B539">
        <v>2022</v>
      </c>
      <c r="C539">
        <v>1.1093602055063509</v>
      </c>
      <c r="D539">
        <v>0</v>
      </c>
      <c r="E539">
        <v>2</v>
      </c>
      <c r="F539">
        <v>34</v>
      </c>
      <c r="G539">
        <v>3.9292429300486998E-3</v>
      </c>
      <c r="H539">
        <v>4</v>
      </c>
      <c r="I539">
        <v>0</v>
      </c>
      <c r="J539">
        <v>0.37964238837595887</v>
      </c>
      <c r="K539">
        <v>-0.2009607572319955</v>
      </c>
      <c r="L539">
        <v>14831516.253676429</v>
      </c>
      <c r="M539" t="s">
        <v>232</v>
      </c>
      <c r="N539" t="s">
        <v>269</v>
      </c>
      <c r="O539" t="s">
        <v>270</v>
      </c>
      <c r="P539">
        <v>224</v>
      </c>
      <c r="Q539">
        <v>46</v>
      </c>
      <c r="R539">
        <v>178</v>
      </c>
    </row>
    <row r="540" spans="1:18" x14ac:dyDescent="0.3">
      <c r="A540" t="s">
        <v>1560</v>
      </c>
      <c r="B540">
        <v>2022</v>
      </c>
      <c r="C540">
        <v>1.2742858374846311</v>
      </c>
      <c r="D540">
        <v>0</v>
      </c>
      <c r="E540">
        <v>187</v>
      </c>
      <c r="F540">
        <v>103</v>
      </c>
      <c r="G540">
        <v>8.171312670876E-4</v>
      </c>
      <c r="H540">
        <v>6</v>
      </c>
      <c r="I540">
        <v>1</v>
      </c>
      <c r="J540">
        <v>0.27543393204204508</v>
      </c>
      <c r="K540">
        <v>-0.16016358756941579</v>
      </c>
      <c r="L540">
        <v>33072385.00980176</v>
      </c>
      <c r="M540" t="s">
        <v>232</v>
      </c>
      <c r="N540" t="s">
        <v>269</v>
      </c>
      <c r="O540" t="s">
        <v>271</v>
      </c>
      <c r="P540">
        <v>1156</v>
      </c>
      <c r="Q540">
        <v>211</v>
      </c>
      <c r="R540">
        <v>945</v>
      </c>
    </row>
    <row r="541" spans="1:18" x14ac:dyDescent="0.3">
      <c r="A541" t="s">
        <v>1561</v>
      </c>
      <c r="B541">
        <v>2022</v>
      </c>
      <c r="C541">
        <v>1.041956682258699</v>
      </c>
      <c r="D541">
        <v>0</v>
      </c>
      <c r="E541">
        <v>215</v>
      </c>
      <c r="F541">
        <v>78</v>
      </c>
      <c r="G541">
        <v>1.3854350409876E-3</v>
      </c>
      <c r="H541">
        <v>1</v>
      </c>
      <c r="I541">
        <v>0</v>
      </c>
      <c r="J541">
        <v>0.2797697154913571</v>
      </c>
      <c r="K541">
        <v>-0.221135106860084</v>
      </c>
      <c r="L541">
        <v>21194919.701007821</v>
      </c>
      <c r="M541" t="s">
        <v>232</v>
      </c>
      <c r="N541" t="s">
        <v>269</v>
      </c>
      <c r="O541" t="s">
        <v>277</v>
      </c>
      <c r="P541">
        <v>274</v>
      </c>
      <c r="Q541">
        <v>35</v>
      </c>
      <c r="R541">
        <v>239</v>
      </c>
    </row>
    <row r="542" spans="1:18" x14ac:dyDescent="0.3">
      <c r="A542" t="s">
        <v>1562</v>
      </c>
      <c r="B542">
        <v>2022</v>
      </c>
      <c r="C542">
        <v>2.6885374222425198</v>
      </c>
      <c r="D542">
        <v>0</v>
      </c>
      <c r="E542">
        <v>153</v>
      </c>
      <c r="F542">
        <v>127</v>
      </c>
      <c r="G542">
        <v>9.8725571852590005E-4</v>
      </c>
      <c r="H542">
        <v>1</v>
      </c>
      <c r="I542">
        <v>2</v>
      </c>
      <c r="J542">
        <v>0.35709581842283938</v>
      </c>
      <c r="K542">
        <v>-0.2139302721657291</v>
      </c>
      <c r="L542">
        <v>31741179.317875359</v>
      </c>
      <c r="M542" t="s">
        <v>232</v>
      </c>
      <c r="N542" t="s">
        <v>279</v>
      </c>
      <c r="O542" t="s">
        <v>279</v>
      </c>
      <c r="P542">
        <v>2243</v>
      </c>
      <c r="Q542">
        <v>1426</v>
      </c>
      <c r="R542">
        <v>817</v>
      </c>
    </row>
    <row r="543" spans="1:18" x14ac:dyDescent="0.3">
      <c r="A543" t="s">
        <v>1563</v>
      </c>
      <c r="B543">
        <v>2022</v>
      </c>
      <c r="C543">
        <v>0.79783914327616767</v>
      </c>
      <c r="D543">
        <v>0</v>
      </c>
      <c r="E543">
        <v>14</v>
      </c>
      <c r="F543">
        <v>74</v>
      </c>
      <c r="G543">
        <v>1.3118308938244001E-3</v>
      </c>
      <c r="H543">
        <v>1</v>
      </c>
      <c r="I543">
        <v>0</v>
      </c>
      <c r="J543">
        <v>0.44034811905064108</v>
      </c>
      <c r="K543">
        <v>-0.22404969143453171</v>
      </c>
      <c r="L543">
        <v>74222642.894390225</v>
      </c>
      <c r="M543" t="s">
        <v>232</v>
      </c>
      <c r="N543" t="s">
        <v>279</v>
      </c>
      <c r="O543" t="s">
        <v>280</v>
      </c>
      <c r="P543">
        <v>1294</v>
      </c>
      <c r="Q543">
        <v>644</v>
      </c>
      <c r="R543">
        <v>650</v>
      </c>
    </row>
    <row r="544" spans="1:18" x14ac:dyDescent="0.3">
      <c r="A544" t="s">
        <v>1564</v>
      </c>
      <c r="B544">
        <v>2022</v>
      </c>
      <c r="C544">
        <v>0.68903569604494563</v>
      </c>
      <c r="D544">
        <v>0</v>
      </c>
      <c r="E544">
        <v>795</v>
      </c>
      <c r="F544">
        <v>50</v>
      </c>
      <c r="G544">
        <v>1.0029761090791999E-3</v>
      </c>
      <c r="H544">
        <v>3</v>
      </c>
      <c r="I544">
        <v>0</v>
      </c>
      <c r="J544">
        <v>0.38767325417432269</v>
      </c>
      <c r="K544">
        <v>-0.18537612623322439</v>
      </c>
      <c r="L544">
        <v>72965311.079347253</v>
      </c>
      <c r="M544" t="s">
        <v>232</v>
      </c>
      <c r="N544" t="s">
        <v>279</v>
      </c>
      <c r="O544" t="s">
        <v>282</v>
      </c>
      <c r="P544">
        <v>533</v>
      </c>
      <c r="Q544">
        <v>193</v>
      </c>
      <c r="R544">
        <v>340</v>
      </c>
    </row>
    <row r="545" spans="1:18" x14ac:dyDescent="0.3">
      <c r="A545" t="s">
        <v>1565</v>
      </c>
      <c r="B545">
        <v>2022</v>
      </c>
      <c r="C545">
        <v>4.9455863292099984</v>
      </c>
      <c r="D545">
        <v>0</v>
      </c>
      <c r="E545">
        <v>2</v>
      </c>
      <c r="F545">
        <v>38</v>
      </c>
      <c r="G545">
        <v>6.2722103766878999E-3</v>
      </c>
      <c r="H545">
        <v>2</v>
      </c>
      <c r="I545">
        <v>0</v>
      </c>
      <c r="J545">
        <v>0.34611477580375383</v>
      </c>
      <c r="K545">
        <v>-0.22437688800935801</v>
      </c>
      <c r="L545">
        <v>3872150.4455581652</v>
      </c>
      <c r="M545" t="s">
        <v>232</v>
      </c>
      <c r="N545" t="s">
        <v>279</v>
      </c>
      <c r="O545" t="s">
        <v>283</v>
      </c>
      <c r="P545">
        <v>1093</v>
      </c>
      <c r="Q545">
        <v>582</v>
      </c>
      <c r="R545">
        <v>511</v>
      </c>
    </row>
    <row r="546" spans="1:18" x14ac:dyDescent="0.3">
      <c r="A546" t="s">
        <v>1566</v>
      </c>
      <c r="B546">
        <v>2022</v>
      </c>
      <c r="C546">
        <v>1.143391539802773</v>
      </c>
      <c r="D546">
        <v>0</v>
      </c>
      <c r="E546">
        <v>254</v>
      </c>
      <c r="F546">
        <v>52</v>
      </c>
      <c r="G546">
        <v>1.3245021517688E-3</v>
      </c>
      <c r="H546">
        <v>8</v>
      </c>
      <c r="I546">
        <v>1</v>
      </c>
      <c r="J546">
        <v>0.38339666572777109</v>
      </c>
      <c r="K546">
        <v>-0.20591190060089021</v>
      </c>
      <c r="L546">
        <v>25189461.50343639</v>
      </c>
      <c r="M546" t="s">
        <v>232</v>
      </c>
      <c r="N546" t="s">
        <v>279</v>
      </c>
      <c r="O546" t="s">
        <v>285</v>
      </c>
      <c r="P546">
        <v>249</v>
      </c>
      <c r="Q546">
        <v>126</v>
      </c>
      <c r="R546">
        <v>123</v>
      </c>
    </row>
    <row r="547" spans="1:18" x14ac:dyDescent="0.3">
      <c r="A547" t="s">
        <v>1567</v>
      </c>
      <c r="B547">
        <v>2022</v>
      </c>
      <c r="C547">
        <v>1.1900967337866291</v>
      </c>
      <c r="D547">
        <v>0</v>
      </c>
      <c r="E547">
        <v>2</v>
      </c>
      <c r="F547">
        <v>452</v>
      </c>
      <c r="G547">
        <v>2.3129822464930001E-4</v>
      </c>
      <c r="H547">
        <v>1</v>
      </c>
      <c r="I547">
        <v>2</v>
      </c>
      <c r="J547">
        <v>0.280105259996561</v>
      </c>
      <c r="K547">
        <v>-0.138361568363014</v>
      </c>
      <c r="L547">
        <v>159262757.17903429</v>
      </c>
      <c r="M547" t="s">
        <v>232</v>
      </c>
      <c r="N547" t="s">
        <v>286</v>
      </c>
      <c r="O547" t="s">
        <v>286</v>
      </c>
      <c r="P547">
        <v>16593</v>
      </c>
      <c r="Q547">
        <v>10587</v>
      </c>
      <c r="R547">
        <v>6006</v>
      </c>
    </row>
    <row r="548" spans="1:18" x14ac:dyDescent="0.3">
      <c r="A548" t="s">
        <v>1568</v>
      </c>
      <c r="B548">
        <v>2022</v>
      </c>
      <c r="C548">
        <v>2.7033959514972432</v>
      </c>
      <c r="D548">
        <v>0</v>
      </c>
      <c r="E548">
        <v>102</v>
      </c>
      <c r="F548">
        <v>341</v>
      </c>
      <c r="G548">
        <v>7.7037830144640002E-4</v>
      </c>
      <c r="H548">
        <v>18</v>
      </c>
      <c r="I548">
        <v>1</v>
      </c>
      <c r="J548">
        <v>0.344415592399755</v>
      </c>
      <c r="K548">
        <v>-0.31803041095879592</v>
      </c>
      <c r="L548">
        <v>97312099.186405927</v>
      </c>
      <c r="M548" t="s">
        <v>287</v>
      </c>
      <c r="N548" t="s">
        <v>290</v>
      </c>
      <c r="O548" t="s">
        <v>291</v>
      </c>
      <c r="P548">
        <v>1924</v>
      </c>
      <c r="Q548">
        <v>889</v>
      </c>
      <c r="R548">
        <v>1035</v>
      </c>
    </row>
    <row r="549" spans="1:18" x14ac:dyDescent="0.3">
      <c r="A549" t="s">
        <v>1569</v>
      </c>
      <c r="B549">
        <v>2022</v>
      </c>
      <c r="C549">
        <v>0.94214153723806104</v>
      </c>
      <c r="D549">
        <v>0</v>
      </c>
      <c r="E549">
        <v>1</v>
      </c>
      <c r="F549">
        <v>94</v>
      </c>
      <c r="G549">
        <v>1.1996709393154001E-3</v>
      </c>
      <c r="H549">
        <v>3</v>
      </c>
      <c r="I549">
        <v>0</v>
      </c>
      <c r="J549">
        <v>0.34142628414496468</v>
      </c>
      <c r="K549">
        <v>-0.32028750703375147</v>
      </c>
      <c r="L549">
        <v>78357856.658124626</v>
      </c>
      <c r="M549" t="s">
        <v>287</v>
      </c>
      <c r="N549" t="s">
        <v>290</v>
      </c>
      <c r="O549" t="s">
        <v>293</v>
      </c>
      <c r="P549">
        <v>883</v>
      </c>
      <c r="Q549">
        <v>423</v>
      </c>
      <c r="R549">
        <v>460</v>
      </c>
    </row>
    <row r="550" spans="1:18" x14ac:dyDescent="0.3">
      <c r="A550" t="s">
        <v>1570</v>
      </c>
      <c r="B550">
        <v>2022</v>
      </c>
      <c r="C550">
        <v>0.7047014803348054</v>
      </c>
      <c r="D550">
        <v>0</v>
      </c>
      <c r="E550">
        <v>2</v>
      </c>
      <c r="F550">
        <v>29</v>
      </c>
      <c r="G550">
        <v>1.0626986569969E-3</v>
      </c>
      <c r="H550">
        <v>1</v>
      </c>
      <c r="I550">
        <v>0</v>
      </c>
      <c r="J550">
        <v>0.3819334810723658</v>
      </c>
      <c r="K550">
        <v>-0.16478890357551829</v>
      </c>
      <c r="L550">
        <v>96215852.769127727</v>
      </c>
      <c r="M550" t="s">
        <v>287</v>
      </c>
      <c r="N550" t="s">
        <v>295</v>
      </c>
      <c r="O550" t="s">
        <v>300</v>
      </c>
      <c r="P550">
        <v>302</v>
      </c>
      <c r="Q550">
        <v>90</v>
      </c>
      <c r="R550">
        <v>212</v>
      </c>
    </row>
    <row r="551" spans="1:18" x14ac:dyDescent="0.3">
      <c r="A551" t="s">
        <v>1571</v>
      </c>
      <c r="B551">
        <v>2022</v>
      </c>
      <c r="C551">
        <v>2.0036949390854302</v>
      </c>
      <c r="D551">
        <v>0</v>
      </c>
      <c r="E551">
        <v>3</v>
      </c>
      <c r="F551">
        <v>61</v>
      </c>
      <c r="G551">
        <v>3.0124548553684002E-3</v>
      </c>
      <c r="H551">
        <v>6</v>
      </c>
      <c r="I551">
        <v>0</v>
      </c>
      <c r="J551">
        <v>0.2742893696546756</v>
      </c>
      <c r="K551">
        <v>-0.17063301550867249</v>
      </c>
      <c r="L551">
        <v>12832705.53656273</v>
      </c>
      <c r="M551" t="s">
        <v>287</v>
      </c>
      <c r="N551" t="s">
        <v>301</v>
      </c>
      <c r="O551" t="s">
        <v>302</v>
      </c>
      <c r="P551">
        <v>1586</v>
      </c>
      <c r="Q551">
        <v>990</v>
      </c>
      <c r="R551">
        <v>596</v>
      </c>
    </row>
    <row r="552" spans="1:18" x14ac:dyDescent="0.3">
      <c r="A552" t="s">
        <v>1572</v>
      </c>
      <c r="B552">
        <v>2022</v>
      </c>
      <c r="C552">
        <v>0.97947888123550997</v>
      </c>
      <c r="D552">
        <v>0</v>
      </c>
      <c r="E552">
        <v>105</v>
      </c>
      <c r="F552">
        <v>128</v>
      </c>
      <c r="G552">
        <v>3.7754939704020001E-4</v>
      </c>
      <c r="H552">
        <v>10</v>
      </c>
      <c r="I552">
        <v>1</v>
      </c>
      <c r="J552">
        <v>0.51570568334273093</v>
      </c>
      <c r="K552">
        <v>-0.27307238713451781</v>
      </c>
      <c r="L552">
        <v>331634658.39531279</v>
      </c>
      <c r="M552" t="s">
        <v>287</v>
      </c>
      <c r="N552" t="s">
        <v>303</v>
      </c>
      <c r="O552" t="s">
        <v>303</v>
      </c>
      <c r="P552">
        <v>2251</v>
      </c>
      <c r="Q552">
        <v>841</v>
      </c>
      <c r="R552">
        <v>1410</v>
      </c>
    </row>
    <row r="553" spans="1:18" x14ac:dyDescent="0.3">
      <c r="A553" t="s">
        <v>1573</v>
      </c>
      <c r="B553">
        <v>2022</v>
      </c>
      <c r="C553">
        <v>2.356649381968702</v>
      </c>
      <c r="D553">
        <v>0</v>
      </c>
      <c r="E553">
        <v>4</v>
      </c>
      <c r="F553">
        <v>79</v>
      </c>
      <c r="G553">
        <v>2.8043436845113E-3</v>
      </c>
      <c r="H553">
        <v>14</v>
      </c>
      <c r="I553">
        <v>0</v>
      </c>
      <c r="J553">
        <v>0.28618753950083881</v>
      </c>
      <c r="K553">
        <v>2.2541300274788501E-2</v>
      </c>
      <c r="L553">
        <v>68638007.318094447</v>
      </c>
      <c r="M553" t="s">
        <v>287</v>
      </c>
      <c r="N553" t="s">
        <v>304</v>
      </c>
      <c r="O553" t="s">
        <v>305</v>
      </c>
      <c r="P553">
        <v>7337</v>
      </c>
      <c r="Q553">
        <v>2486</v>
      </c>
      <c r="R553">
        <v>4851</v>
      </c>
    </row>
    <row r="554" spans="1:18" x14ac:dyDescent="0.3">
      <c r="A554" t="s">
        <v>1574</v>
      </c>
      <c r="B554">
        <v>2022</v>
      </c>
      <c r="C554">
        <v>5.0568447102834471</v>
      </c>
      <c r="D554">
        <v>0</v>
      </c>
      <c r="E554">
        <v>2</v>
      </c>
      <c r="F554">
        <v>68</v>
      </c>
      <c r="G554">
        <v>5.2753288047405001E-3</v>
      </c>
      <c r="H554">
        <v>2</v>
      </c>
      <c r="I554">
        <v>0</v>
      </c>
      <c r="J554">
        <v>0.54232119115495381</v>
      </c>
      <c r="K554">
        <v>-0.15342595267831191</v>
      </c>
      <c r="L554">
        <v>13621122.85141393</v>
      </c>
      <c r="M554" t="s">
        <v>287</v>
      </c>
      <c r="N554" t="s">
        <v>304</v>
      </c>
      <c r="O554" t="s">
        <v>306</v>
      </c>
      <c r="P554">
        <v>4433</v>
      </c>
      <c r="Q554">
        <v>1786</v>
      </c>
      <c r="R554">
        <v>2647</v>
      </c>
    </row>
    <row r="555" spans="1:18" x14ac:dyDescent="0.3">
      <c r="A555" t="s">
        <v>1575</v>
      </c>
      <c r="B555">
        <v>2022</v>
      </c>
      <c r="C555">
        <v>1.778547744400544</v>
      </c>
      <c r="D555">
        <v>0</v>
      </c>
      <c r="E555">
        <v>1</v>
      </c>
      <c r="F555">
        <v>179</v>
      </c>
      <c r="G555">
        <v>9.4074498944329995E-4</v>
      </c>
      <c r="H555">
        <v>8</v>
      </c>
      <c r="I555">
        <v>1</v>
      </c>
      <c r="J555">
        <v>0.168053998105062</v>
      </c>
      <c r="K555">
        <v>5.9779926196695102E-2</v>
      </c>
      <c r="L555">
        <v>106274088.282993</v>
      </c>
      <c r="M555" t="s">
        <v>287</v>
      </c>
      <c r="N555" t="s">
        <v>304</v>
      </c>
      <c r="O555" t="s">
        <v>307</v>
      </c>
      <c r="P555">
        <v>5326</v>
      </c>
      <c r="Q555">
        <v>1921</v>
      </c>
      <c r="R555">
        <v>3405</v>
      </c>
    </row>
    <row r="556" spans="1:18" x14ac:dyDescent="0.3">
      <c r="A556" t="s">
        <v>1576</v>
      </c>
      <c r="B556">
        <v>2022</v>
      </c>
      <c r="C556">
        <v>1.1745588310453079</v>
      </c>
      <c r="D556">
        <v>0</v>
      </c>
      <c r="E556">
        <v>1</v>
      </c>
      <c r="F556">
        <v>127</v>
      </c>
      <c r="G556">
        <v>1.9189532370773E-3</v>
      </c>
      <c r="H556">
        <v>4</v>
      </c>
      <c r="I556">
        <v>1</v>
      </c>
      <c r="J556">
        <v>0.34238195811715211</v>
      </c>
      <c r="K556">
        <v>-0.1517152529781787</v>
      </c>
      <c r="L556">
        <v>155368035.4006398</v>
      </c>
      <c r="M556" t="s">
        <v>287</v>
      </c>
      <c r="N556" t="s">
        <v>304</v>
      </c>
      <c r="O556" t="s">
        <v>308</v>
      </c>
      <c r="P556">
        <v>6765</v>
      </c>
      <c r="Q556">
        <v>4029</v>
      </c>
      <c r="R556">
        <v>2736</v>
      </c>
    </row>
    <row r="557" spans="1:18" x14ac:dyDescent="0.3">
      <c r="A557" t="s">
        <v>1577</v>
      </c>
      <c r="B557">
        <v>2022</v>
      </c>
      <c r="C557">
        <v>2.8728168332673918</v>
      </c>
      <c r="D557">
        <v>0</v>
      </c>
      <c r="E557">
        <v>221</v>
      </c>
      <c r="F557">
        <v>146</v>
      </c>
      <c r="G557">
        <v>1.648134475841E-3</v>
      </c>
      <c r="H557">
        <v>8</v>
      </c>
      <c r="I557">
        <v>3</v>
      </c>
      <c r="J557">
        <v>0.54941031579026256</v>
      </c>
      <c r="K557">
        <v>-0.2193137623681834</v>
      </c>
      <c r="L557">
        <v>41270073.018962868</v>
      </c>
      <c r="M557" t="s">
        <v>287</v>
      </c>
      <c r="N557" t="s">
        <v>312</v>
      </c>
      <c r="O557" t="s">
        <v>313</v>
      </c>
      <c r="P557">
        <v>7708</v>
      </c>
      <c r="Q557">
        <v>4426</v>
      </c>
      <c r="R557">
        <v>3282</v>
      </c>
    </row>
    <row r="558" spans="1:18" x14ac:dyDescent="0.3">
      <c r="A558" t="s">
        <v>1578</v>
      </c>
      <c r="B558">
        <v>2022</v>
      </c>
      <c r="C558">
        <v>1.415346044647394</v>
      </c>
      <c r="D558">
        <v>0</v>
      </c>
      <c r="E558">
        <v>2</v>
      </c>
      <c r="F558">
        <v>147</v>
      </c>
      <c r="G558">
        <v>6.4967845758540001E-4</v>
      </c>
      <c r="H558">
        <v>2</v>
      </c>
      <c r="I558">
        <v>1</v>
      </c>
      <c r="J558">
        <v>0.45645341329307049</v>
      </c>
      <c r="K558">
        <v>-0.20966190852075869</v>
      </c>
      <c r="L558">
        <v>61143170.887276657</v>
      </c>
      <c r="M558" t="s">
        <v>287</v>
      </c>
      <c r="N558" t="s">
        <v>312</v>
      </c>
      <c r="O558" t="s">
        <v>314</v>
      </c>
      <c r="P558">
        <v>2887</v>
      </c>
      <c r="Q558">
        <v>1672</v>
      </c>
      <c r="R558">
        <v>1215</v>
      </c>
    </row>
    <row r="559" spans="1:18" x14ac:dyDescent="0.3">
      <c r="A559" t="s">
        <v>1579</v>
      </c>
      <c r="B559">
        <v>2022</v>
      </c>
      <c r="C559">
        <v>5.465405769302885</v>
      </c>
      <c r="D559">
        <v>0</v>
      </c>
      <c r="E559">
        <v>21</v>
      </c>
      <c r="F559">
        <v>81</v>
      </c>
      <c r="G559">
        <v>4.6029919447640004E-3</v>
      </c>
      <c r="H559">
        <v>4</v>
      </c>
      <c r="I559">
        <v>1</v>
      </c>
      <c r="J559">
        <v>0.55536384628478608</v>
      </c>
      <c r="K559">
        <v>-0.18048716376214941</v>
      </c>
      <c r="L559">
        <v>16194565.74471694</v>
      </c>
      <c r="M559" t="s">
        <v>287</v>
      </c>
      <c r="N559" t="s">
        <v>312</v>
      </c>
      <c r="O559" t="s">
        <v>315</v>
      </c>
      <c r="P559">
        <v>4025</v>
      </c>
      <c r="Q559">
        <v>1648</v>
      </c>
      <c r="R559">
        <v>2377</v>
      </c>
    </row>
    <row r="560" spans="1:18" x14ac:dyDescent="0.3">
      <c r="A560" t="s">
        <v>1580</v>
      </c>
      <c r="B560">
        <v>2022</v>
      </c>
      <c r="C560">
        <v>1.069511978468856</v>
      </c>
      <c r="D560">
        <v>0</v>
      </c>
      <c r="E560">
        <v>8</v>
      </c>
      <c r="F560">
        <v>27</v>
      </c>
      <c r="G560">
        <v>2.9628311497653E-3</v>
      </c>
      <c r="H560">
        <v>9</v>
      </c>
      <c r="I560">
        <v>0</v>
      </c>
      <c r="J560">
        <v>0.49910611251004489</v>
      </c>
      <c r="K560">
        <v>-0.27478056546918289</v>
      </c>
      <c r="L560">
        <v>30183190.861776471</v>
      </c>
      <c r="M560" t="s">
        <v>287</v>
      </c>
      <c r="N560" t="s">
        <v>312</v>
      </c>
      <c r="O560" t="s">
        <v>317</v>
      </c>
      <c r="P560">
        <v>904</v>
      </c>
      <c r="Q560">
        <v>365</v>
      </c>
      <c r="R560">
        <v>539</v>
      </c>
    </row>
    <row r="561" spans="1:18" x14ac:dyDescent="0.3">
      <c r="A561" t="s">
        <v>1581</v>
      </c>
      <c r="B561">
        <v>2022</v>
      </c>
      <c r="C561">
        <v>0.91870414458074323</v>
      </c>
      <c r="D561">
        <v>0</v>
      </c>
      <c r="E561">
        <v>1</v>
      </c>
      <c r="F561">
        <v>95</v>
      </c>
      <c r="G561">
        <v>3.6330156192139999E-4</v>
      </c>
      <c r="H561">
        <v>2</v>
      </c>
      <c r="I561">
        <v>1</v>
      </c>
      <c r="J561">
        <v>0.41149861146516897</v>
      </c>
      <c r="K561">
        <v>-0.20804850435343381</v>
      </c>
      <c r="L561">
        <v>84232965.983198225</v>
      </c>
      <c r="M561" t="s">
        <v>287</v>
      </c>
      <c r="N561" t="s">
        <v>319</v>
      </c>
      <c r="O561" t="s">
        <v>322</v>
      </c>
      <c r="P561">
        <v>1264</v>
      </c>
      <c r="Q561">
        <v>636</v>
      </c>
      <c r="R561">
        <v>628</v>
      </c>
    </row>
    <row r="562" spans="1:18" x14ac:dyDescent="0.3">
      <c r="A562" t="s">
        <v>1582</v>
      </c>
      <c r="B562">
        <v>2022</v>
      </c>
      <c r="C562">
        <v>0.94261008863828277</v>
      </c>
      <c r="D562">
        <v>0</v>
      </c>
      <c r="E562">
        <v>1</v>
      </c>
      <c r="F562">
        <v>91</v>
      </c>
      <c r="G562">
        <v>2.878515384333E-4</v>
      </c>
      <c r="H562">
        <v>2</v>
      </c>
      <c r="I562">
        <v>0</v>
      </c>
      <c r="J562">
        <v>0.24257298335486241</v>
      </c>
      <c r="K562">
        <v>-9.2301713182950801E-2</v>
      </c>
      <c r="L562">
        <v>117150827.51129749</v>
      </c>
      <c r="M562" t="s">
        <v>287</v>
      </c>
      <c r="N562" t="s">
        <v>319</v>
      </c>
      <c r="O562" t="s">
        <v>325</v>
      </c>
      <c r="P562">
        <v>2775</v>
      </c>
      <c r="Q562">
        <v>1128</v>
      </c>
      <c r="R562">
        <v>1647</v>
      </c>
    </row>
    <row r="563" spans="1:18" x14ac:dyDescent="0.3">
      <c r="A563" t="s">
        <v>1583</v>
      </c>
      <c r="B563">
        <v>2022</v>
      </c>
      <c r="C563">
        <v>1.636678632317863</v>
      </c>
      <c r="D563">
        <v>0</v>
      </c>
      <c r="E563">
        <v>1</v>
      </c>
      <c r="F563">
        <v>21</v>
      </c>
      <c r="G563">
        <v>1.0416666666666001E-3</v>
      </c>
      <c r="H563">
        <v>1</v>
      </c>
      <c r="I563">
        <v>0</v>
      </c>
      <c r="J563">
        <v>0.56157393115711751</v>
      </c>
      <c r="K563">
        <v>-0.32523616805705008</v>
      </c>
      <c r="L563">
        <v>17341960.365821101</v>
      </c>
      <c r="M563" t="s">
        <v>287</v>
      </c>
      <c r="N563" t="s">
        <v>326</v>
      </c>
      <c r="O563" t="s">
        <v>327</v>
      </c>
      <c r="P563">
        <v>538</v>
      </c>
      <c r="Q563">
        <v>269</v>
      </c>
      <c r="R563">
        <v>269</v>
      </c>
    </row>
    <row r="564" spans="1:18" x14ac:dyDescent="0.3">
      <c r="A564" t="s">
        <v>1584</v>
      </c>
      <c r="B564">
        <v>2022</v>
      </c>
      <c r="C564">
        <v>0.81619708703746729</v>
      </c>
      <c r="D564">
        <v>0</v>
      </c>
      <c r="E564">
        <v>3</v>
      </c>
      <c r="F564">
        <v>60</v>
      </c>
      <c r="G564">
        <v>4.4583054792459998E-4</v>
      </c>
      <c r="H564">
        <v>1</v>
      </c>
      <c r="I564">
        <v>0</v>
      </c>
      <c r="J564">
        <v>0.50048337300385326</v>
      </c>
      <c r="K564">
        <v>-0.28207337378961089</v>
      </c>
      <c r="L564">
        <v>152381675.683404</v>
      </c>
      <c r="M564" t="s">
        <v>287</v>
      </c>
      <c r="N564" t="s">
        <v>326</v>
      </c>
      <c r="O564" t="s">
        <v>329</v>
      </c>
      <c r="P564">
        <v>937</v>
      </c>
      <c r="Q564">
        <v>308</v>
      </c>
      <c r="R564">
        <v>629</v>
      </c>
    </row>
    <row r="565" spans="1:18" x14ac:dyDescent="0.3">
      <c r="A565" t="s">
        <v>1585</v>
      </c>
      <c r="B565">
        <v>2022</v>
      </c>
      <c r="C565">
        <v>1.4096604369852559</v>
      </c>
      <c r="D565">
        <v>0</v>
      </c>
      <c r="E565">
        <v>458</v>
      </c>
      <c r="F565">
        <v>44</v>
      </c>
      <c r="G565">
        <v>7.7957411186102997E-3</v>
      </c>
      <c r="H565">
        <v>6</v>
      </c>
      <c r="I565">
        <v>0</v>
      </c>
      <c r="J565">
        <v>9.5584598810287302E-2</v>
      </c>
      <c r="K565">
        <v>0.22525696114194779</v>
      </c>
      <c r="L565">
        <v>326086852.44249761</v>
      </c>
      <c r="M565" t="s">
        <v>287</v>
      </c>
      <c r="N565" t="s">
        <v>330</v>
      </c>
      <c r="O565" t="s">
        <v>332</v>
      </c>
      <c r="P565">
        <v>1126</v>
      </c>
      <c r="Q565">
        <v>351</v>
      </c>
      <c r="R565">
        <v>775</v>
      </c>
    </row>
    <row r="566" spans="1:18" x14ac:dyDescent="0.3">
      <c r="A566" t="s">
        <v>1586</v>
      </c>
      <c r="B566">
        <v>2022</v>
      </c>
      <c r="C566">
        <v>1.051741314379504</v>
      </c>
      <c r="D566">
        <v>0</v>
      </c>
      <c r="E566">
        <v>2</v>
      </c>
      <c r="F566">
        <v>81</v>
      </c>
      <c r="G566">
        <v>8.5791542425860004E-4</v>
      </c>
      <c r="H566">
        <v>5</v>
      </c>
      <c r="I566">
        <v>1</v>
      </c>
      <c r="J566">
        <v>0.45681374168348837</v>
      </c>
      <c r="K566">
        <v>-0.23138523620264681</v>
      </c>
      <c r="L566">
        <v>107676051.8982849</v>
      </c>
      <c r="M566" t="s">
        <v>287</v>
      </c>
      <c r="N566" t="s">
        <v>330</v>
      </c>
      <c r="O566" t="s">
        <v>302</v>
      </c>
      <c r="P566">
        <v>2732</v>
      </c>
      <c r="Q566">
        <v>1204</v>
      </c>
      <c r="R566">
        <v>1528</v>
      </c>
    </row>
    <row r="567" spans="1:18" x14ac:dyDescent="0.3">
      <c r="A567" t="s">
        <v>1587</v>
      </c>
      <c r="B567">
        <v>2022</v>
      </c>
      <c r="C567">
        <v>0.91442351089487905</v>
      </c>
      <c r="D567">
        <v>0</v>
      </c>
      <c r="E567">
        <v>1</v>
      </c>
      <c r="F567">
        <v>87</v>
      </c>
      <c r="G567">
        <v>3.1740887576940001E-4</v>
      </c>
      <c r="H567">
        <v>17</v>
      </c>
      <c r="I567">
        <v>0</v>
      </c>
      <c r="J567">
        <v>0.51139645271951761</v>
      </c>
      <c r="K567">
        <v>-0.30066203481532011</v>
      </c>
      <c r="L567">
        <v>156765311.98949009</v>
      </c>
      <c r="M567" t="s">
        <v>287</v>
      </c>
      <c r="N567" t="s">
        <v>336</v>
      </c>
      <c r="O567" t="s">
        <v>340</v>
      </c>
      <c r="P567">
        <v>1832</v>
      </c>
      <c r="Q567">
        <v>504</v>
      </c>
      <c r="R567">
        <v>1328</v>
      </c>
    </row>
    <row r="568" spans="1:18" x14ac:dyDescent="0.3">
      <c r="A568" t="s">
        <v>1588</v>
      </c>
      <c r="B568">
        <v>2022</v>
      </c>
      <c r="C568">
        <v>0.70612638296605679</v>
      </c>
      <c r="D568">
        <v>0</v>
      </c>
      <c r="E568">
        <v>1</v>
      </c>
      <c r="F568">
        <v>39</v>
      </c>
      <c r="G568">
        <v>9.385260994493E-4</v>
      </c>
      <c r="H568">
        <v>2</v>
      </c>
      <c r="I568">
        <v>1</v>
      </c>
      <c r="J568">
        <v>0.58256641387364227</v>
      </c>
      <c r="K568">
        <v>-0.30172808133806189</v>
      </c>
      <c r="L568">
        <v>97277967.933611199</v>
      </c>
      <c r="M568" t="s">
        <v>287</v>
      </c>
      <c r="N568" t="s">
        <v>336</v>
      </c>
      <c r="O568" t="s">
        <v>345</v>
      </c>
      <c r="P568">
        <v>768</v>
      </c>
      <c r="Q568">
        <v>125</v>
      </c>
      <c r="R568">
        <v>643</v>
      </c>
    </row>
    <row r="569" spans="1:18" x14ac:dyDescent="0.3">
      <c r="A569" t="s">
        <v>1589</v>
      </c>
      <c r="B569">
        <v>2022</v>
      </c>
      <c r="C569">
        <v>0.75504140175494172</v>
      </c>
      <c r="D569">
        <v>0</v>
      </c>
      <c r="E569">
        <v>1</v>
      </c>
      <c r="F569">
        <v>48</v>
      </c>
      <c r="G569">
        <v>3.82555191092E-4</v>
      </c>
      <c r="H569">
        <v>1</v>
      </c>
      <c r="I569">
        <v>1</v>
      </c>
      <c r="J569">
        <v>0.3759821067582651</v>
      </c>
      <c r="K569">
        <v>-0.29369614572360681</v>
      </c>
      <c r="L569">
        <v>83192176.685333073</v>
      </c>
      <c r="M569" t="s">
        <v>287</v>
      </c>
      <c r="N569" t="s">
        <v>346</v>
      </c>
      <c r="O569" t="s">
        <v>175</v>
      </c>
      <c r="P569">
        <v>871</v>
      </c>
      <c r="Q569">
        <v>327</v>
      </c>
      <c r="R569">
        <v>544</v>
      </c>
    </row>
    <row r="570" spans="1:18" x14ac:dyDescent="0.3">
      <c r="A570" t="s">
        <v>1590</v>
      </c>
      <c r="B570">
        <v>2022</v>
      </c>
      <c r="C570">
        <v>0.96202333065989321</v>
      </c>
      <c r="D570">
        <v>0</v>
      </c>
      <c r="E570">
        <v>1</v>
      </c>
      <c r="F570">
        <v>40</v>
      </c>
      <c r="G570">
        <v>1.446116574449E-3</v>
      </c>
      <c r="H570">
        <v>4</v>
      </c>
      <c r="I570">
        <v>0</v>
      </c>
      <c r="J570">
        <v>0.32362418879799359</v>
      </c>
      <c r="K570">
        <v>-0.2180403996642892</v>
      </c>
      <c r="L570">
        <v>78463336.88205424</v>
      </c>
      <c r="M570" t="s">
        <v>287</v>
      </c>
      <c r="N570" t="s">
        <v>346</v>
      </c>
      <c r="O570" t="s">
        <v>347</v>
      </c>
      <c r="P570">
        <v>880</v>
      </c>
      <c r="Q570">
        <v>605</v>
      </c>
      <c r="R570">
        <v>275</v>
      </c>
    </row>
    <row r="571" spans="1:18" x14ac:dyDescent="0.3">
      <c r="A571" t="s">
        <v>1591</v>
      </c>
      <c r="B571">
        <v>2022</v>
      </c>
      <c r="C571">
        <v>1.2483607838456949</v>
      </c>
      <c r="D571">
        <v>0</v>
      </c>
      <c r="E571">
        <v>2013</v>
      </c>
      <c r="F571">
        <v>439</v>
      </c>
      <c r="G571">
        <v>2.5571928196490001E-4</v>
      </c>
      <c r="H571">
        <v>39</v>
      </c>
      <c r="I571">
        <v>9</v>
      </c>
      <c r="J571">
        <v>0.30433170203007048</v>
      </c>
      <c r="K571">
        <v>-0.1090816349035925</v>
      </c>
      <c r="L571">
        <v>167430249.1909664</v>
      </c>
      <c r="M571" t="s">
        <v>348</v>
      </c>
      <c r="N571" t="s">
        <v>348</v>
      </c>
      <c r="O571" t="s">
        <v>349</v>
      </c>
      <c r="P571">
        <v>3947</v>
      </c>
      <c r="Q571">
        <v>577</v>
      </c>
      <c r="R571">
        <v>3370</v>
      </c>
    </row>
    <row r="572" spans="1:18" x14ac:dyDescent="0.3">
      <c r="A572" t="s">
        <v>1592</v>
      </c>
      <c r="B572">
        <v>2022</v>
      </c>
      <c r="C572">
        <v>0.79461740653246793</v>
      </c>
      <c r="D572">
        <v>0</v>
      </c>
      <c r="E572">
        <v>1</v>
      </c>
      <c r="F572">
        <v>98</v>
      </c>
      <c r="G572">
        <v>1.5957152091605001E-3</v>
      </c>
      <c r="H572">
        <v>13</v>
      </c>
      <c r="I572">
        <v>1</v>
      </c>
      <c r="J572">
        <v>0.2984625100535388</v>
      </c>
      <c r="K572">
        <v>-9.9128128460470602E-2</v>
      </c>
      <c r="L572">
        <v>224470158.79243591</v>
      </c>
      <c r="M572" t="s">
        <v>348</v>
      </c>
      <c r="N572" t="s">
        <v>348</v>
      </c>
      <c r="O572" t="s">
        <v>351</v>
      </c>
      <c r="P572">
        <v>5103</v>
      </c>
      <c r="Q572">
        <v>13</v>
      </c>
      <c r="R572">
        <v>5090</v>
      </c>
    </row>
    <row r="573" spans="1:18" x14ac:dyDescent="0.3">
      <c r="A573" t="s">
        <v>1593</v>
      </c>
      <c r="B573">
        <v>2022</v>
      </c>
      <c r="C573">
        <v>0.98020562524538202</v>
      </c>
      <c r="D573">
        <v>0</v>
      </c>
      <c r="E573">
        <v>2</v>
      </c>
      <c r="F573">
        <v>69</v>
      </c>
      <c r="G573">
        <v>1.3888754088495E-3</v>
      </c>
      <c r="H573">
        <v>15</v>
      </c>
      <c r="I573">
        <v>0</v>
      </c>
      <c r="J573">
        <v>0.6802669918825015</v>
      </c>
      <c r="K573">
        <v>-0.35166017083073797</v>
      </c>
      <c r="L573">
        <v>125353364.33501659</v>
      </c>
      <c r="M573" t="s">
        <v>348</v>
      </c>
      <c r="N573" t="s">
        <v>348</v>
      </c>
      <c r="O573" t="s">
        <v>352</v>
      </c>
      <c r="P573">
        <v>3368</v>
      </c>
      <c r="Q573">
        <v>38</v>
      </c>
      <c r="R573">
        <v>3330</v>
      </c>
    </row>
    <row r="574" spans="1:18" x14ac:dyDescent="0.3">
      <c r="A574" t="s">
        <v>1594</v>
      </c>
      <c r="B574">
        <v>2022</v>
      </c>
      <c r="C574">
        <v>2.195253585971741</v>
      </c>
      <c r="D574">
        <v>0</v>
      </c>
      <c r="E574">
        <v>1732</v>
      </c>
      <c r="F574">
        <v>560</v>
      </c>
      <c r="G574">
        <v>2.5149645892920001E-4</v>
      </c>
      <c r="H574">
        <v>25</v>
      </c>
      <c r="I574">
        <v>10</v>
      </c>
      <c r="J574">
        <v>0.31984010023151238</v>
      </c>
      <c r="K574">
        <v>-0.1223777136863798</v>
      </c>
      <c r="L574">
        <v>179894230.11085561</v>
      </c>
      <c r="M574" t="s">
        <v>348</v>
      </c>
      <c r="N574" t="s">
        <v>348</v>
      </c>
      <c r="O574" t="s">
        <v>353</v>
      </c>
      <c r="P574">
        <v>7937</v>
      </c>
      <c r="Q574">
        <v>1774</v>
      </c>
      <c r="R574">
        <v>6163</v>
      </c>
    </row>
    <row r="575" spans="1:18" x14ac:dyDescent="0.3">
      <c r="A575" t="s">
        <v>1595</v>
      </c>
      <c r="B575">
        <v>2022</v>
      </c>
      <c r="C575">
        <v>0.88801205923808946</v>
      </c>
      <c r="D575">
        <v>0</v>
      </c>
      <c r="E575">
        <v>185</v>
      </c>
      <c r="F575">
        <v>110</v>
      </c>
      <c r="G575">
        <v>1.1546993838231999E-3</v>
      </c>
      <c r="H575">
        <v>29</v>
      </c>
      <c r="I575">
        <v>0</v>
      </c>
      <c r="J575">
        <v>0.31821456321235952</v>
      </c>
      <c r="K575">
        <v>-0.1144150487047236</v>
      </c>
      <c r="L575">
        <v>138518575.84921259</v>
      </c>
      <c r="M575" t="s">
        <v>348</v>
      </c>
      <c r="N575" t="s">
        <v>348</v>
      </c>
      <c r="O575" t="s">
        <v>354</v>
      </c>
      <c r="P575">
        <v>2789</v>
      </c>
      <c r="Q575">
        <v>376</v>
      </c>
      <c r="R575">
        <v>2413</v>
      </c>
    </row>
    <row r="576" spans="1:18" x14ac:dyDescent="0.3">
      <c r="A576" t="s">
        <v>1596</v>
      </c>
      <c r="B576">
        <v>2022</v>
      </c>
      <c r="C576">
        <v>0.55266211203320281</v>
      </c>
      <c r="D576">
        <v>0</v>
      </c>
      <c r="E576">
        <v>353</v>
      </c>
      <c r="F576">
        <v>10</v>
      </c>
      <c r="G576">
        <v>8.6580086580086008E-3</v>
      </c>
      <c r="H576">
        <v>2</v>
      </c>
      <c r="I576">
        <v>0</v>
      </c>
      <c r="J576">
        <v>0.62897956191460946</v>
      </c>
      <c r="K576">
        <v>-0.28266175739404592</v>
      </c>
      <c r="L576">
        <v>220034553.39116639</v>
      </c>
      <c r="M576" t="s">
        <v>348</v>
      </c>
      <c r="N576" t="s">
        <v>357</v>
      </c>
      <c r="O576" t="s">
        <v>295</v>
      </c>
      <c r="P576">
        <v>1383</v>
      </c>
      <c r="Q576">
        <v>68</v>
      </c>
      <c r="R576">
        <v>1315</v>
      </c>
    </row>
    <row r="577" spans="1:18" x14ac:dyDescent="0.3">
      <c r="A577" t="s">
        <v>1597</v>
      </c>
      <c r="B577">
        <v>2022</v>
      </c>
      <c r="C577">
        <v>0.81427390712759595</v>
      </c>
      <c r="D577">
        <v>0</v>
      </c>
      <c r="E577">
        <v>1</v>
      </c>
      <c r="F577">
        <v>113</v>
      </c>
      <c r="G577">
        <v>1.4866853576530001E-3</v>
      </c>
      <c r="H577">
        <v>9</v>
      </c>
      <c r="I577">
        <v>3</v>
      </c>
      <c r="J577">
        <v>0.54802429612609171</v>
      </c>
      <c r="K577">
        <v>-0.16985207832074481</v>
      </c>
      <c r="L577">
        <v>172102808.59744591</v>
      </c>
      <c r="M577" t="s">
        <v>348</v>
      </c>
      <c r="N577" t="s">
        <v>357</v>
      </c>
      <c r="O577" t="s">
        <v>361</v>
      </c>
      <c r="P577">
        <v>2886</v>
      </c>
      <c r="Q577">
        <v>3</v>
      </c>
      <c r="R577">
        <v>2883</v>
      </c>
    </row>
    <row r="578" spans="1:18" x14ac:dyDescent="0.3">
      <c r="A578" t="s">
        <v>1598</v>
      </c>
      <c r="B578">
        <v>2022</v>
      </c>
      <c r="C578">
        <v>0.91248396973263857</v>
      </c>
      <c r="D578">
        <v>0</v>
      </c>
      <c r="E578">
        <v>3</v>
      </c>
      <c r="F578">
        <v>10</v>
      </c>
      <c r="G578">
        <v>2.1052631578947299E-2</v>
      </c>
      <c r="H578">
        <v>1</v>
      </c>
      <c r="I578">
        <v>0</v>
      </c>
      <c r="J578">
        <v>0.45358594766493482</v>
      </c>
      <c r="K578">
        <v>5.5534398382338299E-2</v>
      </c>
      <c r="L578">
        <v>113836769.0180361</v>
      </c>
      <c r="M578" t="s">
        <v>348</v>
      </c>
      <c r="N578" t="s">
        <v>357</v>
      </c>
      <c r="O578" t="s">
        <v>363</v>
      </c>
      <c r="P578">
        <v>1363</v>
      </c>
      <c r="Q578">
        <v>2</v>
      </c>
      <c r="R578">
        <v>1361</v>
      </c>
    </row>
    <row r="579" spans="1:18" x14ac:dyDescent="0.3">
      <c r="A579" t="s">
        <v>1599</v>
      </c>
      <c r="B579">
        <v>2022</v>
      </c>
      <c r="C579">
        <v>0.57115535323441347</v>
      </c>
      <c r="D579">
        <v>0</v>
      </c>
      <c r="E579">
        <v>160</v>
      </c>
      <c r="F579">
        <v>61</v>
      </c>
      <c r="G579">
        <v>7.5528376414860001E-4</v>
      </c>
      <c r="H579">
        <v>8</v>
      </c>
      <c r="I579">
        <v>0</v>
      </c>
      <c r="J579">
        <v>0.57637327522303616</v>
      </c>
      <c r="K579">
        <v>-0.23869254882328961</v>
      </c>
      <c r="L579">
        <v>681461043.81092405</v>
      </c>
      <c r="M579" t="s">
        <v>348</v>
      </c>
      <c r="N579" t="s">
        <v>357</v>
      </c>
      <c r="O579" t="s">
        <v>365</v>
      </c>
      <c r="P579">
        <v>3577</v>
      </c>
      <c r="Q579">
        <v>13</v>
      </c>
      <c r="R579">
        <v>3564</v>
      </c>
    </row>
    <row r="580" spans="1:18" x14ac:dyDescent="0.3">
      <c r="A580" t="s">
        <v>1600</v>
      </c>
      <c r="B580">
        <v>2022</v>
      </c>
      <c r="C580">
        <v>0.58151002951622621</v>
      </c>
      <c r="D580">
        <v>0</v>
      </c>
      <c r="E580">
        <v>1513</v>
      </c>
      <c r="F580">
        <v>126</v>
      </c>
      <c r="G580">
        <v>5.1634166437791E-3</v>
      </c>
      <c r="H580">
        <v>51</v>
      </c>
      <c r="I580">
        <v>2</v>
      </c>
      <c r="J580">
        <v>0.56981128769826983</v>
      </c>
      <c r="K580">
        <v>-0.23918627627167369</v>
      </c>
      <c r="L580">
        <v>1426559769.5860679</v>
      </c>
      <c r="M580" t="s">
        <v>348</v>
      </c>
      <c r="N580" t="s">
        <v>357</v>
      </c>
      <c r="O580" t="s">
        <v>367</v>
      </c>
      <c r="P580">
        <v>6316</v>
      </c>
      <c r="Q580">
        <v>444</v>
      </c>
      <c r="R580">
        <v>5872</v>
      </c>
    </row>
    <row r="581" spans="1:18" x14ac:dyDescent="0.3">
      <c r="A581" t="s">
        <v>1601</v>
      </c>
      <c r="B581">
        <v>2022</v>
      </c>
      <c r="C581">
        <v>0.63706848222752499</v>
      </c>
      <c r="D581">
        <v>0</v>
      </c>
      <c r="E581">
        <v>127</v>
      </c>
      <c r="F581">
        <v>28</v>
      </c>
      <c r="G581">
        <v>1.6806699012165999E-3</v>
      </c>
      <c r="H581">
        <v>2</v>
      </c>
      <c r="I581">
        <v>0</v>
      </c>
      <c r="J581">
        <v>0.53206377751683287</v>
      </c>
      <c r="K581">
        <v>-0.24794556719019961</v>
      </c>
      <c r="L581">
        <v>119914757.4240514</v>
      </c>
      <c r="M581" t="s">
        <v>348</v>
      </c>
      <c r="N581" t="s">
        <v>357</v>
      </c>
      <c r="O581" t="s">
        <v>369</v>
      </c>
      <c r="P581">
        <v>1433</v>
      </c>
      <c r="Q581">
        <v>0</v>
      </c>
      <c r="R581">
        <v>1433</v>
      </c>
    </row>
    <row r="582" spans="1:18" x14ac:dyDescent="0.3">
      <c r="A582" t="s">
        <v>1602</v>
      </c>
      <c r="B582">
        <v>2022</v>
      </c>
      <c r="C582">
        <v>0.98608150840367659</v>
      </c>
      <c r="D582">
        <v>0</v>
      </c>
      <c r="E582">
        <v>1</v>
      </c>
      <c r="F582">
        <v>96</v>
      </c>
      <c r="G582">
        <v>1.4731723455587E-3</v>
      </c>
      <c r="H582">
        <v>4</v>
      </c>
      <c r="I582">
        <v>3</v>
      </c>
      <c r="J582">
        <v>0.48495279847860828</v>
      </c>
      <c r="K582">
        <v>-0.19042518109375761</v>
      </c>
      <c r="L582">
        <v>82049332.583306849</v>
      </c>
      <c r="M582" t="s">
        <v>348</v>
      </c>
      <c r="N582" t="s">
        <v>357</v>
      </c>
      <c r="O582" t="s">
        <v>371</v>
      </c>
      <c r="P582">
        <v>1925</v>
      </c>
      <c r="Q582">
        <v>0</v>
      </c>
      <c r="R582">
        <v>1925</v>
      </c>
    </row>
    <row r="583" spans="1:18" x14ac:dyDescent="0.3">
      <c r="A583" t="s">
        <v>1603</v>
      </c>
      <c r="B583">
        <v>2022</v>
      </c>
      <c r="C583">
        <v>0.96464147253586285</v>
      </c>
      <c r="D583">
        <v>0</v>
      </c>
      <c r="E583">
        <v>729</v>
      </c>
      <c r="F583">
        <v>146</v>
      </c>
      <c r="G583">
        <v>1.2860319758731E-3</v>
      </c>
      <c r="H583">
        <v>19</v>
      </c>
      <c r="I583">
        <v>4</v>
      </c>
      <c r="J583">
        <v>0.16386654216977559</v>
      </c>
      <c r="K583">
        <v>3.8162456382593198E-2</v>
      </c>
      <c r="L583">
        <v>58929213.580518283</v>
      </c>
      <c r="M583" t="s">
        <v>348</v>
      </c>
      <c r="N583" t="s">
        <v>372</v>
      </c>
      <c r="O583" t="s">
        <v>97</v>
      </c>
      <c r="P583">
        <v>2523</v>
      </c>
      <c r="Q583">
        <v>276</v>
      </c>
      <c r="R583">
        <v>2247</v>
      </c>
    </row>
    <row r="584" spans="1:18" x14ac:dyDescent="0.3">
      <c r="A584" t="s">
        <v>1604</v>
      </c>
      <c r="B584">
        <v>2022</v>
      </c>
      <c r="C584">
        <v>0.8242174231285454</v>
      </c>
      <c r="D584">
        <v>0</v>
      </c>
      <c r="E584">
        <v>930</v>
      </c>
      <c r="F584">
        <v>151</v>
      </c>
      <c r="G584">
        <v>7.4264489623969995E-4</v>
      </c>
      <c r="H584">
        <v>16</v>
      </c>
      <c r="I584">
        <v>5</v>
      </c>
      <c r="J584">
        <v>1.6610863889956001E-2</v>
      </c>
      <c r="K584">
        <v>0.1849926137230305</v>
      </c>
      <c r="L584">
        <v>110313888.20882259</v>
      </c>
      <c r="M584" t="s">
        <v>348</v>
      </c>
      <c r="N584" t="s">
        <v>372</v>
      </c>
      <c r="O584" t="s">
        <v>373</v>
      </c>
      <c r="P584">
        <v>2842</v>
      </c>
      <c r="Q584">
        <v>173</v>
      </c>
      <c r="R584">
        <v>2669</v>
      </c>
    </row>
    <row r="585" spans="1:18" x14ac:dyDescent="0.3">
      <c r="A585" t="s">
        <v>1605</v>
      </c>
      <c r="B585">
        <v>2022</v>
      </c>
      <c r="C585">
        <v>1.006337157089402</v>
      </c>
      <c r="D585">
        <v>0</v>
      </c>
      <c r="E585">
        <v>524</v>
      </c>
      <c r="F585">
        <v>143</v>
      </c>
      <c r="G585">
        <v>7.7880331411040002E-4</v>
      </c>
      <c r="H585">
        <v>12</v>
      </c>
      <c r="I585">
        <v>2</v>
      </c>
      <c r="J585">
        <v>0.3658005801135521</v>
      </c>
      <c r="K585">
        <v>-9.9654813797575501E-2</v>
      </c>
      <c r="L585">
        <v>67658764.021938309</v>
      </c>
      <c r="M585" t="s">
        <v>348</v>
      </c>
      <c r="N585" t="s">
        <v>372</v>
      </c>
      <c r="O585" t="s">
        <v>374</v>
      </c>
      <c r="P585">
        <v>1659</v>
      </c>
      <c r="Q585">
        <v>287</v>
      </c>
      <c r="R585">
        <v>1372</v>
      </c>
    </row>
    <row r="586" spans="1:18" x14ac:dyDescent="0.3">
      <c r="A586" t="s">
        <v>1606</v>
      </c>
      <c r="B586">
        <v>2022</v>
      </c>
      <c r="C586">
        <v>0.79158120059173365</v>
      </c>
      <c r="D586">
        <v>0</v>
      </c>
      <c r="E586">
        <v>270</v>
      </c>
      <c r="F586">
        <v>34</v>
      </c>
      <c r="G586">
        <v>3.6094313973655001E-3</v>
      </c>
      <c r="H586">
        <v>8</v>
      </c>
      <c r="I586">
        <v>1</v>
      </c>
      <c r="J586">
        <v>0.3412480745410959</v>
      </c>
      <c r="K586">
        <v>-8.6001790886903601E-2</v>
      </c>
      <c r="L586">
        <v>28208567.376941409</v>
      </c>
      <c r="M586" t="s">
        <v>348</v>
      </c>
      <c r="N586" t="s">
        <v>372</v>
      </c>
      <c r="O586" t="s">
        <v>375</v>
      </c>
      <c r="P586">
        <v>519</v>
      </c>
      <c r="Q586">
        <v>89</v>
      </c>
      <c r="R586">
        <v>430</v>
      </c>
    </row>
    <row r="587" spans="1:18" x14ac:dyDescent="0.3">
      <c r="A587" t="s">
        <v>1607</v>
      </c>
      <c r="B587">
        <v>2022</v>
      </c>
      <c r="C587">
        <v>1.008725658965365</v>
      </c>
      <c r="D587">
        <v>0</v>
      </c>
      <c r="E587">
        <v>386</v>
      </c>
      <c r="F587">
        <v>67</v>
      </c>
      <c r="G587">
        <v>1.5847446883085999E-3</v>
      </c>
      <c r="H587">
        <v>7</v>
      </c>
      <c r="I587">
        <v>3</v>
      </c>
      <c r="L587">
        <v>53563946.439230584</v>
      </c>
      <c r="M587" t="s">
        <v>348</v>
      </c>
      <c r="N587" t="s">
        <v>372</v>
      </c>
      <c r="O587" t="s">
        <v>376</v>
      </c>
      <c r="P587">
        <v>1439</v>
      </c>
      <c r="Q587">
        <v>0</v>
      </c>
      <c r="R587">
        <v>1439</v>
      </c>
    </row>
    <row r="588" spans="1:18" x14ac:dyDescent="0.3">
      <c r="A588" t="s">
        <v>1608</v>
      </c>
      <c r="B588">
        <v>2022</v>
      </c>
      <c r="C588">
        <v>0.68942323371943337</v>
      </c>
      <c r="D588">
        <v>0</v>
      </c>
      <c r="E588">
        <v>1029</v>
      </c>
      <c r="F588">
        <v>279</v>
      </c>
      <c r="G588">
        <v>4.0152030406080002E-4</v>
      </c>
      <c r="H588">
        <v>30</v>
      </c>
      <c r="I588">
        <v>7</v>
      </c>
      <c r="J588">
        <v>0.36725808788505371</v>
      </c>
      <c r="K588">
        <v>-0.1332571677243542</v>
      </c>
      <c r="L588">
        <v>469784538.98251128</v>
      </c>
      <c r="M588" t="s">
        <v>348</v>
      </c>
      <c r="N588" t="s">
        <v>372</v>
      </c>
      <c r="O588" t="s">
        <v>378</v>
      </c>
      <c r="P588">
        <v>7851</v>
      </c>
      <c r="Q588">
        <v>406</v>
      </c>
      <c r="R588">
        <v>7445</v>
      </c>
    </row>
    <row r="589" spans="1:18" x14ac:dyDescent="0.3">
      <c r="A589" t="s">
        <v>1609</v>
      </c>
      <c r="B589">
        <v>2022</v>
      </c>
      <c r="C589">
        <v>0.85973073751733764</v>
      </c>
      <c r="D589">
        <v>0</v>
      </c>
      <c r="E589">
        <v>1129</v>
      </c>
      <c r="F589">
        <v>103</v>
      </c>
      <c r="G589">
        <v>1.4174378214733001E-3</v>
      </c>
      <c r="H589">
        <v>5</v>
      </c>
      <c r="I589">
        <v>3</v>
      </c>
      <c r="L589">
        <v>153342334.3410041</v>
      </c>
      <c r="M589" t="s">
        <v>348</v>
      </c>
      <c r="N589" t="s">
        <v>372</v>
      </c>
      <c r="O589" t="s">
        <v>379</v>
      </c>
      <c r="P589">
        <v>5704</v>
      </c>
      <c r="Q589">
        <v>15</v>
      </c>
      <c r="R589">
        <v>5689</v>
      </c>
    </row>
    <row r="590" spans="1:18" x14ac:dyDescent="0.3">
      <c r="A590" t="s">
        <v>1610</v>
      </c>
      <c r="B590">
        <v>2022</v>
      </c>
      <c r="C590">
        <v>0.61951872385082851</v>
      </c>
      <c r="D590">
        <v>0</v>
      </c>
      <c r="E590">
        <v>1</v>
      </c>
      <c r="F590">
        <v>132</v>
      </c>
      <c r="G590">
        <v>2.6153819689330002E-4</v>
      </c>
      <c r="H590">
        <v>28</v>
      </c>
      <c r="I590">
        <v>0</v>
      </c>
      <c r="L590">
        <v>656722094.57594752</v>
      </c>
      <c r="M590" t="s">
        <v>348</v>
      </c>
      <c r="N590" t="s">
        <v>380</v>
      </c>
      <c r="O590" t="s">
        <v>382</v>
      </c>
      <c r="P590">
        <v>7870</v>
      </c>
      <c r="Q590">
        <v>156</v>
      </c>
      <c r="R590">
        <v>7714</v>
      </c>
    </row>
    <row r="591" spans="1:18" x14ac:dyDescent="0.3">
      <c r="A591" t="s">
        <v>1611</v>
      </c>
      <c r="B591">
        <v>2022</v>
      </c>
      <c r="C591">
        <v>1.757379671412459</v>
      </c>
      <c r="D591">
        <v>0</v>
      </c>
      <c r="E591">
        <v>109</v>
      </c>
      <c r="F591">
        <v>103</v>
      </c>
      <c r="G591">
        <v>1.7828135152696001E-3</v>
      </c>
      <c r="H591">
        <v>8</v>
      </c>
      <c r="I591">
        <v>0</v>
      </c>
      <c r="J591">
        <v>0.74067913147193221</v>
      </c>
      <c r="K591">
        <v>-0.35603015793744219</v>
      </c>
      <c r="L591">
        <v>96593243.703852594</v>
      </c>
      <c r="M591" t="s">
        <v>348</v>
      </c>
      <c r="N591" t="s">
        <v>380</v>
      </c>
      <c r="O591" t="s">
        <v>385</v>
      </c>
      <c r="P591">
        <v>5955</v>
      </c>
      <c r="Q591">
        <v>2554</v>
      </c>
      <c r="R591">
        <v>3401</v>
      </c>
    </row>
    <row r="592" spans="1:18" x14ac:dyDescent="0.3">
      <c r="A592" t="s">
        <v>1612</v>
      </c>
      <c r="B592">
        <v>2022</v>
      </c>
      <c r="C592">
        <v>1.420195099018057</v>
      </c>
      <c r="D592">
        <v>0</v>
      </c>
      <c r="E592">
        <v>55</v>
      </c>
      <c r="F592">
        <v>707</v>
      </c>
      <c r="G592">
        <v>1.3136280498839999E-4</v>
      </c>
      <c r="H592">
        <v>40</v>
      </c>
      <c r="I592">
        <v>12</v>
      </c>
      <c r="J592">
        <v>0.49669750281796948</v>
      </c>
      <c r="K592">
        <v>-0.2274577076195631</v>
      </c>
      <c r="L592">
        <v>657299080.47503567</v>
      </c>
      <c r="M592" t="s">
        <v>348</v>
      </c>
      <c r="N592" t="s">
        <v>380</v>
      </c>
      <c r="O592" t="s">
        <v>87</v>
      </c>
      <c r="P592">
        <v>34133</v>
      </c>
      <c r="Q592">
        <v>11264</v>
      </c>
      <c r="R592">
        <v>22869</v>
      </c>
    </row>
    <row r="593" spans="1:18" x14ac:dyDescent="0.3">
      <c r="A593" t="s">
        <v>1613</v>
      </c>
      <c r="B593">
        <v>2022</v>
      </c>
      <c r="C593">
        <v>0.74293631341585353</v>
      </c>
      <c r="D593">
        <v>0</v>
      </c>
      <c r="E593">
        <v>69</v>
      </c>
      <c r="F593">
        <v>23</v>
      </c>
      <c r="G593">
        <v>4.35413642960812E-2</v>
      </c>
      <c r="H593">
        <v>1</v>
      </c>
      <c r="I593">
        <v>0</v>
      </c>
      <c r="J593">
        <v>0.29170933642391478</v>
      </c>
      <c r="K593">
        <v>0.17374388597384699</v>
      </c>
      <c r="L593">
        <v>59334543.462391123</v>
      </c>
      <c r="M593" t="s">
        <v>348</v>
      </c>
      <c r="N593" t="s">
        <v>102</v>
      </c>
      <c r="O593" t="s">
        <v>387</v>
      </c>
      <c r="P593">
        <v>1415</v>
      </c>
      <c r="Q593">
        <v>25</v>
      </c>
      <c r="R593">
        <v>1390</v>
      </c>
    </row>
    <row r="594" spans="1:18" x14ac:dyDescent="0.3">
      <c r="A594" t="s">
        <v>1614</v>
      </c>
      <c r="B594">
        <v>2022</v>
      </c>
      <c r="C594">
        <v>0.61997343553617412</v>
      </c>
      <c r="D594">
        <v>0</v>
      </c>
      <c r="E594">
        <v>21</v>
      </c>
      <c r="F594">
        <v>227</v>
      </c>
      <c r="G594">
        <v>2.739408068968E-4</v>
      </c>
      <c r="H594">
        <v>8</v>
      </c>
      <c r="I594">
        <v>0</v>
      </c>
      <c r="J594">
        <v>0.64240083440467644</v>
      </c>
      <c r="K594">
        <v>-0.26887630162078507</v>
      </c>
      <c r="L594">
        <v>311166090.36369473</v>
      </c>
      <c r="M594" t="s">
        <v>348</v>
      </c>
      <c r="N594" t="s">
        <v>102</v>
      </c>
      <c r="O594" t="s">
        <v>391</v>
      </c>
      <c r="P594">
        <v>1053</v>
      </c>
      <c r="Q594">
        <v>33</v>
      </c>
      <c r="R594">
        <v>1020</v>
      </c>
    </row>
    <row r="595" spans="1:18" x14ac:dyDescent="0.3">
      <c r="A595" t="s">
        <v>1615</v>
      </c>
      <c r="B595">
        <v>2022</v>
      </c>
      <c r="C595">
        <v>0.68502947938277448</v>
      </c>
      <c r="D595">
        <v>0</v>
      </c>
      <c r="E595">
        <v>3</v>
      </c>
      <c r="F595">
        <v>65</v>
      </c>
      <c r="G595">
        <v>9.4466966192500003E-4</v>
      </c>
      <c r="H595">
        <v>5</v>
      </c>
      <c r="I595">
        <v>1</v>
      </c>
      <c r="J595">
        <v>0.67386918459151413</v>
      </c>
      <c r="K595">
        <v>-0.31538460370850291</v>
      </c>
      <c r="L595">
        <v>350463722.02067888</v>
      </c>
      <c r="M595" t="s">
        <v>348</v>
      </c>
      <c r="N595" t="s">
        <v>102</v>
      </c>
      <c r="O595" t="s">
        <v>395</v>
      </c>
      <c r="P595">
        <v>2613</v>
      </c>
      <c r="Q595">
        <v>584</v>
      </c>
      <c r="R595">
        <v>2029</v>
      </c>
    </row>
    <row r="596" spans="1:18" x14ac:dyDescent="0.3">
      <c r="A596" t="s">
        <v>1616</v>
      </c>
      <c r="B596">
        <v>2022</v>
      </c>
      <c r="C596">
        <v>1.0251953348977609</v>
      </c>
      <c r="D596">
        <v>0</v>
      </c>
      <c r="E596">
        <v>713</v>
      </c>
      <c r="F596">
        <v>234</v>
      </c>
      <c r="G596">
        <v>5.0062353334890005E-4</v>
      </c>
      <c r="H596">
        <v>29</v>
      </c>
      <c r="I596">
        <v>0</v>
      </c>
      <c r="J596">
        <v>0.32057568626722582</v>
      </c>
      <c r="K596">
        <v>-0.14620309764613901</v>
      </c>
      <c r="L596">
        <v>113949565.0239958</v>
      </c>
      <c r="M596" t="s">
        <v>348</v>
      </c>
      <c r="N596" t="s">
        <v>396</v>
      </c>
      <c r="O596" t="s">
        <v>87</v>
      </c>
      <c r="P596">
        <v>3357</v>
      </c>
      <c r="Q596">
        <v>352</v>
      </c>
      <c r="R596">
        <v>3005</v>
      </c>
    </row>
    <row r="597" spans="1:18" x14ac:dyDescent="0.3">
      <c r="A597" t="s">
        <v>1617</v>
      </c>
      <c r="B597">
        <v>2022</v>
      </c>
      <c r="C597">
        <v>1.951296274840467</v>
      </c>
      <c r="D597">
        <v>0</v>
      </c>
      <c r="E597">
        <v>1277</v>
      </c>
      <c r="F597">
        <v>288</v>
      </c>
      <c r="G597">
        <v>4.9695475584630002E-4</v>
      </c>
      <c r="H597">
        <v>18</v>
      </c>
      <c r="I597">
        <v>1</v>
      </c>
      <c r="J597">
        <v>0.30997127032247451</v>
      </c>
      <c r="K597">
        <v>-0.13766254256649019</v>
      </c>
      <c r="L597">
        <v>71958902.25623402</v>
      </c>
      <c r="M597" t="s">
        <v>348</v>
      </c>
      <c r="N597" t="s">
        <v>396</v>
      </c>
      <c r="O597" t="s">
        <v>397</v>
      </c>
      <c r="P597">
        <v>4386</v>
      </c>
      <c r="Q597">
        <v>1214</v>
      </c>
      <c r="R597">
        <v>3172</v>
      </c>
    </row>
    <row r="598" spans="1:18" x14ac:dyDescent="0.3">
      <c r="A598" t="s">
        <v>1618</v>
      </c>
      <c r="B598">
        <v>2022</v>
      </c>
      <c r="C598">
        <v>1.8496500721064699</v>
      </c>
      <c r="D598">
        <v>0</v>
      </c>
      <c r="E598">
        <v>2415</v>
      </c>
      <c r="F598">
        <v>424</v>
      </c>
      <c r="G598">
        <v>3.3307818105370003E-4</v>
      </c>
      <c r="H598">
        <v>49</v>
      </c>
      <c r="I598">
        <v>2</v>
      </c>
      <c r="J598">
        <v>0.28710443556880078</v>
      </c>
      <c r="K598">
        <v>-0.1296228881198436</v>
      </c>
      <c r="L598">
        <v>137570169.6917896</v>
      </c>
      <c r="M598" t="s">
        <v>348</v>
      </c>
      <c r="N598" t="s">
        <v>396</v>
      </c>
      <c r="O598" t="s">
        <v>398</v>
      </c>
      <c r="P598">
        <v>8291</v>
      </c>
      <c r="Q598">
        <v>2187</v>
      </c>
      <c r="R598">
        <v>6104</v>
      </c>
    </row>
    <row r="599" spans="1:18" x14ac:dyDescent="0.3">
      <c r="A599" t="s">
        <v>1619</v>
      </c>
      <c r="B599">
        <v>2022</v>
      </c>
      <c r="C599">
        <v>5.5901692742871214</v>
      </c>
      <c r="D599">
        <v>0</v>
      </c>
      <c r="E599">
        <v>2071</v>
      </c>
      <c r="F599">
        <v>583</v>
      </c>
      <c r="G599">
        <v>3.4032428967780001E-4</v>
      </c>
      <c r="H599">
        <v>52</v>
      </c>
      <c r="I599">
        <v>4</v>
      </c>
      <c r="J599">
        <v>0.32316734392622282</v>
      </c>
      <c r="K599">
        <v>-0.13648065340358109</v>
      </c>
      <c r="L599">
        <v>82752604.880530119</v>
      </c>
      <c r="M599" t="s">
        <v>348</v>
      </c>
      <c r="N599" t="s">
        <v>396</v>
      </c>
      <c r="O599" t="s">
        <v>399</v>
      </c>
      <c r="P599">
        <v>13076</v>
      </c>
      <c r="Q599">
        <v>4064</v>
      </c>
      <c r="R599">
        <v>9012</v>
      </c>
    </row>
    <row r="600" spans="1:18" x14ac:dyDescent="0.3">
      <c r="A600" t="s">
        <v>1620</v>
      </c>
      <c r="B600">
        <v>2022</v>
      </c>
      <c r="C600">
        <v>2.826720622517171</v>
      </c>
      <c r="D600">
        <v>0</v>
      </c>
      <c r="E600">
        <v>288</v>
      </c>
      <c r="F600">
        <v>206</v>
      </c>
      <c r="G600">
        <v>8.9702803024449996E-4</v>
      </c>
      <c r="H600">
        <v>6</v>
      </c>
      <c r="I600">
        <v>1</v>
      </c>
      <c r="J600">
        <v>0.38669887603531228</v>
      </c>
      <c r="K600">
        <v>-0.1595429570606525</v>
      </c>
      <c r="L600">
        <v>73800957.757722512</v>
      </c>
      <c r="M600" t="s">
        <v>348</v>
      </c>
      <c r="N600" t="s">
        <v>400</v>
      </c>
      <c r="O600" t="s">
        <v>400</v>
      </c>
      <c r="P600">
        <v>7119</v>
      </c>
      <c r="Q600">
        <v>1079</v>
      </c>
      <c r="R600">
        <v>6040</v>
      </c>
    </row>
    <row r="601" spans="1:18" x14ac:dyDescent="0.3">
      <c r="A601" t="s">
        <v>1621</v>
      </c>
      <c r="B601">
        <v>2022</v>
      </c>
      <c r="C601">
        <v>0.88882885528197075</v>
      </c>
      <c r="D601">
        <v>0</v>
      </c>
      <c r="E601">
        <v>446</v>
      </c>
      <c r="F601">
        <v>128</v>
      </c>
      <c r="G601">
        <v>4.147633139665E-4</v>
      </c>
      <c r="H601">
        <v>8</v>
      </c>
      <c r="I601">
        <v>6</v>
      </c>
      <c r="J601">
        <v>0.44588920074059979</v>
      </c>
      <c r="K601">
        <v>-0.1951726393907797</v>
      </c>
      <c r="L601">
        <v>215822798.74080831</v>
      </c>
      <c r="M601" t="s">
        <v>348</v>
      </c>
      <c r="N601" t="s">
        <v>400</v>
      </c>
      <c r="O601" t="s">
        <v>401</v>
      </c>
      <c r="P601">
        <v>4147</v>
      </c>
      <c r="Q601">
        <v>47</v>
      </c>
      <c r="R601">
        <v>4100</v>
      </c>
    </row>
    <row r="602" spans="1:18" x14ac:dyDescent="0.3">
      <c r="A602" t="s">
        <v>1622</v>
      </c>
      <c r="B602">
        <v>2022</v>
      </c>
      <c r="C602">
        <v>0.81096896019041953</v>
      </c>
      <c r="D602">
        <v>0</v>
      </c>
      <c r="E602">
        <v>5</v>
      </c>
      <c r="F602">
        <v>102</v>
      </c>
      <c r="G602">
        <v>7.8740084395749997E-4</v>
      </c>
      <c r="H602">
        <v>22</v>
      </c>
      <c r="I602">
        <v>1</v>
      </c>
      <c r="J602">
        <v>0.44016166864020739</v>
      </c>
      <c r="K602">
        <v>-0.17716303666137109</v>
      </c>
      <c r="L602">
        <v>211950772.8936013</v>
      </c>
      <c r="M602" t="s">
        <v>348</v>
      </c>
      <c r="N602" t="s">
        <v>400</v>
      </c>
      <c r="O602" t="s">
        <v>403</v>
      </c>
      <c r="P602">
        <v>5670</v>
      </c>
      <c r="Q602">
        <v>298</v>
      </c>
      <c r="R602">
        <v>5372</v>
      </c>
    </row>
    <row r="603" spans="1:18" x14ac:dyDescent="0.3">
      <c r="A603" t="s">
        <v>1623</v>
      </c>
      <c r="B603">
        <v>2022</v>
      </c>
      <c r="C603">
        <v>0.76444803634470282</v>
      </c>
      <c r="D603">
        <v>0</v>
      </c>
      <c r="E603">
        <v>46</v>
      </c>
      <c r="F603">
        <v>80</v>
      </c>
      <c r="G603">
        <v>1.0271488940510999E-3</v>
      </c>
      <c r="H603">
        <v>10</v>
      </c>
      <c r="I603">
        <v>0</v>
      </c>
      <c r="J603">
        <v>0.48663816210382149</v>
      </c>
      <c r="K603">
        <v>-0.2022913616607071</v>
      </c>
      <c r="L603">
        <v>317646937.18772721</v>
      </c>
      <c r="M603" t="s">
        <v>348</v>
      </c>
      <c r="N603" t="s">
        <v>400</v>
      </c>
      <c r="O603" t="s">
        <v>404</v>
      </c>
      <c r="P603">
        <v>5254</v>
      </c>
      <c r="Q603">
        <v>191</v>
      </c>
      <c r="R603">
        <v>5063</v>
      </c>
    </row>
    <row r="604" spans="1:18" x14ac:dyDescent="0.3">
      <c r="A604" t="s">
        <v>1624</v>
      </c>
      <c r="B604">
        <v>2022</v>
      </c>
      <c r="C604">
        <v>1.4684662664076349</v>
      </c>
      <c r="D604">
        <v>0</v>
      </c>
      <c r="E604">
        <v>77</v>
      </c>
      <c r="F604">
        <v>347</v>
      </c>
      <c r="G604">
        <v>5.8603883055289999E-4</v>
      </c>
      <c r="H604">
        <v>7</v>
      </c>
      <c r="I604">
        <v>4</v>
      </c>
      <c r="J604">
        <v>0.367107031051843</v>
      </c>
      <c r="K604">
        <v>-0.27623197336089411</v>
      </c>
      <c r="L604">
        <v>308023340.31011558</v>
      </c>
      <c r="M604" t="s">
        <v>406</v>
      </c>
      <c r="N604" t="s">
        <v>407</v>
      </c>
      <c r="O604" t="s">
        <v>408</v>
      </c>
      <c r="P604">
        <v>13460</v>
      </c>
      <c r="Q604">
        <v>7738</v>
      </c>
      <c r="R604">
        <v>5722</v>
      </c>
    </row>
    <row r="605" spans="1:18" x14ac:dyDescent="0.3">
      <c r="A605" t="s">
        <v>1625</v>
      </c>
      <c r="B605">
        <v>2022</v>
      </c>
      <c r="C605">
        <v>1.5189431522153241</v>
      </c>
      <c r="D605">
        <v>0</v>
      </c>
      <c r="E605">
        <v>17</v>
      </c>
      <c r="F605">
        <v>269</v>
      </c>
      <c r="G605">
        <v>5.3518390803659996E-4</v>
      </c>
      <c r="H605">
        <v>6</v>
      </c>
      <c r="I605">
        <v>0</v>
      </c>
      <c r="J605">
        <v>0.26490592205508479</v>
      </c>
      <c r="K605">
        <v>-0.16048383200634</v>
      </c>
      <c r="L605">
        <v>323515997.42952639</v>
      </c>
      <c r="M605" t="s">
        <v>406</v>
      </c>
      <c r="N605" t="s">
        <v>407</v>
      </c>
      <c r="O605" t="s">
        <v>409</v>
      </c>
      <c r="P605">
        <v>6482</v>
      </c>
      <c r="Q605">
        <v>2996</v>
      </c>
      <c r="R605">
        <v>3486</v>
      </c>
    </row>
    <row r="606" spans="1:18" x14ac:dyDescent="0.3">
      <c r="A606" t="s">
        <v>1626</v>
      </c>
      <c r="B606">
        <v>2022</v>
      </c>
      <c r="C606">
        <v>1.4974945555667989</v>
      </c>
      <c r="D606">
        <v>0</v>
      </c>
      <c r="E606">
        <v>80</v>
      </c>
      <c r="F606">
        <v>329</v>
      </c>
      <c r="G606">
        <v>1.4641852579663E-3</v>
      </c>
      <c r="H606">
        <v>8</v>
      </c>
      <c r="I606">
        <v>7</v>
      </c>
      <c r="J606">
        <v>0.1920985282972108</v>
      </c>
      <c r="K606">
        <v>2.5382302876265601E-2</v>
      </c>
      <c r="L606">
        <v>141058134.52390161</v>
      </c>
      <c r="M606" t="s">
        <v>406</v>
      </c>
      <c r="N606" t="s">
        <v>407</v>
      </c>
      <c r="O606" t="s">
        <v>412</v>
      </c>
      <c r="P606">
        <v>11970</v>
      </c>
      <c r="Q606">
        <v>6097</v>
      </c>
      <c r="R606">
        <v>5873</v>
      </c>
    </row>
    <row r="607" spans="1:18" x14ac:dyDescent="0.3">
      <c r="A607" t="s">
        <v>1627</v>
      </c>
      <c r="B607">
        <v>2022</v>
      </c>
      <c r="C607">
        <v>1.620684036074123</v>
      </c>
      <c r="D607">
        <v>0</v>
      </c>
      <c r="E607">
        <v>59</v>
      </c>
      <c r="F607">
        <v>361</v>
      </c>
      <c r="G607">
        <v>3.3478930039200001E-4</v>
      </c>
      <c r="H607">
        <v>29</v>
      </c>
      <c r="I607">
        <v>0</v>
      </c>
      <c r="J607">
        <v>0.43113070184738661</v>
      </c>
      <c r="K607">
        <v>-0.2510242881219254</v>
      </c>
      <c r="L607">
        <v>228598676.891157</v>
      </c>
      <c r="M607" t="s">
        <v>406</v>
      </c>
      <c r="N607" t="s">
        <v>413</v>
      </c>
      <c r="O607" t="s">
        <v>413</v>
      </c>
      <c r="P607">
        <v>25523</v>
      </c>
      <c r="Q607">
        <v>4058</v>
      </c>
      <c r="R607">
        <v>21465</v>
      </c>
    </row>
    <row r="608" spans="1:18" x14ac:dyDescent="0.3">
      <c r="A608" t="s">
        <v>1628</v>
      </c>
      <c r="B608">
        <v>2022</v>
      </c>
      <c r="C608">
        <v>2.0574414906051421</v>
      </c>
      <c r="D608">
        <v>0</v>
      </c>
      <c r="E608">
        <v>1</v>
      </c>
      <c r="F608">
        <v>110</v>
      </c>
      <c r="G608">
        <v>9.8132342963250002E-4</v>
      </c>
      <c r="H608">
        <v>10</v>
      </c>
      <c r="I608">
        <v>0</v>
      </c>
      <c r="J608">
        <v>0.35954979991712749</v>
      </c>
      <c r="K608">
        <v>-0.18441803247974389</v>
      </c>
      <c r="L608">
        <v>74697987.368380964</v>
      </c>
      <c r="M608" t="s">
        <v>406</v>
      </c>
      <c r="N608" t="s">
        <v>373</v>
      </c>
      <c r="O608" t="s">
        <v>418</v>
      </c>
      <c r="P608">
        <v>9380</v>
      </c>
      <c r="Q608">
        <v>1066</v>
      </c>
      <c r="R608">
        <v>8314</v>
      </c>
    </row>
    <row r="609" spans="1:18" x14ac:dyDescent="0.3">
      <c r="A609" t="s">
        <v>1629</v>
      </c>
      <c r="B609">
        <v>2022</v>
      </c>
      <c r="C609">
        <v>3.4069307364915691</v>
      </c>
      <c r="D609">
        <v>0</v>
      </c>
      <c r="E609">
        <v>5</v>
      </c>
      <c r="F609">
        <v>137</v>
      </c>
      <c r="G609">
        <v>1.0785014755321999E-3</v>
      </c>
      <c r="H609">
        <v>9</v>
      </c>
      <c r="I609">
        <v>2</v>
      </c>
      <c r="J609">
        <v>0.27473017119421139</v>
      </c>
      <c r="K609">
        <v>-8.2609356311199297E-2</v>
      </c>
      <c r="L609">
        <v>48512942.11009001</v>
      </c>
      <c r="M609" t="s">
        <v>406</v>
      </c>
      <c r="N609" t="s">
        <v>373</v>
      </c>
      <c r="O609" t="s">
        <v>420</v>
      </c>
      <c r="P609">
        <v>9407</v>
      </c>
      <c r="Q609">
        <v>2214</v>
      </c>
      <c r="R609">
        <v>7193</v>
      </c>
    </row>
    <row r="610" spans="1:18" x14ac:dyDescent="0.3">
      <c r="A610" t="s">
        <v>1630</v>
      </c>
      <c r="B610">
        <v>2022</v>
      </c>
      <c r="C610">
        <v>0.89664120534558023</v>
      </c>
      <c r="D610">
        <v>0</v>
      </c>
      <c r="E610">
        <v>433</v>
      </c>
      <c r="F610">
        <v>375</v>
      </c>
      <c r="G610">
        <v>1.7601620075890001E-4</v>
      </c>
      <c r="H610">
        <v>15</v>
      </c>
      <c r="I610">
        <v>14</v>
      </c>
      <c r="J610">
        <v>0.39578061107067419</v>
      </c>
      <c r="K610">
        <v>-0.18017354016063081</v>
      </c>
      <c r="L610">
        <v>363729538.66570991</v>
      </c>
      <c r="M610" t="s">
        <v>406</v>
      </c>
      <c r="N610" t="s">
        <v>423</v>
      </c>
      <c r="O610" t="s">
        <v>406</v>
      </c>
      <c r="P610">
        <v>18730</v>
      </c>
      <c r="Q610">
        <v>1089</v>
      </c>
      <c r="R610">
        <v>17641</v>
      </c>
    </row>
    <row r="611" spans="1:18" x14ac:dyDescent="0.3">
      <c r="A611" t="s">
        <v>1631</v>
      </c>
      <c r="B611">
        <v>2022</v>
      </c>
      <c r="C611">
        <v>2.1253785654795001</v>
      </c>
      <c r="D611">
        <v>0</v>
      </c>
      <c r="E611">
        <v>1</v>
      </c>
      <c r="F611">
        <v>153</v>
      </c>
      <c r="G611">
        <v>1.2106242036971999E-3</v>
      </c>
      <c r="H611">
        <v>9</v>
      </c>
      <c r="I611">
        <v>0</v>
      </c>
      <c r="J611">
        <v>0.51609660229504439</v>
      </c>
      <c r="K611">
        <v>-0.28661578516690672</v>
      </c>
      <c r="L611">
        <v>54923690.334377661</v>
      </c>
      <c r="M611" t="s">
        <v>406</v>
      </c>
      <c r="N611" t="s">
        <v>298</v>
      </c>
      <c r="O611" t="s">
        <v>190</v>
      </c>
      <c r="P611">
        <v>6070</v>
      </c>
      <c r="Q611">
        <v>996</v>
      </c>
      <c r="R611">
        <v>5074</v>
      </c>
    </row>
    <row r="612" spans="1:18" x14ac:dyDescent="0.3">
      <c r="A612" t="s">
        <v>1632</v>
      </c>
      <c r="B612">
        <v>2022</v>
      </c>
      <c r="C612">
        <v>3.995013965688945</v>
      </c>
      <c r="D612">
        <v>0</v>
      </c>
      <c r="E612">
        <v>32</v>
      </c>
      <c r="F612">
        <v>271</v>
      </c>
      <c r="G612">
        <v>6.2397309046769995E-4</v>
      </c>
      <c r="H612">
        <v>8</v>
      </c>
      <c r="I612">
        <v>0</v>
      </c>
      <c r="J612">
        <v>0.52991539831380474</v>
      </c>
      <c r="K612">
        <v>-0.30615257007188162</v>
      </c>
      <c r="L612">
        <v>81578001.023364425</v>
      </c>
      <c r="M612" t="s">
        <v>406</v>
      </c>
      <c r="N612" t="s">
        <v>298</v>
      </c>
      <c r="O612" t="s">
        <v>428</v>
      </c>
      <c r="P612">
        <v>12700</v>
      </c>
      <c r="Q612">
        <v>220</v>
      </c>
      <c r="R612">
        <v>12480</v>
      </c>
    </row>
    <row r="613" spans="1:18" x14ac:dyDescent="0.3">
      <c r="A613" t="s">
        <v>1633</v>
      </c>
      <c r="B613">
        <v>2022</v>
      </c>
      <c r="C613">
        <v>1.3619732474446991</v>
      </c>
      <c r="D613">
        <v>0</v>
      </c>
      <c r="E613">
        <v>6</v>
      </c>
      <c r="F613">
        <v>232</v>
      </c>
      <c r="G613">
        <v>6.2048904286600003E-4</v>
      </c>
      <c r="H613">
        <v>5</v>
      </c>
      <c r="I613">
        <v>0</v>
      </c>
      <c r="J613">
        <v>0.4374571306185272</v>
      </c>
      <c r="K613">
        <v>-0.2660776263223571</v>
      </c>
      <c r="L613">
        <v>107447580.265745</v>
      </c>
      <c r="M613" t="s">
        <v>406</v>
      </c>
      <c r="N613" t="s">
        <v>429</v>
      </c>
      <c r="O613" t="s">
        <v>430</v>
      </c>
      <c r="P613">
        <v>6622</v>
      </c>
      <c r="Q613">
        <v>2263</v>
      </c>
      <c r="R613">
        <v>4359</v>
      </c>
    </row>
    <row r="614" spans="1:18" x14ac:dyDescent="0.3">
      <c r="A614" t="s">
        <v>1634</v>
      </c>
      <c r="B614">
        <v>2022</v>
      </c>
      <c r="C614">
        <v>1.5838538366266961</v>
      </c>
      <c r="D614">
        <v>0</v>
      </c>
      <c r="E614">
        <v>1</v>
      </c>
      <c r="F614">
        <v>264</v>
      </c>
      <c r="G614">
        <v>1.0377343772410999E-3</v>
      </c>
      <c r="H614">
        <v>10</v>
      </c>
      <c r="I614">
        <v>0</v>
      </c>
      <c r="J614">
        <v>0.46521375594102449</v>
      </c>
      <c r="K614">
        <v>-0.14550667550161861</v>
      </c>
      <c r="L614">
        <v>81399575.070738301</v>
      </c>
      <c r="M614" t="s">
        <v>406</v>
      </c>
      <c r="N614" t="s">
        <v>442</v>
      </c>
      <c r="O614" t="s">
        <v>214</v>
      </c>
      <c r="P614">
        <v>7309</v>
      </c>
      <c r="Q614">
        <v>444</v>
      </c>
      <c r="R614">
        <v>6865</v>
      </c>
    </row>
    <row r="615" spans="1:18" x14ac:dyDescent="0.3">
      <c r="A615" t="s">
        <v>1635</v>
      </c>
      <c r="B615">
        <v>2022</v>
      </c>
      <c r="C615">
        <v>2.8849409392643541</v>
      </c>
      <c r="D615">
        <v>0</v>
      </c>
      <c r="E615">
        <v>2</v>
      </c>
      <c r="F615">
        <v>204</v>
      </c>
      <c r="G615">
        <v>1.0370928862936E-3</v>
      </c>
      <c r="H615">
        <v>10</v>
      </c>
      <c r="I615">
        <v>0</v>
      </c>
      <c r="J615">
        <v>0.44838779008897328</v>
      </c>
      <c r="K615">
        <v>-0.22538028769048529</v>
      </c>
      <c r="L615">
        <v>93681096.890454203</v>
      </c>
      <c r="M615" t="s">
        <v>406</v>
      </c>
      <c r="N615" t="s">
        <v>446</v>
      </c>
      <c r="O615" t="s">
        <v>447</v>
      </c>
      <c r="P615">
        <v>8461</v>
      </c>
      <c r="Q615">
        <v>2100</v>
      </c>
      <c r="R615">
        <v>6361</v>
      </c>
    </row>
    <row r="616" spans="1:18" x14ac:dyDescent="0.3">
      <c r="A616" t="s">
        <v>1636</v>
      </c>
      <c r="B616">
        <v>2022</v>
      </c>
      <c r="C616">
        <v>1.870820350363336</v>
      </c>
      <c r="D616">
        <v>0</v>
      </c>
      <c r="E616">
        <v>3</v>
      </c>
      <c r="F616">
        <v>301</v>
      </c>
      <c r="G616">
        <v>4.5073859384370002E-4</v>
      </c>
      <c r="H616">
        <v>12</v>
      </c>
      <c r="I616">
        <v>0</v>
      </c>
      <c r="J616">
        <v>0.5061548952402225</v>
      </c>
      <c r="K616">
        <v>-0.31516800244953608</v>
      </c>
      <c r="L616">
        <v>132292511.0987913</v>
      </c>
      <c r="M616" t="s">
        <v>406</v>
      </c>
      <c r="N616" t="s">
        <v>54</v>
      </c>
      <c r="O616" t="s">
        <v>54</v>
      </c>
      <c r="P616">
        <v>16445</v>
      </c>
      <c r="Q616">
        <v>4874</v>
      </c>
      <c r="R616">
        <v>11571</v>
      </c>
    </row>
    <row r="617" spans="1:18" x14ac:dyDescent="0.3">
      <c r="A617" t="s">
        <v>1637</v>
      </c>
      <c r="B617">
        <v>2022</v>
      </c>
      <c r="C617">
        <v>1.2769508610148621</v>
      </c>
      <c r="D617">
        <v>0</v>
      </c>
      <c r="E617">
        <v>989</v>
      </c>
      <c r="F617">
        <v>431</v>
      </c>
      <c r="G617">
        <v>4.2091560329970002E-4</v>
      </c>
      <c r="H617">
        <v>41</v>
      </c>
      <c r="I617">
        <v>0</v>
      </c>
      <c r="J617">
        <v>0.4733797814461701</v>
      </c>
      <c r="K617">
        <v>-0.29750089153905979</v>
      </c>
      <c r="L617">
        <v>158346341.70559561</v>
      </c>
      <c r="M617" t="s">
        <v>406</v>
      </c>
      <c r="N617" t="s">
        <v>54</v>
      </c>
      <c r="O617" t="s">
        <v>452</v>
      </c>
      <c r="P617">
        <v>12968</v>
      </c>
      <c r="Q617">
        <v>3368</v>
      </c>
      <c r="R617">
        <v>9600</v>
      </c>
    </row>
    <row r="618" spans="1:18" x14ac:dyDescent="0.3">
      <c r="A618" t="s">
        <v>1638</v>
      </c>
      <c r="B618">
        <v>2022</v>
      </c>
      <c r="C618">
        <v>1.4238927174470959</v>
      </c>
      <c r="D618">
        <v>0</v>
      </c>
      <c r="E618">
        <v>19</v>
      </c>
      <c r="F618">
        <v>550</v>
      </c>
      <c r="G618">
        <v>5.5555214024549996E-4</v>
      </c>
      <c r="H618">
        <v>6</v>
      </c>
      <c r="I618">
        <v>2</v>
      </c>
      <c r="J618">
        <v>0.40361217354683609</v>
      </c>
      <c r="K618">
        <v>-0.29964639148364069</v>
      </c>
      <c r="L618">
        <v>253401470.33544189</v>
      </c>
      <c r="M618" t="s">
        <v>406</v>
      </c>
      <c r="N618" t="s">
        <v>453</v>
      </c>
      <c r="O618" t="s">
        <v>453</v>
      </c>
      <c r="P618">
        <v>13171</v>
      </c>
      <c r="Q618">
        <v>7935</v>
      </c>
      <c r="R618">
        <v>5236</v>
      </c>
    </row>
    <row r="619" spans="1:18" x14ac:dyDescent="0.3">
      <c r="A619" t="s">
        <v>1639</v>
      </c>
      <c r="B619">
        <v>2022</v>
      </c>
      <c r="C619">
        <v>1.157154641234091</v>
      </c>
      <c r="D619">
        <v>0</v>
      </c>
      <c r="E619">
        <v>8</v>
      </c>
      <c r="F619">
        <v>428</v>
      </c>
      <c r="G619">
        <v>8.0469013061119996E-4</v>
      </c>
      <c r="H619">
        <v>12</v>
      </c>
      <c r="I619">
        <v>0</v>
      </c>
      <c r="J619">
        <v>0.3401149271661158</v>
      </c>
      <c r="K619">
        <v>-0.1948038781343108</v>
      </c>
      <c r="L619">
        <v>141736517.71843961</v>
      </c>
      <c r="M619" t="s">
        <v>406</v>
      </c>
      <c r="N619" t="s">
        <v>457</v>
      </c>
      <c r="O619" t="s">
        <v>458</v>
      </c>
      <c r="P619">
        <v>11804</v>
      </c>
      <c r="Q619">
        <v>6319</v>
      </c>
      <c r="R619">
        <v>5485</v>
      </c>
    </row>
    <row r="620" spans="1:18" x14ac:dyDescent="0.3">
      <c r="A620" t="s">
        <v>1640</v>
      </c>
      <c r="B620">
        <v>2022</v>
      </c>
      <c r="C620">
        <v>2.2325122157932098</v>
      </c>
      <c r="D620">
        <v>0</v>
      </c>
      <c r="E620">
        <v>17</v>
      </c>
      <c r="F620">
        <v>206</v>
      </c>
      <c r="G620">
        <v>2.6776277124690001E-4</v>
      </c>
      <c r="H620">
        <v>10</v>
      </c>
      <c r="I620">
        <v>4</v>
      </c>
      <c r="J620">
        <v>0.49812191088148677</v>
      </c>
      <c r="K620">
        <v>-0.33014669164414479</v>
      </c>
      <c r="L620">
        <v>117651872.8567452</v>
      </c>
      <c r="M620" t="s">
        <v>460</v>
      </c>
      <c r="N620" t="s">
        <v>461</v>
      </c>
      <c r="O620" t="s">
        <v>464</v>
      </c>
      <c r="P620">
        <v>3561</v>
      </c>
      <c r="Q620">
        <v>955</v>
      </c>
      <c r="R620">
        <v>2606</v>
      </c>
    </row>
    <row r="621" spans="1:18" x14ac:dyDescent="0.3">
      <c r="A621" t="s">
        <v>1641</v>
      </c>
      <c r="B621">
        <v>2022</v>
      </c>
      <c r="C621">
        <v>0.70462754611433864</v>
      </c>
      <c r="D621">
        <v>0</v>
      </c>
      <c r="E621">
        <v>52</v>
      </c>
      <c r="F621">
        <v>109</v>
      </c>
      <c r="G621">
        <v>5.6242571457560005E-4</v>
      </c>
      <c r="H621">
        <v>6</v>
      </c>
      <c r="I621">
        <v>17</v>
      </c>
      <c r="J621">
        <v>0.39616744953788302</v>
      </c>
      <c r="K621">
        <v>-0.25965092288578479</v>
      </c>
      <c r="L621">
        <v>273214162.14278638</v>
      </c>
      <c r="M621" t="s">
        <v>460</v>
      </c>
      <c r="N621" t="s">
        <v>461</v>
      </c>
      <c r="O621" t="s">
        <v>465</v>
      </c>
      <c r="P621">
        <v>3251</v>
      </c>
      <c r="Q621">
        <v>961</v>
      </c>
      <c r="R621">
        <v>2290</v>
      </c>
    </row>
    <row r="622" spans="1:18" x14ac:dyDescent="0.3">
      <c r="A622" t="s">
        <v>1642</v>
      </c>
      <c r="B622">
        <v>2022</v>
      </c>
      <c r="C622">
        <v>0.71518262061935933</v>
      </c>
      <c r="D622">
        <v>0</v>
      </c>
      <c r="E622">
        <v>93</v>
      </c>
      <c r="F622">
        <v>111</v>
      </c>
      <c r="G622">
        <v>4.3421538248649999E-4</v>
      </c>
      <c r="H622">
        <v>8</v>
      </c>
      <c r="I622">
        <v>3</v>
      </c>
      <c r="J622">
        <v>0.361394223639801</v>
      </c>
      <c r="K622">
        <v>-0.16684655942680379</v>
      </c>
      <c r="L622">
        <v>238352409.4545978</v>
      </c>
      <c r="M622" t="s">
        <v>460</v>
      </c>
      <c r="N622" t="s">
        <v>461</v>
      </c>
      <c r="O622" t="s">
        <v>467</v>
      </c>
      <c r="P622">
        <v>3944</v>
      </c>
      <c r="Q622">
        <v>1200</v>
      </c>
      <c r="R622">
        <v>2744</v>
      </c>
    </row>
    <row r="623" spans="1:18" x14ac:dyDescent="0.3">
      <c r="A623" t="s">
        <v>1643</v>
      </c>
      <c r="B623">
        <v>2022</v>
      </c>
      <c r="C623">
        <v>0.58806290949327589</v>
      </c>
      <c r="D623">
        <v>0</v>
      </c>
      <c r="E623">
        <v>1</v>
      </c>
      <c r="F623">
        <v>69</v>
      </c>
      <c r="G623">
        <v>4.3299302174840002E-4</v>
      </c>
      <c r="H623">
        <v>3</v>
      </c>
      <c r="I623">
        <v>4</v>
      </c>
      <c r="L623">
        <v>202140960.73904571</v>
      </c>
      <c r="M623" t="s">
        <v>460</v>
      </c>
      <c r="N623" t="s">
        <v>473</v>
      </c>
      <c r="O623" t="s">
        <v>474</v>
      </c>
      <c r="P623">
        <v>1923</v>
      </c>
      <c r="Q623">
        <v>642</v>
      </c>
      <c r="R623">
        <v>1281</v>
      </c>
    </row>
    <row r="624" spans="1:18" x14ac:dyDescent="0.3">
      <c r="A624" t="s">
        <v>1644</v>
      </c>
      <c r="B624">
        <v>2022</v>
      </c>
      <c r="C624">
        <v>0.7582702262753136</v>
      </c>
      <c r="D624">
        <v>0</v>
      </c>
      <c r="E624">
        <v>56</v>
      </c>
      <c r="F624">
        <v>90</v>
      </c>
      <c r="G624">
        <v>3.4758334745219998E-4</v>
      </c>
      <c r="H624">
        <v>9</v>
      </c>
      <c r="I624">
        <v>9</v>
      </c>
      <c r="L624">
        <v>122581287.152991</v>
      </c>
      <c r="M624" t="s">
        <v>460</v>
      </c>
      <c r="N624" t="s">
        <v>473</v>
      </c>
      <c r="O624" t="s">
        <v>476</v>
      </c>
      <c r="P624">
        <v>1778</v>
      </c>
      <c r="Q624">
        <v>610</v>
      </c>
      <c r="R624">
        <v>1168</v>
      </c>
    </row>
    <row r="625" spans="1:18" x14ac:dyDescent="0.3">
      <c r="A625" t="s">
        <v>1645</v>
      </c>
      <c r="B625">
        <v>2022</v>
      </c>
      <c r="C625">
        <v>0.66376032188861933</v>
      </c>
      <c r="D625">
        <v>0</v>
      </c>
      <c r="E625">
        <v>12</v>
      </c>
      <c r="F625">
        <v>21</v>
      </c>
      <c r="G625">
        <v>8.0450496862000001E-4</v>
      </c>
      <c r="H625">
        <v>3</v>
      </c>
      <c r="I625">
        <v>3</v>
      </c>
      <c r="L625">
        <v>76202922.069580302</v>
      </c>
      <c r="M625" t="s">
        <v>460</v>
      </c>
      <c r="N625" t="s">
        <v>473</v>
      </c>
      <c r="O625" t="s">
        <v>477</v>
      </c>
      <c r="P625">
        <v>328</v>
      </c>
      <c r="Q625">
        <v>115</v>
      </c>
      <c r="R625">
        <v>213</v>
      </c>
    </row>
    <row r="626" spans="1:18" x14ac:dyDescent="0.3">
      <c r="A626" t="s">
        <v>1646</v>
      </c>
      <c r="B626">
        <v>2022</v>
      </c>
      <c r="C626">
        <v>0.58803275362538476</v>
      </c>
      <c r="D626">
        <v>0</v>
      </c>
      <c r="E626">
        <v>172</v>
      </c>
      <c r="F626">
        <v>62</v>
      </c>
      <c r="G626">
        <v>5.1294400491789995E-4</v>
      </c>
      <c r="H626">
        <v>1</v>
      </c>
      <c r="I626">
        <v>5</v>
      </c>
      <c r="L626">
        <v>181933669.5255892</v>
      </c>
      <c r="M626" t="s">
        <v>460</v>
      </c>
      <c r="N626" t="s">
        <v>473</v>
      </c>
      <c r="O626" t="s">
        <v>479</v>
      </c>
      <c r="P626">
        <v>1658</v>
      </c>
      <c r="Q626">
        <v>585</v>
      </c>
      <c r="R626">
        <v>1073</v>
      </c>
    </row>
    <row r="627" spans="1:18" x14ac:dyDescent="0.3">
      <c r="A627" t="s">
        <v>1647</v>
      </c>
      <c r="B627">
        <v>2022</v>
      </c>
      <c r="C627">
        <v>3.5591918237709081</v>
      </c>
      <c r="D627">
        <v>0</v>
      </c>
      <c r="E627">
        <v>15</v>
      </c>
      <c r="F627">
        <v>269</v>
      </c>
      <c r="G627">
        <v>6.4543018066250005E-4</v>
      </c>
      <c r="H627">
        <v>5</v>
      </c>
      <c r="I627">
        <v>2</v>
      </c>
      <c r="J627">
        <v>0.46692879877302879</v>
      </c>
      <c r="K627">
        <v>-0.32743142142952858</v>
      </c>
      <c r="L627">
        <v>50251293.617918268</v>
      </c>
      <c r="M627" t="s">
        <v>460</v>
      </c>
      <c r="N627" t="s">
        <v>481</v>
      </c>
      <c r="O627" t="s">
        <v>484</v>
      </c>
      <c r="P627">
        <v>7433</v>
      </c>
      <c r="Q627">
        <v>3938</v>
      </c>
      <c r="R627">
        <v>3495</v>
      </c>
    </row>
    <row r="628" spans="1:18" x14ac:dyDescent="0.3">
      <c r="A628" t="s">
        <v>1648</v>
      </c>
      <c r="B628">
        <v>2022</v>
      </c>
      <c r="C628">
        <v>8.0906380694027344</v>
      </c>
      <c r="D628">
        <v>0</v>
      </c>
      <c r="E628">
        <v>4</v>
      </c>
      <c r="F628">
        <v>244</v>
      </c>
      <c r="G628">
        <v>1.4976690199192001E-3</v>
      </c>
      <c r="H628">
        <v>9</v>
      </c>
      <c r="I628">
        <v>3</v>
      </c>
      <c r="J628">
        <v>0.3789361338567287</v>
      </c>
      <c r="K628">
        <v>-0.24757995517848269</v>
      </c>
      <c r="L628">
        <v>20466421.83139104</v>
      </c>
      <c r="M628" t="s">
        <v>460</v>
      </c>
      <c r="N628" t="s">
        <v>481</v>
      </c>
      <c r="O628" t="s">
        <v>487</v>
      </c>
      <c r="P628">
        <v>9299</v>
      </c>
      <c r="Q628">
        <v>3599</v>
      </c>
      <c r="R628">
        <v>5700</v>
      </c>
    </row>
    <row r="629" spans="1:18" x14ac:dyDescent="0.3">
      <c r="A629" t="s">
        <v>1649</v>
      </c>
      <c r="B629">
        <v>2022</v>
      </c>
      <c r="C629">
        <v>3.8239920996812189</v>
      </c>
      <c r="D629">
        <v>0</v>
      </c>
      <c r="E629">
        <v>4</v>
      </c>
      <c r="F629">
        <v>407</v>
      </c>
      <c r="G629">
        <v>6.8019047769870005E-4</v>
      </c>
      <c r="H629">
        <v>11</v>
      </c>
      <c r="I629">
        <v>1</v>
      </c>
      <c r="J629">
        <v>0.42088630992572379</v>
      </c>
      <c r="K629">
        <v>-0.26510862034930838</v>
      </c>
      <c r="L629">
        <v>63788413.313485682</v>
      </c>
      <c r="M629" t="s">
        <v>460</v>
      </c>
      <c r="N629" t="s">
        <v>481</v>
      </c>
      <c r="O629" t="s">
        <v>120</v>
      </c>
      <c r="P629">
        <v>11114</v>
      </c>
      <c r="Q629">
        <v>6728</v>
      </c>
      <c r="R629">
        <v>4386</v>
      </c>
    </row>
    <row r="630" spans="1:18" x14ac:dyDescent="0.3">
      <c r="A630" t="s">
        <v>1650</v>
      </c>
      <c r="B630">
        <v>2022</v>
      </c>
      <c r="C630">
        <v>6.2843697376117857</v>
      </c>
      <c r="D630">
        <v>0</v>
      </c>
      <c r="E630">
        <v>6</v>
      </c>
      <c r="F630">
        <v>323</v>
      </c>
      <c r="G630">
        <v>1.1803896452331E-3</v>
      </c>
      <c r="H630">
        <v>5</v>
      </c>
      <c r="I630">
        <v>4</v>
      </c>
      <c r="J630">
        <v>0.40409568685846231</v>
      </c>
      <c r="K630">
        <v>-0.2848770258756862</v>
      </c>
      <c r="L630">
        <v>17893271.17684342</v>
      </c>
      <c r="M630" t="s">
        <v>460</v>
      </c>
      <c r="N630" t="s">
        <v>481</v>
      </c>
      <c r="O630" t="s">
        <v>171</v>
      </c>
      <c r="P630">
        <v>5179</v>
      </c>
      <c r="Q630">
        <v>1895</v>
      </c>
      <c r="R630">
        <v>3284</v>
      </c>
    </row>
    <row r="631" spans="1:18" x14ac:dyDescent="0.3">
      <c r="A631" t="s">
        <v>1651</v>
      </c>
      <c r="B631">
        <v>2022</v>
      </c>
      <c r="C631">
        <v>0.76205072314969557</v>
      </c>
      <c r="D631">
        <v>0</v>
      </c>
      <c r="E631">
        <v>2</v>
      </c>
      <c r="F631">
        <v>43</v>
      </c>
      <c r="G631">
        <v>6.6622207550220004E-4</v>
      </c>
      <c r="H631">
        <v>1</v>
      </c>
      <c r="I631">
        <v>6</v>
      </c>
      <c r="L631">
        <v>86319404.845094442</v>
      </c>
      <c r="M631" t="s">
        <v>460</v>
      </c>
      <c r="N631" t="s">
        <v>481</v>
      </c>
      <c r="O631" t="s">
        <v>366</v>
      </c>
      <c r="P631">
        <v>1300</v>
      </c>
      <c r="Q631">
        <v>145</v>
      </c>
      <c r="R631">
        <v>1155</v>
      </c>
    </row>
    <row r="632" spans="1:18" x14ac:dyDescent="0.3">
      <c r="A632" t="s">
        <v>1652</v>
      </c>
      <c r="B632">
        <v>2022</v>
      </c>
      <c r="C632">
        <v>0.80591971020440312</v>
      </c>
      <c r="D632">
        <v>0</v>
      </c>
      <c r="E632">
        <v>34</v>
      </c>
      <c r="F632">
        <v>89</v>
      </c>
      <c r="G632">
        <v>5.9028051611389998E-4</v>
      </c>
      <c r="H632">
        <v>4</v>
      </c>
      <c r="I632">
        <v>2</v>
      </c>
      <c r="J632">
        <v>0.50149609087501013</v>
      </c>
      <c r="K632">
        <v>-0.27380902876835811</v>
      </c>
      <c r="L632">
        <v>131440574.56117199</v>
      </c>
      <c r="M632" t="s">
        <v>460</v>
      </c>
      <c r="N632" t="s">
        <v>488</v>
      </c>
      <c r="O632" t="s">
        <v>490</v>
      </c>
      <c r="P632">
        <v>1294</v>
      </c>
      <c r="Q632">
        <v>348</v>
      </c>
      <c r="R632">
        <v>946</v>
      </c>
    </row>
    <row r="633" spans="1:18" x14ac:dyDescent="0.3">
      <c r="A633" t="s">
        <v>1653</v>
      </c>
      <c r="B633">
        <v>2022</v>
      </c>
      <c r="C633">
        <v>0.76644017272906184</v>
      </c>
      <c r="D633">
        <v>0</v>
      </c>
      <c r="E633">
        <v>1</v>
      </c>
      <c r="F633">
        <v>79</v>
      </c>
      <c r="G633">
        <v>5.1961297032459999E-4</v>
      </c>
      <c r="H633">
        <v>2</v>
      </c>
      <c r="I633">
        <v>1</v>
      </c>
      <c r="J633">
        <v>0.44642289109208311</v>
      </c>
      <c r="K633">
        <v>-0.20831686714087899</v>
      </c>
      <c r="L633">
        <v>166080741.12578499</v>
      </c>
      <c r="M633" t="s">
        <v>460</v>
      </c>
      <c r="N633" t="s">
        <v>488</v>
      </c>
      <c r="O633" t="s">
        <v>491</v>
      </c>
      <c r="P633">
        <v>976</v>
      </c>
      <c r="Q633">
        <v>327</v>
      </c>
      <c r="R633">
        <v>649</v>
      </c>
    </row>
    <row r="634" spans="1:18" x14ac:dyDescent="0.3">
      <c r="A634" t="s">
        <v>1654</v>
      </c>
      <c r="B634">
        <v>2022</v>
      </c>
      <c r="C634">
        <v>0.79074983951973976</v>
      </c>
      <c r="D634">
        <v>0</v>
      </c>
      <c r="E634">
        <v>1</v>
      </c>
      <c r="F634">
        <v>123</v>
      </c>
      <c r="G634">
        <v>5.6207026887319998E-4</v>
      </c>
      <c r="H634">
        <v>6</v>
      </c>
      <c r="I634">
        <v>3</v>
      </c>
      <c r="J634">
        <v>0.45275401435356671</v>
      </c>
      <c r="K634">
        <v>-0.33718832375892221</v>
      </c>
      <c r="L634">
        <v>126570077.3661287</v>
      </c>
      <c r="M634" t="s">
        <v>460</v>
      </c>
      <c r="N634" t="s">
        <v>492</v>
      </c>
      <c r="O634" t="s">
        <v>494</v>
      </c>
      <c r="P634">
        <v>1871</v>
      </c>
      <c r="Q634">
        <v>789</v>
      </c>
      <c r="R634">
        <v>1082</v>
      </c>
    </row>
    <row r="635" spans="1:18" x14ac:dyDescent="0.3">
      <c r="A635" t="s">
        <v>1655</v>
      </c>
      <c r="B635">
        <v>2022</v>
      </c>
      <c r="C635">
        <v>0.59089435858139117</v>
      </c>
      <c r="D635">
        <v>0</v>
      </c>
      <c r="E635">
        <v>1</v>
      </c>
      <c r="F635">
        <v>53</v>
      </c>
      <c r="G635">
        <v>4.9164190652759997E-4</v>
      </c>
      <c r="H635">
        <v>6</v>
      </c>
      <c r="I635">
        <v>0</v>
      </c>
      <c r="J635">
        <v>0.42762760016390822</v>
      </c>
      <c r="K635">
        <v>-0.24742605276398491</v>
      </c>
      <c r="L635">
        <v>383946899.95892793</v>
      </c>
      <c r="M635" t="s">
        <v>460</v>
      </c>
      <c r="N635" t="s">
        <v>492</v>
      </c>
      <c r="O635" t="s">
        <v>495</v>
      </c>
      <c r="P635">
        <v>1987</v>
      </c>
      <c r="Q635">
        <v>450</v>
      </c>
      <c r="R635">
        <v>1537</v>
      </c>
    </row>
    <row r="636" spans="1:18" x14ac:dyDescent="0.3">
      <c r="A636" t="s">
        <v>1656</v>
      </c>
      <c r="B636">
        <v>2022</v>
      </c>
      <c r="C636">
        <v>1.5973477714340341</v>
      </c>
      <c r="D636">
        <v>0</v>
      </c>
      <c r="E636">
        <v>8</v>
      </c>
      <c r="F636">
        <v>77</v>
      </c>
      <c r="G636">
        <v>1.0946319344400999E-3</v>
      </c>
      <c r="H636">
        <v>5</v>
      </c>
      <c r="I636">
        <v>1</v>
      </c>
      <c r="J636">
        <v>0.43939283946782481</v>
      </c>
      <c r="K636">
        <v>-0.3725936747953153</v>
      </c>
      <c r="L636">
        <v>54273869.664724827</v>
      </c>
      <c r="M636" t="s">
        <v>460</v>
      </c>
      <c r="N636" t="s">
        <v>492</v>
      </c>
      <c r="O636" t="s">
        <v>496</v>
      </c>
      <c r="P636">
        <v>2337</v>
      </c>
      <c r="Q636">
        <v>1226</v>
      </c>
      <c r="R636">
        <v>1111</v>
      </c>
    </row>
    <row r="637" spans="1:18" x14ac:dyDescent="0.3">
      <c r="A637" t="s">
        <v>1657</v>
      </c>
      <c r="B637">
        <v>2022</v>
      </c>
      <c r="C637">
        <v>2.448569282099716</v>
      </c>
      <c r="D637">
        <v>0</v>
      </c>
      <c r="E637">
        <v>15</v>
      </c>
      <c r="F637">
        <v>124</v>
      </c>
      <c r="G637">
        <v>6.1142022623279996E-4</v>
      </c>
      <c r="H637">
        <v>12</v>
      </c>
      <c r="I637">
        <v>2</v>
      </c>
      <c r="J637">
        <v>0.48408782375052212</v>
      </c>
      <c r="K637">
        <v>-0.36838236637602001</v>
      </c>
      <c r="L637">
        <v>73930605.943475932</v>
      </c>
      <c r="M637" t="s">
        <v>460</v>
      </c>
      <c r="N637" t="s">
        <v>492</v>
      </c>
      <c r="O637" t="s">
        <v>497</v>
      </c>
      <c r="P637">
        <v>3524</v>
      </c>
      <c r="Q637">
        <v>1934</v>
      </c>
      <c r="R637">
        <v>1590</v>
      </c>
    </row>
    <row r="638" spans="1:18" x14ac:dyDescent="0.3">
      <c r="A638" t="s">
        <v>1658</v>
      </c>
      <c r="B638">
        <v>2022</v>
      </c>
      <c r="C638">
        <v>2.5765740180102181</v>
      </c>
      <c r="D638">
        <v>0</v>
      </c>
      <c r="E638">
        <v>44</v>
      </c>
      <c r="F638">
        <v>88</v>
      </c>
      <c r="G638">
        <v>1.5357970316335001E-3</v>
      </c>
      <c r="H638">
        <v>5</v>
      </c>
      <c r="I638">
        <v>3</v>
      </c>
      <c r="J638">
        <v>0.38767464381260602</v>
      </c>
      <c r="K638">
        <v>-0.3859155969190986</v>
      </c>
      <c r="L638">
        <v>37610215.512627907</v>
      </c>
      <c r="M638" t="s">
        <v>460</v>
      </c>
      <c r="N638" t="s">
        <v>492</v>
      </c>
      <c r="O638" t="s">
        <v>498</v>
      </c>
      <c r="P638">
        <v>1665</v>
      </c>
      <c r="Q638">
        <v>1003</v>
      </c>
      <c r="R638">
        <v>662</v>
      </c>
    </row>
    <row r="639" spans="1:18" x14ac:dyDescent="0.3">
      <c r="A639" t="s">
        <v>1659</v>
      </c>
      <c r="B639">
        <v>2022</v>
      </c>
      <c r="C639">
        <v>1.1681663658262009</v>
      </c>
      <c r="D639">
        <v>0</v>
      </c>
      <c r="E639">
        <v>1</v>
      </c>
      <c r="F639">
        <v>54</v>
      </c>
      <c r="G639">
        <v>1.4093934700718999E-3</v>
      </c>
      <c r="H639">
        <v>6</v>
      </c>
      <c r="I639">
        <v>2</v>
      </c>
      <c r="J639">
        <v>0.49342525730067011</v>
      </c>
      <c r="K639">
        <v>-0.32531325971523201</v>
      </c>
      <c r="L639">
        <v>23970307.839416452</v>
      </c>
      <c r="M639" t="s">
        <v>499</v>
      </c>
      <c r="N639" t="s">
        <v>499</v>
      </c>
      <c r="O639" t="s">
        <v>500</v>
      </c>
      <c r="P639">
        <v>1025</v>
      </c>
      <c r="Q639">
        <v>184</v>
      </c>
      <c r="R639">
        <v>841</v>
      </c>
    </row>
    <row r="640" spans="1:18" x14ac:dyDescent="0.3">
      <c r="A640" t="s">
        <v>1660</v>
      </c>
      <c r="B640">
        <v>2022</v>
      </c>
      <c r="C640">
        <v>0.77436472153633706</v>
      </c>
      <c r="D640">
        <v>0</v>
      </c>
      <c r="E640">
        <v>1</v>
      </c>
      <c r="F640">
        <v>129</v>
      </c>
      <c r="G640">
        <v>4.1643074424999998E-4</v>
      </c>
      <c r="H640">
        <v>2</v>
      </c>
      <c r="I640">
        <v>3</v>
      </c>
      <c r="J640">
        <v>0.48442441346187842</v>
      </c>
      <c r="K640">
        <v>-0.3314908574598639</v>
      </c>
      <c r="L640">
        <v>71938586.454114854</v>
      </c>
      <c r="M640" t="s">
        <v>499</v>
      </c>
      <c r="N640" t="s">
        <v>499</v>
      </c>
      <c r="O640" t="s">
        <v>501</v>
      </c>
      <c r="P640">
        <v>2111</v>
      </c>
      <c r="Q640">
        <v>369</v>
      </c>
      <c r="R640">
        <v>1742</v>
      </c>
    </row>
    <row r="641" spans="1:18" x14ac:dyDescent="0.3">
      <c r="A641" t="s">
        <v>1661</v>
      </c>
      <c r="B641">
        <v>2022</v>
      </c>
      <c r="C641">
        <v>0.88036339012429876</v>
      </c>
      <c r="D641">
        <v>0</v>
      </c>
      <c r="E641">
        <v>51</v>
      </c>
      <c r="F641">
        <v>65</v>
      </c>
      <c r="G641">
        <v>9.7464920888210005E-4</v>
      </c>
      <c r="H641">
        <v>9</v>
      </c>
      <c r="I641">
        <v>4</v>
      </c>
      <c r="J641">
        <v>0.52639878849390909</v>
      </c>
      <c r="K641">
        <v>-0.27225165895460568</v>
      </c>
      <c r="L641">
        <v>67078879.769561611</v>
      </c>
      <c r="M641" t="s">
        <v>499</v>
      </c>
      <c r="N641" t="s">
        <v>499</v>
      </c>
      <c r="O641" t="s">
        <v>507</v>
      </c>
      <c r="P641">
        <v>1300</v>
      </c>
      <c r="Q641">
        <v>829</v>
      </c>
      <c r="R641">
        <v>471</v>
      </c>
    </row>
    <row r="642" spans="1:18" x14ac:dyDescent="0.3">
      <c r="A642" t="s">
        <v>1662</v>
      </c>
      <c r="B642">
        <v>2022</v>
      </c>
      <c r="C642">
        <v>0.66650030712007025</v>
      </c>
      <c r="D642">
        <v>0</v>
      </c>
      <c r="E642">
        <v>3</v>
      </c>
      <c r="F642">
        <v>107</v>
      </c>
      <c r="G642">
        <v>4.9540918790499998E-4</v>
      </c>
      <c r="H642">
        <v>4</v>
      </c>
      <c r="I642">
        <v>2</v>
      </c>
      <c r="J642">
        <v>0.52945930237103644</v>
      </c>
      <c r="K642">
        <v>-0.33220619670223328</v>
      </c>
      <c r="L642">
        <v>101913884.5929054</v>
      </c>
      <c r="M642" t="s">
        <v>499</v>
      </c>
      <c r="N642" t="s">
        <v>499</v>
      </c>
      <c r="O642" t="s">
        <v>121</v>
      </c>
      <c r="P642">
        <v>1051</v>
      </c>
      <c r="Q642">
        <v>146</v>
      </c>
      <c r="R642">
        <v>905</v>
      </c>
    </row>
    <row r="643" spans="1:18" x14ac:dyDescent="0.3">
      <c r="A643" t="s">
        <v>1663</v>
      </c>
      <c r="B643">
        <v>2022</v>
      </c>
      <c r="C643">
        <v>1.102564331017523</v>
      </c>
      <c r="D643">
        <v>0</v>
      </c>
      <c r="E643">
        <v>1</v>
      </c>
      <c r="F643">
        <v>96</v>
      </c>
      <c r="G643">
        <v>3.2797575242810001E-4</v>
      </c>
      <c r="H643">
        <v>2</v>
      </c>
      <c r="I643">
        <v>1</v>
      </c>
      <c r="J643">
        <v>0.50420011189954705</v>
      </c>
      <c r="K643">
        <v>-0.33415379682478952</v>
      </c>
      <c r="L643">
        <v>91973565.251810595</v>
      </c>
      <c r="M643" t="s">
        <v>499</v>
      </c>
      <c r="N643" t="s">
        <v>499</v>
      </c>
      <c r="O643" t="s">
        <v>508</v>
      </c>
      <c r="P643">
        <v>3718</v>
      </c>
      <c r="Q643">
        <v>656</v>
      </c>
      <c r="R643">
        <v>3062</v>
      </c>
    </row>
    <row r="644" spans="1:18" x14ac:dyDescent="0.3">
      <c r="A644" t="s">
        <v>1664</v>
      </c>
      <c r="B644">
        <v>2022</v>
      </c>
      <c r="C644">
        <v>0.5533196459342089</v>
      </c>
      <c r="D644">
        <v>0</v>
      </c>
      <c r="E644">
        <v>15</v>
      </c>
      <c r="F644">
        <v>70</v>
      </c>
      <c r="G644">
        <v>9.5736206446019999E-4</v>
      </c>
      <c r="H644">
        <v>2</v>
      </c>
      <c r="I644">
        <v>3</v>
      </c>
      <c r="J644">
        <v>0.4826476061373205</v>
      </c>
      <c r="K644">
        <v>-0.25615350201989617</v>
      </c>
      <c r="L644">
        <v>267600363.38128841</v>
      </c>
      <c r="M644" t="s">
        <v>499</v>
      </c>
      <c r="N644" t="s">
        <v>499</v>
      </c>
      <c r="O644" t="s">
        <v>510</v>
      </c>
      <c r="P644">
        <v>1413</v>
      </c>
      <c r="Q644">
        <v>644</v>
      </c>
      <c r="R644">
        <v>769</v>
      </c>
    </row>
    <row r="645" spans="1:18" x14ac:dyDescent="0.3">
      <c r="A645" t="s">
        <v>1665</v>
      </c>
      <c r="B645">
        <v>2022</v>
      </c>
      <c r="C645">
        <v>1.5738922743426911</v>
      </c>
      <c r="D645">
        <v>0</v>
      </c>
      <c r="E645">
        <v>1</v>
      </c>
      <c r="F645">
        <v>52</v>
      </c>
      <c r="G645">
        <v>1.140813763432E-3</v>
      </c>
      <c r="H645">
        <v>3</v>
      </c>
      <c r="I645">
        <v>1</v>
      </c>
      <c r="J645">
        <v>0.4899451868489742</v>
      </c>
      <c r="K645">
        <v>-0.34798676169177978</v>
      </c>
      <c r="L645">
        <v>148057766.3201468</v>
      </c>
      <c r="M645" t="s">
        <v>499</v>
      </c>
      <c r="N645" t="s">
        <v>499</v>
      </c>
      <c r="O645" t="s">
        <v>511</v>
      </c>
      <c r="P645">
        <v>1502</v>
      </c>
      <c r="Q645">
        <v>716</v>
      </c>
      <c r="R645">
        <v>786</v>
      </c>
    </row>
    <row r="646" spans="1:18" x14ac:dyDescent="0.3">
      <c r="A646" t="s">
        <v>1666</v>
      </c>
      <c r="B646">
        <v>2022</v>
      </c>
      <c r="C646">
        <v>0.50455145336636387</v>
      </c>
      <c r="D646">
        <v>0</v>
      </c>
      <c r="E646">
        <v>1</v>
      </c>
      <c r="F646">
        <v>40</v>
      </c>
      <c r="G646">
        <v>5.6417236952229996E-4</v>
      </c>
      <c r="H646">
        <v>13</v>
      </c>
      <c r="I646">
        <v>15</v>
      </c>
      <c r="J646">
        <v>0.4704347226526604</v>
      </c>
      <c r="K646">
        <v>-0.40173156922293379</v>
      </c>
      <c r="L646">
        <v>192704810.78503671</v>
      </c>
      <c r="M646" t="s">
        <v>499</v>
      </c>
      <c r="N646" t="s">
        <v>512</v>
      </c>
      <c r="O646" t="s">
        <v>514</v>
      </c>
      <c r="P646">
        <v>1430</v>
      </c>
      <c r="Q646">
        <v>98</v>
      </c>
      <c r="R646">
        <v>1332</v>
      </c>
    </row>
    <row r="647" spans="1:18" x14ac:dyDescent="0.3">
      <c r="A647" t="s">
        <v>1667</v>
      </c>
      <c r="B647">
        <v>2022</v>
      </c>
      <c r="C647">
        <v>0.7184302241144499</v>
      </c>
      <c r="D647">
        <v>0</v>
      </c>
      <c r="E647">
        <v>50</v>
      </c>
      <c r="F647">
        <v>136</v>
      </c>
      <c r="G647">
        <v>4.5339452501229999E-4</v>
      </c>
      <c r="H647">
        <v>8</v>
      </c>
      <c r="I647">
        <v>8</v>
      </c>
      <c r="J647">
        <v>0.429364419231409</v>
      </c>
      <c r="K647">
        <v>-0.4206647359528588</v>
      </c>
      <c r="L647">
        <v>93438317.975341007</v>
      </c>
      <c r="M647" t="s">
        <v>499</v>
      </c>
      <c r="N647" t="s">
        <v>512</v>
      </c>
      <c r="O647" t="s">
        <v>515</v>
      </c>
      <c r="P647">
        <v>2658</v>
      </c>
      <c r="Q647">
        <v>753</v>
      </c>
      <c r="R647">
        <v>1905</v>
      </c>
    </row>
    <row r="648" spans="1:18" x14ac:dyDescent="0.3">
      <c r="A648" t="s">
        <v>1668</v>
      </c>
      <c r="B648">
        <v>2022</v>
      </c>
      <c r="C648">
        <v>0.52067043895770526</v>
      </c>
      <c r="D648">
        <v>0</v>
      </c>
      <c r="E648">
        <v>69</v>
      </c>
      <c r="F648">
        <v>136</v>
      </c>
      <c r="G648">
        <v>4.019218253641E-4</v>
      </c>
      <c r="H648">
        <v>1</v>
      </c>
      <c r="I648">
        <v>4</v>
      </c>
      <c r="J648">
        <v>0.39251180811467862</v>
      </c>
      <c r="K648">
        <v>-0.3922153930958025</v>
      </c>
      <c r="L648">
        <v>98617732.232374087</v>
      </c>
      <c r="M648" t="s">
        <v>499</v>
      </c>
      <c r="N648" t="s">
        <v>512</v>
      </c>
      <c r="O648" t="s">
        <v>517</v>
      </c>
      <c r="P648">
        <v>1381</v>
      </c>
      <c r="Q648">
        <v>136</v>
      </c>
      <c r="R648">
        <v>1245</v>
      </c>
    </row>
    <row r="649" spans="1:18" x14ac:dyDescent="0.3">
      <c r="A649" t="s">
        <v>1669</v>
      </c>
      <c r="B649">
        <v>2022</v>
      </c>
      <c r="C649">
        <v>0.86139736026429137</v>
      </c>
      <c r="D649">
        <v>0</v>
      </c>
      <c r="E649">
        <v>80</v>
      </c>
      <c r="F649">
        <v>198</v>
      </c>
      <c r="G649">
        <v>2.0173158154829999E-4</v>
      </c>
      <c r="H649">
        <v>10</v>
      </c>
      <c r="I649">
        <v>3</v>
      </c>
      <c r="J649">
        <v>0.47987316729580171</v>
      </c>
      <c r="K649">
        <v>-0.35682081717635</v>
      </c>
      <c r="L649">
        <v>202974125.57218</v>
      </c>
      <c r="M649" t="s">
        <v>499</v>
      </c>
      <c r="N649" t="s">
        <v>518</v>
      </c>
      <c r="O649" t="s">
        <v>152</v>
      </c>
      <c r="P649">
        <v>4437</v>
      </c>
      <c r="Q649">
        <v>1271</v>
      </c>
      <c r="R649">
        <v>3166</v>
      </c>
    </row>
    <row r="650" spans="1:18" x14ac:dyDescent="0.3">
      <c r="A650" t="s">
        <v>1670</v>
      </c>
      <c r="B650">
        <v>2022</v>
      </c>
      <c r="C650">
        <v>0.89931267390508174</v>
      </c>
      <c r="D650">
        <v>0</v>
      </c>
      <c r="E650">
        <v>1</v>
      </c>
      <c r="F650">
        <v>108</v>
      </c>
      <c r="G650">
        <v>4.584520736547E-4</v>
      </c>
      <c r="H650">
        <v>4</v>
      </c>
      <c r="I650">
        <v>0</v>
      </c>
      <c r="J650">
        <v>0.36873763437431001</v>
      </c>
      <c r="K650">
        <v>-0.37695096655727811</v>
      </c>
      <c r="L650">
        <v>146726418.68647271</v>
      </c>
      <c r="M650" t="s">
        <v>499</v>
      </c>
      <c r="N650" t="s">
        <v>518</v>
      </c>
      <c r="O650" t="s">
        <v>520</v>
      </c>
      <c r="P650">
        <v>1921</v>
      </c>
      <c r="Q650">
        <v>1220</v>
      </c>
      <c r="R650">
        <v>701</v>
      </c>
    </row>
    <row r="651" spans="1:18" x14ac:dyDescent="0.3">
      <c r="A651" t="s">
        <v>1671</v>
      </c>
      <c r="B651">
        <v>2022</v>
      </c>
      <c r="C651">
        <v>0.61023441349169405</v>
      </c>
      <c r="D651">
        <v>0</v>
      </c>
      <c r="E651">
        <v>19</v>
      </c>
      <c r="F651">
        <v>24</v>
      </c>
      <c r="G651">
        <v>1.6792376261177001E-3</v>
      </c>
      <c r="H651">
        <v>3</v>
      </c>
      <c r="I651">
        <v>2</v>
      </c>
      <c r="J651">
        <v>0.51352128332277691</v>
      </c>
      <c r="K651">
        <v>-0.36644811673099431</v>
      </c>
      <c r="L651">
        <v>49029171.31648986</v>
      </c>
      <c r="M651" t="s">
        <v>499</v>
      </c>
      <c r="N651" t="s">
        <v>518</v>
      </c>
      <c r="O651" t="s">
        <v>521</v>
      </c>
      <c r="P651">
        <v>457</v>
      </c>
      <c r="Q651">
        <v>176</v>
      </c>
      <c r="R651">
        <v>281</v>
      </c>
    </row>
    <row r="652" spans="1:18" x14ac:dyDescent="0.3">
      <c r="A652" t="s">
        <v>1672</v>
      </c>
      <c r="B652">
        <v>2022</v>
      </c>
      <c r="C652">
        <v>0.90250153498212204</v>
      </c>
      <c r="D652">
        <v>0</v>
      </c>
      <c r="E652">
        <v>149</v>
      </c>
      <c r="F652">
        <v>56</v>
      </c>
      <c r="G652">
        <v>1.2642124576178E-3</v>
      </c>
      <c r="H652">
        <v>9</v>
      </c>
      <c r="I652">
        <v>2</v>
      </c>
      <c r="J652">
        <v>0.42636042825102938</v>
      </c>
      <c r="K652">
        <v>-0.38096454880145753</v>
      </c>
      <c r="L652">
        <v>26844880.512402929</v>
      </c>
      <c r="M652" t="s">
        <v>499</v>
      </c>
      <c r="N652" t="s">
        <v>522</v>
      </c>
      <c r="O652" t="s">
        <v>523</v>
      </c>
      <c r="P652">
        <v>1165</v>
      </c>
      <c r="Q652">
        <v>292</v>
      </c>
      <c r="R652">
        <v>873</v>
      </c>
    </row>
    <row r="653" spans="1:18" x14ac:dyDescent="0.3">
      <c r="A653" t="s">
        <v>1673</v>
      </c>
      <c r="B653">
        <v>2022</v>
      </c>
      <c r="C653">
        <v>0.94486255887884996</v>
      </c>
      <c r="D653">
        <v>0</v>
      </c>
      <c r="E653">
        <v>35</v>
      </c>
      <c r="F653">
        <v>96</v>
      </c>
      <c r="G653">
        <v>4.5796365115560001E-4</v>
      </c>
      <c r="H653">
        <v>9</v>
      </c>
      <c r="I653">
        <v>3</v>
      </c>
      <c r="J653">
        <v>0.41946445800698962</v>
      </c>
      <c r="K653">
        <v>-0.33570579078969481</v>
      </c>
      <c r="L653">
        <v>82017525.920567125</v>
      </c>
      <c r="M653" t="s">
        <v>499</v>
      </c>
      <c r="N653" t="s">
        <v>522</v>
      </c>
      <c r="O653" t="s">
        <v>524</v>
      </c>
      <c r="P653">
        <v>3273</v>
      </c>
      <c r="Q653">
        <v>830</v>
      </c>
      <c r="R653">
        <v>2443</v>
      </c>
    </row>
    <row r="654" spans="1:18" x14ac:dyDescent="0.3">
      <c r="A654" t="s">
        <v>1674</v>
      </c>
      <c r="B654">
        <v>2022</v>
      </c>
      <c r="C654">
        <v>0.62945708653065358</v>
      </c>
      <c r="D654">
        <v>0</v>
      </c>
      <c r="E654">
        <v>92</v>
      </c>
      <c r="F654">
        <v>149</v>
      </c>
      <c r="G654">
        <v>3.4774510521960001E-4</v>
      </c>
      <c r="H654">
        <v>3</v>
      </c>
      <c r="I654">
        <v>2</v>
      </c>
      <c r="J654">
        <v>0.35528407602628698</v>
      </c>
      <c r="K654">
        <v>-0.36801994776057251</v>
      </c>
      <c r="L654">
        <v>139382276.9331007</v>
      </c>
      <c r="M654" t="s">
        <v>499</v>
      </c>
      <c r="N654" t="s">
        <v>522</v>
      </c>
      <c r="O654" t="s">
        <v>438</v>
      </c>
      <c r="P654">
        <v>2552</v>
      </c>
      <c r="Q654">
        <v>555</v>
      </c>
      <c r="R654">
        <v>1997</v>
      </c>
    </row>
    <row r="655" spans="1:18" x14ac:dyDescent="0.3">
      <c r="A655" t="s">
        <v>1675</v>
      </c>
      <c r="B655">
        <v>2022</v>
      </c>
      <c r="C655">
        <v>0.66943191708318783</v>
      </c>
      <c r="D655">
        <v>0</v>
      </c>
      <c r="E655">
        <v>15</v>
      </c>
      <c r="F655">
        <v>33</v>
      </c>
      <c r="G655">
        <v>1.5910699002502E-3</v>
      </c>
      <c r="H655">
        <v>4</v>
      </c>
      <c r="I655">
        <v>1</v>
      </c>
      <c r="J655">
        <v>0.38867860435556573</v>
      </c>
      <c r="K655">
        <v>-0.37307600365325722</v>
      </c>
      <c r="L655">
        <v>34911504.438463166</v>
      </c>
      <c r="M655" t="s">
        <v>499</v>
      </c>
      <c r="N655" t="s">
        <v>522</v>
      </c>
      <c r="O655" t="s">
        <v>525</v>
      </c>
      <c r="P655">
        <v>702</v>
      </c>
      <c r="Q655">
        <v>59</v>
      </c>
      <c r="R655">
        <v>643</v>
      </c>
    </row>
    <row r="656" spans="1:18" x14ac:dyDescent="0.3">
      <c r="A656" t="s">
        <v>1676</v>
      </c>
      <c r="B656">
        <v>2022</v>
      </c>
      <c r="C656">
        <v>0.96825399710652282</v>
      </c>
      <c r="D656">
        <v>0</v>
      </c>
      <c r="E656">
        <v>7</v>
      </c>
      <c r="F656">
        <v>141</v>
      </c>
      <c r="G656">
        <v>2.37865789587E-4</v>
      </c>
      <c r="H656">
        <v>3</v>
      </c>
      <c r="I656">
        <v>3</v>
      </c>
      <c r="J656">
        <v>0.47688544564490881</v>
      </c>
      <c r="K656">
        <v>-0.36462706605841899</v>
      </c>
      <c r="L656">
        <v>101211894.744528</v>
      </c>
      <c r="M656" t="s">
        <v>499</v>
      </c>
      <c r="N656" t="s">
        <v>526</v>
      </c>
      <c r="O656" t="s">
        <v>526</v>
      </c>
      <c r="P656">
        <v>3466</v>
      </c>
      <c r="Q656">
        <v>1701</v>
      </c>
      <c r="R656">
        <v>1765</v>
      </c>
    </row>
    <row r="657" spans="1:18" x14ac:dyDescent="0.3">
      <c r="A657" t="s">
        <v>1677</v>
      </c>
      <c r="B657">
        <v>2022</v>
      </c>
      <c r="C657">
        <v>0.88560201198791988</v>
      </c>
      <c r="D657">
        <v>0</v>
      </c>
      <c r="E657">
        <v>62</v>
      </c>
      <c r="F657">
        <v>174</v>
      </c>
      <c r="G657">
        <v>6.582511090845E-4</v>
      </c>
      <c r="H657">
        <v>6</v>
      </c>
      <c r="I657">
        <v>8</v>
      </c>
      <c r="J657">
        <v>0.49663198429683508</v>
      </c>
      <c r="K657">
        <v>-0.31013231900324489</v>
      </c>
      <c r="L657">
        <v>123031019.8209542</v>
      </c>
      <c r="M657" t="s">
        <v>499</v>
      </c>
      <c r="N657" t="s">
        <v>529</v>
      </c>
      <c r="O657" t="s">
        <v>93</v>
      </c>
      <c r="P657">
        <v>4140</v>
      </c>
      <c r="Q657">
        <v>2152</v>
      </c>
      <c r="R657">
        <v>1988</v>
      </c>
    </row>
    <row r="658" spans="1:18" x14ac:dyDescent="0.3">
      <c r="A658" t="s">
        <v>1678</v>
      </c>
      <c r="B658">
        <v>2022</v>
      </c>
      <c r="C658">
        <v>0.68538879847148781</v>
      </c>
      <c r="D658">
        <v>0</v>
      </c>
      <c r="E658">
        <v>63</v>
      </c>
      <c r="F658">
        <v>50</v>
      </c>
      <c r="G658">
        <v>5.6353413248890003E-4</v>
      </c>
      <c r="H658">
        <v>2</v>
      </c>
      <c r="I658">
        <v>0</v>
      </c>
      <c r="J658">
        <v>0.43043401975499029</v>
      </c>
      <c r="K658">
        <v>-0.39816774451525822</v>
      </c>
      <c r="L658">
        <v>77045609.057493582</v>
      </c>
      <c r="M658" t="s">
        <v>499</v>
      </c>
      <c r="N658" t="s">
        <v>529</v>
      </c>
      <c r="O658" t="s">
        <v>331</v>
      </c>
      <c r="P658">
        <v>2163</v>
      </c>
      <c r="Q658">
        <v>323</v>
      </c>
      <c r="R658">
        <v>1840</v>
      </c>
    </row>
    <row r="659" spans="1:18" x14ac:dyDescent="0.3">
      <c r="A659" t="s">
        <v>1679</v>
      </c>
      <c r="B659">
        <v>2022</v>
      </c>
      <c r="C659">
        <v>0.5324890557002433</v>
      </c>
      <c r="D659">
        <v>0</v>
      </c>
      <c r="E659">
        <v>19</v>
      </c>
      <c r="F659">
        <v>46</v>
      </c>
      <c r="G659">
        <v>4.144211361459E-4</v>
      </c>
      <c r="H659">
        <v>1</v>
      </c>
      <c r="I659">
        <v>1</v>
      </c>
      <c r="J659">
        <v>0.45655503533937108</v>
      </c>
      <c r="K659">
        <v>-0.34852840671351998</v>
      </c>
      <c r="L659">
        <v>97161330.2842336</v>
      </c>
      <c r="M659" t="s">
        <v>499</v>
      </c>
      <c r="N659" t="s">
        <v>529</v>
      </c>
      <c r="O659" t="s">
        <v>530</v>
      </c>
      <c r="P659">
        <v>2050</v>
      </c>
      <c r="Q659">
        <v>225</v>
      </c>
      <c r="R659">
        <v>1825</v>
      </c>
    </row>
    <row r="660" spans="1:18" x14ac:dyDescent="0.3">
      <c r="A660" t="s">
        <v>1680</v>
      </c>
      <c r="B660">
        <v>2022</v>
      </c>
      <c r="C660">
        <v>0.91859152448232839</v>
      </c>
      <c r="D660">
        <v>0</v>
      </c>
      <c r="E660">
        <v>77</v>
      </c>
      <c r="F660">
        <v>56</v>
      </c>
      <c r="G660">
        <v>7.9871950610969997E-4</v>
      </c>
      <c r="H660">
        <v>4</v>
      </c>
      <c r="I660">
        <v>3</v>
      </c>
      <c r="J660">
        <v>0.56740091557745442</v>
      </c>
      <c r="K660">
        <v>-0.3059568726900172</v>
      </c>
      <c r="L660">
        <v>76946782.249056697</v>
      </c>
      <c r="M660" t="s">
        <v>499</v>
      </c>
      <c r="N660" t="s">
        <v>529</v>
      </c>
      <c r="O660" t="s">
        <v>531</v>
      </c>
      <c r="P660">
        <v>1450</v>
      </c>
      <c r="Q660">
        <v>171</v>
      </c>
      <c r="R660">
        <v>1279</v>
      </c>
    </row>
    <row r="661" spans="1:18" x14ac:dyDescent="0.3">
      <c r="A661" t="s">
        <v>1681</v>
      </c>
      <c r="B661">
        <v>2022</v>
      </c>
      <c r="C661">
        <v>1.0798060165540819</v>
      </c>
      <c r="D661">
        <v>0</v>
      </c>
      <c r="E661">
        <v>4</v>
      </c>
      <c r="F661">
        <v>99</v>
      </c>
      <c r="G661">
        <v>6.5315131254269998E-4</v>
      </c>
      <c r="H661">
        <v>2</v>
      </c>
      <c r="I661">
        <v>4</v>
      </c>
      <c r="J661">
        <v>0.42443188995480902</v>
      </c>
      <c r="K661">
        <v>-0.40592832508657939</v>
      </c>
      <c r="L661">
        <v>41323819.931859978</v>
      </c>
      <c r="M661" t="s">
        <v>499</v>
      </c>
      <c r="N661" t="s">
        <v>529</v>
      </c>
      <c r="O661" t="s">
        <v>532</v>
      </c>
      <c r="P661">
        <v>1865</v>
      </c>
      <c r="Q661">
        <v>361</v>
      </c>
      <c r="R661">
        <v>1504</v>
      </c>
    </row>
    <row r="662" spans="1:18" x14ac:dyDescent="0.3">
      <c r="A662" t="s">
        <v>1682</v>
      </c>
      <c r="B662">
        <v>2022</v>
      </c>
      <c r="C662">
        <v>0.75602118398930351</v>
      </c>
      <c r="D662">
        <v>0</v>
      </c>
      <c r="E662">
        <v>277</v>
      </c>
      <c r="F662">
        <v>119</v>
      </c>
      <c r="G662">
        <v>8.9273512941930001E-4</v>
      </c>
      <c r="H662">
        <v>3</v>
      </c>
      <c r="I662">
        <v>7</v>
      </c>
      <c r="J662">
        <v>0.5277258674789036</v>
      </c>
      <c r="K662">
        <v>-0.34743550530474132</v>
      </c>
      <c r="L662">
        <v>72654153.799988613</v>
      </c>
      <c r="M662" t="s">
        <v>499</v>
      </c>
      <c r="N662" t="s">
        <v>529</v>
      </c>
      <c r="O662" t="s">
        <v>311</v>
      </c>
      <c r="P662">
        <v>1647</v>
      </c>
      <c r="Q662">
        <v>496</v>
      </c>
      <c r="R662">
        <v>1151</v>
      </c>
    </row>
    <row r="663" spans="1:18" x14ac:dyDescent="0.3">
      <c r="A663" t="s">
        <v>1683</v>
      </c>
      <c r="B663">
        <v>2022</v>
      </c>
      <c r="C663">
        <v>0.62514019246934671</v>
      </c>
      <c r="D663">
        <v>0</v>
      </c>
      <c r="E663">
        <v>17</v>
      </c>
      <c r="F663">
        <v>90</v>
      </c>
      <c r="G663">
        <v>3.5758711608020001E-4</v>
      </c>
      <c r="H663">
        <v>2</v>
      </c>
      <c r="I663">
        <v>7</v>
      </c>
      <c r="J663">
        <v>0.44751567558870431</v>
      </c>
      <c r="K663">
        <v>-0.381589050509066</v>
      </c>
      <c r="L663">
        <v>103958921.3406968</v>
      </c>
      <c r="M663" t="s">
        <v>499</v>
      </c>
      <c r="N663" t="s">
        <v>534</v>
      </c>
      <c r="O663" t="s">
        <v>535</v>
      </c>
      <c r="P663">
        <v>2402</v>
      </c>
      <c r="Q663">
        <v>798</v>
      </c>
      <c r="R663">
        <v>1604</v>
      </c>
    </row>
    <row r="664" spans="1:18" x14ac:dyDescent="0.3">
      <c r="A664" t="s">
        <v>1684</v>
      </c>
      <c r="B664">
        <v>2022</v>
      </c>
      <c r="C664">
        <v>0.60587111092380319</v>
      </c>
      <c r="D664">
        <v>0</v>
      </c>
      <c r="E664">
        <v>3</v>
      </c>
      <c r="F664">
        <v>74</v>
      </c>
      <c r="G664">
        <v>5.1598871299459999E-4</v>
      </c>
      <c r="H664">
        <v>3</v>
      </c>
      <c r="I664">
        <v>0</v>
      </c>
      <c r="J664">
        <v>0.47895480291777481</v>
      </c>
      <c r="K664">
        <v>-0.41173605690279619</v>
      </c>
      <c r="L664">
        <v>97153582.209024802</v>
      </c>
      <c r="M664" t="s">
        <v>499</v>
      </c>
      <c r="N664" t="s">
        <v>534</v>
      </c>
      <c r="O664" t="s">
        <v>537</v>
      </c>
      <c r="P664">
        <v>986</v>
      </c>
      <c r="Q664">
        <v>368</v>
      </c>
      <c r="R664">
        <v>618</v>
      </c>
    </row>
    <row r="665" spans="1:18" x14ac:dyDescent="0.3">
      <c r="A665" t="s">
        <v>1685</v>
      </c>
      <c r="B665">
        <v>2022</v>
      </c>
      <c r="C665">
        <v>0.63848801392754473</v>
      </c>
      <c r="D665">
        <v>0</v>
      </c>
      <c r="E665">
        <v>39</v>
      </c>
      <c r="F665">
        <v>52</v>
      </c>
      <c r="G665">
        <v>3.9785141269249998E-4</v>
      </c>
      <c r="H665">
        <v>6</v>
      </c>
      <c r="I665">
        <v>0</v>
      </c>
      <c r="J665">
        <v>0.4034968778404121</v>
      </c>
      <c r="K665">
        <v>-0.39445361407083368</v>
      </c>
      <c r="L665">
        <v>111192648.1272153</v>
      </c>
      <c r="M665" t="s">
        <v>499</v>
      </c>
      <c r="N665" t="s">
        <v>534</v>
      </c>
      <c r="O665" t="s">
        <v>538</v>
      </c>
      <c r="P665">
        <v>1716</v>
      </c>
      <c r="Q665">
        <v>517</v>
      </c>
      <c r="R665">
        <v>1199</v>
      </c>
    </row>
    <row r="666" spans="1:18" x14ac:dyDescent="0.3">
      <c r="A666" t="s">
        <v>1686</v>
      </c>
      <c r="B666">
        <v>2022</v>
      </c>
      <c r="C666">
        <v>0.5382248482533174</v>
      </c>
      <c r="D666">
        <v>0</v>
      </c>
      <c r="E666">
        <v>143</v>
      </c>
      <c r="F666">
        <v>37</v>
      </c>
      <c r="G666">
        <v>1.2091845611664001E-3</v>
      </c>
      <c r="H666">
        <v>5</v>
      </c>
      <c r="I666">
        <v>2</v>
      </c>
      <c r="J666">
        <v>0.44250252683433111</v>
      </c>
      <c r="K666">
        <v>-0.38226348607131128</v>
      </c>
      <c r="L666">
        <v>89674771.166800037</v>
      </c>
      <c r="M666" t="s">
        <v>499</v>
      </c>
      <c r="N666" t="s">
        <v>539</v>
      </c>
      <c r="O666" t="s">
        <v>540</v>
      </c>
      <c r="P666">
        <v>985</v>
      </c>
      <c r="Q666">
        <v>141</v>
      </c>
      <c r="R666">
        <v>844</v>
      </c>
    </row>
    <row r="667" spans="1:18" x14ac:dyDescent="0.3">
      <c r="A667" t="s">
        <v>1687</v>
      </c>
      <c r="B667">
        <v>2022</v>
      </c>
      <c r="C667">
        <v>0.62876806109555206</v>
      </c>
      <c r="D667">
        <v>0</v>
      </c>
      <c r="E667">
        <v>12</v>
      </c>
      <c r="F667">
        <v>90</v>
      </c>
      <c r="G667">
        <v>4.7258789979220001E-4</v>
      </c>
      <c r="H667">
        <v>4</v>
      </c>
      <c r="I667">
        <v>1</v>
      </c>
      <c r="J667">
        <v>0.48806783792993791</v>
      </c>
      <c r="K667">
        <v>-0.38670063061570797</v>
      </c>
      <c r="L667">
        <v>68583212.307331756</v>
      </c>
      <c r="M667" t="s">
        <v>499</v>
      </c>
      <c r="N667" t="s">
        <v>539</v>
      </c>
      <c r="O667" t="s">
        <v>214</v>
      </c>
      <c r="P667">
        <v>1360</v>
      </c>
      <c r="Q667">
        <v>224</v>
      </c>
      <c r="R667">
        <v>1136</v>
      </c>
    </row>
    <row r="668" spans="1:18" x14ac:dyDescent="0.3">
      <c r="A668" t="s">
        <v>1688</v>
      </c>
      <c r="B668">
        <v>2022</v>
      </c>
      <c r="C668">
        <v>0.87399559984156516</v>
      </c>
      <c r="D668">
        <v>0</v>
      </c>
      <c r="E668">
        <v>1</v>
      </c>
      <c r="F668">
        <v>43</v>
      </c>
      <c r="G668">
        <v>1.9113398545131E-3</v>
      </c>
      <c r="H668">
        <v>3</v>
      </c>
      <c r="I668">
        <v>1</v>
      </c>
      <c r="J668">
        <v>0.54392435184974453</v>
      </c>
      <c r="K668">
        <v>-0.38057920266616718</v>
      </c>
      <c r="L668">
        <v>45058320.951518051</v>
      </c>
      <c r="M668" t="s">
        <v>499</v>
      </c>
      <c r="N668" t="s">
        <v>539</v>
      </c>
      <c r="O668" t="s">
        <v>541</v>
      </c>
      <c r="P668">
        <v>629</v>
      </c>
      <c r="Q668">
        <v>346</v>
      </c>
      <c r="R668">
        <v>283</v>
      </c>
    </row>
    <row r="669" spans="1:18" x14ac:dyDescent="0.3">
      <c r="A669" t="s">
        <v>1689</v>
      </c>
      <c r="B669">
        <v>2022</v>
      </c>
      <c r="C669">
        <v>0.88609306343715344</v>
      </c>
      <c r="D669">
        <v>0</v>
      </c>
      <c r="E669">
        <v>302</v>
      </c>
      <c r="F669">
        <v>448</v>
      </c>
      <c r="G669">
        <v>6.9348080471318683E-5</v>
      </c>
      <c r="H669">
        <v>7</v>
      </c>
      <c r="I669">
        <v>25</v>
      </c>
      <c r="J669">
        <v>0.40203136495738512</v>
      </c>
      <c r="K669">
        <v>-0.38782807668850988</v>
      </c>
      <c r="L669">
        <v>441121767.66036153</v>
      </c>
      <c r="M669" t="s">
        <v>499</v>
      </c>
      <c r="N669" t="s">
        <v>542</v>
      </c>
      <c r="O669" t="s">
        <v>543</v>
      </c>
      <c r="P669">
        <v>12110</v>
      </c>
      <c r="Q669">
        <v>6368</v>
      </c>
      <c r="R669">
        <v>5742</v>
      </c>
    </row>
    <row r="670" spans="1:18" x14ac:dyDescent="0.3">
      <c r="A670" t="s">
        <v>1690</v>
      </c>
      <c r="B670">
        <v>2022</v>
      </c>
      <c r="C670">
        <v>0.59731180413607976</v>
      </c>
      <c r="D670">
        <v>0</v>
      </c>
      <c r="E670">
        <v>23</v>
      </c>
      <c r="F670">
        <v>87</v>
      </c>
      <c r="G670">
        <v>2.402401986085E-4</v>
      </c>
      <c r="H670">
        <v>8</v>
      </c>
      <c r="I670">
        <v>0</v>
      </c>
      <c r="J670">
        <v>0.44724781022617122</v>
      </c>
      <c r="K670">
        <v>-0.371012641577527</v>
      </c>
      <c r="L670">
        <v>279336681.02647561</v>
      </c>
      <c r="M670" t="s">
        <v>499</v>
      </c>
      <c r="N670" t="s">
        <v>542</v>
      </c>
      <c r="O670" t="s">
        <v>545</v>
      </c>
      <c r="P670">
        <v>2406</v>
      </c>
      <c r="Q670">
        <v>512</v>
      </c>
      <c r="R670">
        <v>1894</v>
      </c>
    </row>
    <row r="671" spans="1:18" x14ac:dyDescent="0.3">
      <c r="A671" t="s">
        <v>1691</v>
      </c>
      <c r="B671">
        <v>2022</v>
      </c>
      <c r="C671">
        <v>0.63030265837082922</v>
      </c>
      <c r="D671">
        <v>0</v>
      </c>
      <c r="E671">
        <v>3</v>
      </c>
      <c r="F671">
        <v>55</v>
      </c>
      <c r="G671">
        <v>4.4493789869089998E-4</v>
      </c>
      <c r="H671">
        <v>6</v>
      </c>
      <c r="I671">
        <v>1</v>
      </c>
      <c r="J671">
        <v>0.5205031784923233</v>
      </c>
      <c r="K671">
        <v>-0.3198331911244674</v>
      </c>
      <c r="L671">
        <v>98021829.914275318</v>
      </c>
      <c r="M671" t="s">
        <v>499</v>
      </c>
      <c r="N671" t="s">
        <v>542</v>
      </c>
      <c r="O671" t="s">
        <v>546</v>
      </c>
      <c r="P671">
        <v>1679</v>
      </c>
      <c r="Q671">
        <v>504</v>
      </c>
      <c r="R671">
        <v>1175</v>
      </c>
    </row>
    <row r="672" spans="1:18" x14ac:dyDescent="0.3">
      <c r="A672" t="s">
        <v>1692</v>
      </c>
      <c r="B672">
        <v>2022</v>
      </c>
      <c r="C672">
        <v>0.64381348527523363</v>
      </c>
      <c r="D672">
        <v>0</v>
      </c>
      <c r="E672">
        <v>1</v>
      </c>
      <c r="F672">
        <v>53</v>
      </c>
      <c r="G672">
        <v>7.8554089048839997E-4</v>
      </c>
      <c r="H672">
        <v>3</v>
      </c>
      <c r="I672">
        <v>1</v>
      </c>
      <c r="J672">
        <v>0.44854985864522412</v>
      </c>
      <c r="K672">
        <v>-0.3868536318076703</v>
      </c>
      <c r="L672">
        <v>35044709.064901993</v>
      </c>
      <c r="M672" t="s">
        <v>499</v>
      </c>
      <c r="N672" t="s">
        <v>542</v>
      </c>
      <c r="O672" t="s">
        <v>145</v>
      </c>
      <c r="P672">
        <v>1077</v>
      </c>
      <c r="Q672">
        <v>379</v>
      </c>
      <c r="R672">
        <v>698</v>
      </c>
    </row>
    <row r="673" spans="1:18" x14ac:dyDescent="0.3">
      <c r="A673" t="s">
        <v>1693</v>
      </c>
      <c r="B673">
        <v>2022</v>
      </c>
      <c r="C673">
        <v>0.81859505469864791</v>
      </c>
      <c r="D673">
        <v>0</v>
      </c>
      <c r="E673">
        <v>8</v>
      </c>
      <c r="F673">
        <v>97</v>
      </c>
      <c r="G673">
        <v>5.7060621495229997E-4</v>
      </c>
      <c r="H673">
        <v>3</v>
      </c>
      <c r="I673">
        <v>1</v>
      </c>
      <c r="J673">
        <v>0.3745378520156562</v>
      </c>
      <c r="K673">
        <v>-0.41580319245530911</v>
      </c>
      <c r="L673">
        <v>52367802.052866973</v>
      </c>
      <c r="M673" t="s">
        <v>499</v>
      </c>
      <c r="N673" t="s">
        <v>542</v>
      </c>
      <c r="O673" t="s">
        <v>548</v>
      </c>
      <c r="P673">
        <v>1734</v>
      </c>
      <c r="Q673">
        <v>809</v>
      </c>
      <c r="R673">
        <v>925</v>
      </c>
    </row>
    <row r="674" spans="1:18" x14ac:dyDescent="0.3">
      <c r="A674" t="s">
        <v>1694</v>
      </c>
      <c r="B674">
        <v>2022</v>
      </c>
      <c r="C674">
        <v>0.85994484404759974</v>
      </c>
      <c r="D674">
        <v>0</v>
      </c>
      <c r="E674">
        <v>4</v>
      </c>
      <c r="F674">
        <v>46</v>
      </c>
      <c r="G674">
        <v>1.2382139474994001E-3</v>
      </c>
      <c r="H674">
        <v>1</v>
      </c>
      <c r="I674">
        <v>1</v>
      </c>
      <c r="J674">
        <v>0.35893200445310952</v>
      </c>
      <c r="K674">
        <v>-0.40516911560663488</v>
      </c>
      <c r="L674">
        <v>21823613.130669199</v>
      </c>
      <c r="M674" t="s">
        <v>499</v>
      </c>
      <c r="N674" t="s">
        <v>542</v>
      </c>
      <c r="O674" t="s">
        <v>549</v>
      </c>
      <c r="P674">
        <v>1237</v>
      </c>
      <c r="Q674">
        <v>546</v>
      </c>
      <c r="R674">
        <v>691</v>
      </c>
    </row>
    <row r="675" spans="1:18" x14ac:dyDescent="0.3">
      <c r="A675" t="s">
        <v>1695</v>
      </c>
      <c r="B675">
        <v>2022</v>
      </c>
      <c r="C675">
        <v>0.6193843112651094</v>
      </c>
      <c r="D675">
        <v>0</v>
      </c>
      <c r="E675">
        <v>26</v>
      </c>
      <c r="F675">
        <v>74</v>
      </c>
      <c r="G675">
        <v>4.3047564653429999E-4</v>
      </c>
      <c r="H675">
        <v>3</v>
      </c>
      <c r="I675">
        <v>6</v>
      </c>
      <c r="J675">
        <v>0.3923488851481971</v>
      </c>
      <c r="K675">
        <v>-0.27883159394845769</v>
      </c>
      <c r="L675">
        <v>79938131.097480521</v>
      </c>
      <c r="M675" t="s">
        <v>499</v>
      </c>
      <c r="N675" t="s">
        <v>550</v>
      </c>
      <c r="O675" t="s">
        <v>552</v>
      </c>
      <c r="P675">
        <v>1335</v>
      </c>
      <c r="Q675">
        <v>631</v>
      </c>
      <c r="R675">
        <v>704</v>
      </c>
    </row>
    <row r="676" spans="1:18" x14ac:dyDescent="0.3">
      <c r="A676" t="s">
        <v>1696</v>
      </c>
      <c r="B676">
        <v>2022</v>
      </c>
      <c r="C676">
        <v>0.73192381590534794</v>
      </c>
      <c r="D676">
        <v>0</v>
      </c>
      <c r="E676">
        <v>1</v>
      </c>
      <c r="F676">
        <v>42</v>
      </c>
      <c r="G676">
        <v>9.5373438994440004E-4</v>
      </c>
      <c r="H676">
        <v>1</v>
      </c>
      <c r="I676">
        <v>6</v>
      </c>
      <c r="J676">
        <v>0.43056056322968</v>
      </c>
      <c r="K676">
        <v>-0.28623153929427209</v>
      </c>
      <c r="L676">
        <v>27715350.116702739</v>
      </c>
      <c r="M676" t="s">
        <v>499</v>
      </c>
      <c r="N676" t="s">
        <v>550</v>
      </c>
      <c r="O676" t="s">
        <v>553</v>
      </c>
      <c r="P676">
        <v>1157</v>
      </c>
      <c r="Q676">
        <v>410</v>
      </c>
      <c r="R676">
        <v>747</v>
      </c>
    </row>
    <row r="677" spans="1:18" x14ac:dyDescent="0.3">
      <c r="A677" t="s">
        <v>1697</v>
      </c>
      <c r="B677">
        <v>2022</v>
      </c>
      <c r="C677">
        <v>0.58062065486673553</v>
      </c>
      <c r="D677">
        <v>0</v>
      </c>
      <c r="E677">
        <v>48</v>
      </c>
      <c r="F677">
        <v>116</v>
      </c>
      <c r="G677">
        <v>3.506311144798E-4</v>
      </c>
      <c r="H677">
        <v>10</v>
      </c>
      <c r="I677">
        <v>17</v>
      </c>
      <c r="J677">
        <v>0.46035407447560101</v>
      </c>
      <c r="K677">
        <v>-0.33566601197660878</v>
      </c>
      <c r="L677">
        <v>203758358.20783439</v>
      </c>
      <c r="M677" t="s">
        <v>499</v>
      </c>
      <c r="N677" t="s">
        <v>550</v>
      </c>
      <c r="O677" t="s">
        <v>554</v>
      </c>
      <c r="P677">
        <v>2423</v>
      </c>
      <c r="Q677">
        <v>1048</v>
      </c>
      <c r="R677">
        <v>1375</v>
      </c>
    </row>
    <row r="678" spans="1:18" x14ac:dyDescent="0.3">
      <c r="A678" t="s">
        <v>1698</v>
      </c>
      <c r="B678">
        <v>2022</v>
      </c>
      <c r="C678">
        <v>0.94748640797564665</v>
      </c>
      <c r="D678">
        <v>0</v>
      </c>
      <c r="E678">
        <v>31</v>
      </c>
      <c r="F678">
        <v>66</v>
      </c>
      <c r="G678">
        <v>2.0153802246435002E-3</v>
      </c>
      <c r="H678">
        <v>1</v>
      </c>
      <c r="I678">
        <v>6</v>
      </c>
      <c r="J678">
        <v>0.50401687603263168</v>
      </c>
      <c r="K678">
        <v>-0.29337521687888668</v>
      </c>
      <c r="L678">
        <v>28084599.110742379</v>
      </c>
      <c r="M678" t="s">
        <v>499</v>
      </c>
      <c r="N678" t="s">
        <v>550</v>
      </c>
      <c r="O678" t="s">
        <v>555</v>
      </c>
      <c r="P678">
        <v>1308</v>
      </c>
      <c r="Q678">
        <v>584</v>
      </c>
      <c r="R678">
        <v>724</v>
      </c>
    </row>
    <row r="679" spans="1:18" x14ac:dyDescent="0.3">
      <c r="A679" t="s">
        <v>1699</v>
      </c>
      <c r="B679">
        <v>2022</v>
      </c>
      <c r="C679">
        <v>0.63385683384285874</v>
      </c>
      <c r="D679">
        <v>0</v>
      </c>
      <c r="E679">
        <v>64</v>
      </c>
      <c r="F679">
        <v>76</v>
      </c>
      <c r="G679">
        <v>1.1627789813088E-3</v>
      </c>
      <c r="H679">
        <v>11</v>
      </c>
      <c r="I679">
        <v>0</v>
      </c>
      <c r="J679">
        <v>0.45613540159942861</v>
      </c>
      <c r="K679">
        <v>-0.29317393418734039</v>
      </c>
      <c r="L679">
        <v>56295762.574709222</v>
      </c>
      <c r="M679" t="s">
        <v>499</v>
      </c>
      <c r="N679" t="s">
        <v>550</v>
      </c>
      <c r="O679" t="s">
        <v>556</v>
      </c>
      <c r="P679">
        <v>1047</v>
      </c>
      <c r="Q679">
        <v>282</v>
      </c>
      <c r="R679">
        <v>765</v>
      </c>
    </row>
    <row r="680" spans="1:18" x14ac:dyDescent="0.3">
      <c r="A680" t="s">
        <v>1700</v>
      </c>
      <c r="B680">
        <v>2022</v>
      </c>
      <c r="C680">
        <v>1.0103704371411311</v>
      </c>
      <c r="D680">
        <v>0</v>
      </c>
      <c r="E680">
        <v>2</v>
      </c>
      <c r="F680">
        <v>34</v>
      </c>
      <c r="G680">
        <v>7.1476206636519998E-4</v>
      </c>
      <c r="H680">
        <v>2</v>
      </c>
      <c r="I680">
        <v>1</v>
      </c>
      <c r="J680">
        <v>0.50098506856109204</v>
      </c>
      <c r="K680">
        <v>-0.34313071682995078</v>
      </c>
      <c r="L680">
        <v>45089128.104276262</v>
      </c>
      <c r="M680" t="s">
        <v>499</v>
      </c>
      <c r="N680" t="s">
        <v>557</v>
      </c>
      <c r="O680" t="s">
        <v>366</v>
      </c>
      <c r="P680">
        <v>1553</v>
      </c>
      <c r="Q680">
        <v>319</v>
      </c>
      <c r="R680">
        <v>1234</v>
      </c>
    </row>
    <row r="681" spans="1:18" x14ac:dyDescent="0.3">
      <c r="A681" t="s">
        <v>1701</v>
      </c>
      <c r="B681">
        <v>2022</v>
      </c>
      <c r="C681">
        <v>1.036842277057362</v>
      </c>
      <c r="D681">
        <v>0</v>
      </c>
      <c r="E681">
        <v>5</v>
      </c>
      <c r="F681">
        <v>115</v>
      </c>
      <c r="G681">
        <v>4.8525343793080002E-4</v>
      </c>
      <c r="H681">
        <v>2</v>
      </c>
      <c r="I681">
        <v>2</v>
      </c>
      <c r="J681">
        <v>0.5148890668132946</v>
      </c>
      <c r="K681">
        <v>-0.35206588889431412</v>
      </c>
      <c r="L681">
        <v>118724757.39780059</v>
      </c>
      <c r="M681" t="s">
        <v>499</v>
      </c>
      <c r="N681" t="s">
        <v>557</v>
      </c>
      <c r="O681" t="s">
        <v>565</v>
      </c>
      <c r="P681">
        <v>4086</v>
      </c>
      <c r="Q681">
        <v>1414</v>
      </c>
      <c r="R681">
        <v>2672</v>
      </c>
    </row>
    <row r="682" spans="1:18" x14ac:dyDescent="0.3">
      <c r="A682" t="s">
        <v>1702</v>
      </c>
      <c r="B682">
        <v>2022</v>
      </c>
      <c r="C682">
        <v>0.62171345242352294</v>
      </c>
      <c r="D682">
        <v>0</v>
      </c>
      <c r="E682">
        <v>60</v>
      </c>
      <c r="F682">
        <v>178</v>
      </c>
      <c r="G682">
        <v>2.7862911218430001E-4</v>
      </c>
      <c r="H682">
        <v>29</v>
      </c>
      <c r="I682">
        <v>3</v>
      </c>
      <c r="J682">
        <v>0.47640215460480129</v>
      </c>
      <c r="K682">
        <v>-0.38511339871607603</v>
      </c>
      <c r="L682">
        <v>293860267.15217823</v>
      </c>
      <c r="M682" t="s">
        <v>499</v>
      </c>
      <c r="N682" t="s">
        <v>567</v>
      </c>
      <c r="O682" t="s">
        <v>567</v>
      </c>
      <c r="P682">
        <v>3670</v>
      </c>
      <c r="Q682">
        <v>880</v>
      </c>
      <c r="R682">
        <v>2790</v>
      </c>
    </row>
    <row r="683" spans="1:18" x14ac:dyDescent="0.3">
      <c r="A683" t="s">
        <v>1703</v>
      </c>
      <c r="B683">
        <v>2022</v>
      </c>
      <c r="C683">
        <v>0.5568600429144992</v>
      </c>
      <c r="D683">
        <v>0</v>
      </c>
      <c r="E683">
        <v>1</v>
      </c>
      <c r="F683">
        <v>69</v>
      </c>
      <c r="G683">
        <v>8.7560615620219996E-4</v>
      </c>
      <c r="H683">
        <v>4</v>
      </c>
      <c r="I683">
        <v>4</v>
      </c>
      <c r="J683">
        <v>0.3547629316294636</v>
      </c>
      <c r="K683">
        <v>-0.36917105753992058</v>
      </c>
      <c r="L683">
        <v>170636138.13951799</v>
      </c>
      <c r="M683" t="s">
        <v>499</v>
      </c>
      <c r="N683" t="s">
        <v>570</v>
      </c>
      <c r="O683" t="s">
        <v>571</v>
      </c>
      <c r="P683">
        <v>868</v>
      </c>
      <c r="Q683">
        <v>435</v>
      </c>
      <c r="R683">
        <v>433</v>
      </c>
    </row>
    <row r="684" spans="1:18" x14ac:dyDescent="0.3">
      <c r="A684" t="s">
        <v>1704</v>
      </c>
      <c r="B684">
        <v>2022</v>
      </c>
      <c r="C684">
        <v>0.51827529453810872</v>
      </c>
      <c r="D684">
        <v>0</v>
      </c>
      <c r="E684">
        <v>2</v>
      </c>
      <c r="F684">
        <v>101</v>
      </c>
      <c r="G684">
        <v>4.3411347360079998E-4</v>
      </c>
      <c r="H684">
        <v>5</v>
      </c>
      <c r="I684">
        <v>12</v>
      </c>
      <c r="J684">
        <v>0.31793201532415599</v>
      </c>
      <c r="K684">
        <v>-0.37706955730502351</v>
      </c>
      <c r="L684">
        <v>189587510.5228329</v>
      </c>
      <c r="M684" t="s">
        <v>499</v>
      </c>
      <c r="N684" t="s">
        <v>570</v>
      </c>
      <c r="O684" t="s">
        <v>572</v>
      </c>
      <c r="P684">
        <v>1913</v>
      </c>
      <c r="Q684">
        <v>586</v>
      </c>
      <c r="R684">
        <v>1327</v>
      </c>
    </row>
    <row r="685" spans="1:18" x14ac:dyDescent="0.3">
      <c r="A685" t="s">
        <v>1705</v>
      </c>
      <c r="B685">
        <v>2022</v>
      </c>
      <c r="C685">
        <v>0.48958454835670617</v>
      </c>
      <c r="D685">
        <v>0</v>
      </c>
      <c r="E685">
        <v>2</v>
      </c>
      <c r="F685">
        <v>139</v>
      </c>
      <c r="G685">
        <v>3.9967736638429999E-4</v>
      </c>
      <c r="H685">
        <v>10</v>
      </c>
      <c r="I685">
        <v>10</v>
      </c>
      <c r="J685">
        <v>0.21074500084702069</v>
      </c>
      <c r="K685">
        <v>-0.37674263570317629</v>
      </c>
      <c r="L685">
        <v>231583457.98253191</v>
      </c>
      <c r="M685" t="s">
        <v>499</v>
      </c>
      <c r="N685" t="s">
        <v>570</v>
      </c>
      <c r="O685" t="s">
        <v>573</v>
      </c>
      <c r="P685">
        <v>1685</v>
      </c>
      <c r="Q685">
        <v>410</v>
      </c>
      <c r="R685">
        <v>1275</v>
      </c>
    </row>
    <row r="686" spans="1:18" x14ac:dyDescent="0.3">
      <c r="A686" t="s">
        <v>1706</v>
      </c>
      <c r="B686">
        <v>2022</v>
      </c>
      <c r="C686">
        <v>0.52926816898179041</v>
      </c>
      <c r="D686">
        <v>0</v>
      </c>
      <c r="E686">
        <v>64</v>
      </c>
      <c r="F686">
        <v>133</v>
      </c>
      <c r="G686">
        <v>3.5310727853369998E-4</v>
      </c>
      <c r="H686">
        <v>12</v>
      </c>
      <c r="I686">
        <v>19</v>
      </c>
      <c r="J686">
        <v>0.3736916743924642</v>
      </c>
      <c r="K686">
        <v>-0.38575411653485292</v>
      </c>
      <c r="L686">
        <v>174189461.63801959</v>
      </c>
      <c r="M686" t="s">
        <v>499</v>
      </c>
      <c r="N686" t="s">
        <v>570</v>
      </c>
      <c r="O686" t="s">
        <v>574</v>
      </c>
      <c r="P686">
        <v>2574</v>
      </c>
      <c r="Q686">
        <v>632</v>
      </c>
      <c r="R686">
        <v>1942</v>
      </c>
    </row>
    <row r="687" spans="1:18" x14ac:dyDescent="0.3">
      <c r="A687" t="s">
        <v>1707</v>
      </c>
      <c r="B687">
        <v>2022</v>
      </c>
      <c r="C687">
        <v>0.74935578185917751</v>
      </c>
      <c r="D687">
        <v>0</v>
      </c>
      <c r="E687">
        <v>80</v>
      </c>
      <c r="F687">
        <v>72</v>
      </c>
      <c r="G687">
        <v>7.8616110113049998E-4</v>
      </c>
      <c r="H687">
        <v>5</v>
      </c>
      <c r="I687">
        <v>1</v>
      </c>
      <c r="J687">
        <v>0.3615922900257868</v>
      </c>
      <c r="K687">
        <v>-0.36095062023280922</v>
      </c>
      <c r="L687">
        <v>43180880.265264571</v>
      </c>
      <c r="M687" t="s">
        <v>499</v>
      </c>
      <c r="N687" t="s">
        <v>577</v>
      </c>
      <c r="O687" t="s">
        <v>579</v>
      </c>
      <c r="P687">
        <v>2059</v>
      </c>
      <c r="Q687">
        <v>397</v>
      </c>
      <c r="R687">
        <v>1662</v>
      </c>
    </row>
    <row r="688" spans="1:18" x14ac:dyDescent="0.3">
      <c r="A688" t="s">
        <v>1708</v>
      </c>
      <c r="B688">
        <v>2022</v>
      </c>
      <c r="C688">
        <v>0.62592662693831846</v>
      </c>
      <c r="D688">
        <v>0</v>
      </c>
      <c r="E688">
        <v>47</v>
      </c>
      <c r="F688">
        <v>138</v>
      </c>
      <c r="G688">
        <v>2.7666321617230002E-4</v>
      </c>
      <c r="H688">
        <v>16</v>
      </c>
      <c r="I688">
        <v>1</v>
      </c>
      <c r="J688">
        <v>0.36364730965188141</v>
      </c>
      <c r="K688">
        <v>-0.36507381635680269</v>
      </c>
      <c r="L688">
        <v>92012779.016570807</v>
      </c>
      <c r="M688" t="s">
        <v>499</v>
      </c>
      <c r="N688" t="s">
        <v>577</v>
      </c>
      <c r="O688" t="s">
        <v>580</v>
      </c>
      <c r="P688">
        <v>2961</v>
      </c>
      <c r="Q688">
        <v>151</v>
      </c>
      <c r="R688">
        <v>2810</v>
      </c>
    </row>
    <row r="689" spans="1:18" x14ac:dyDescent="0.3">
      <c r="A689" t="s">
        <v>1709</v>
      </c>
      <c r="B689">
        <v>2022</v>
      </c>
      <c r="C689">
        <v>0.80446912035483187</v>
      </c>
      <c r="D689">
        <v>0</v>
      </c>
      <c r="E689">
        <v>4</v>
      </c>
      <c r="F689">
        <v>86</v>
      </c>
      <c r="G689">
        <v>4.227116451526E-4</v>
      </c>
      <c r="H689">
        <v>3</v>
      </c>
      <c r="I689">
        <v>1</v>
      </c>
      <c r="J689">
        <v>0.4787952136525051</v>
      </c>
      <c r="K689">
        <v>-0.4007099326315236</v>
      </c>
      <c r="L689">
        <v>92276414.021390736</v>
      </c>
      <c r="M689" t="s">
        <v>499</v>
      </c>
      <c r="N689" t="s">
        <v>581</v>
      </c>
      <c r="O689" t="s">
        <v>581</v>
      </c>
      <c r="P689">
        <v>2558</v>
      </c>
      <c r="Q689">
        <v>1010</v>
      </c>
      <c r="R689">
        <v>1548</v>
      </c>
    </row>
    <row r="690" spans="1:18" x14ac:dyDescent="0.3">
      <c r="A690" t="s">
        <v>1710</v>
      </c>
      <c r="B690">
        <v>2022</v>
      </c>
      <c r="C690">
        <v>0.60340840180830413</v>
      </c>
      <c r="D690">
        <v>0</v>
      </c>
      <c r="E690">
        <v>6</v>
      </c>
      <c r="F690">
        <v>59</v>
      </c>
      <c r="G690">
        <v>6.2675324280489996E-4</v>
      </c>
      <c r="H690">
        <v>1</v>
      </c>
      <c r="I690">
        <v>1</v>
      </c>
      <c r="J690">
        <v>0.52866337515002571</v>
      </c>
      <c r="K690">
        <v>-0.35286907107996368</v>
      </c>
      <c r="L690">
        <v>107961345.1591354</v>
      </c>
      <c r="M690" t="s">
        <v>499</v>
      </c>
      <c r="N690" t="s">
        <v>581</v>
      </c>
      <c r="O690" t="s">
        <v>583</v>
      </c>
      <c r="P690">
        <v>1119</v>
      </c>
      <c r="Q690">
        <v>289</v>
      </c>
      <c r="R690">
        <v>830</v>
      </c>
    </row>
    <row r="691" spans="1:18" x14ac:dyDescent="0.3">
      <c r="A691" t="s">
        <v>1711</v>
      </c>
      <c r="B691">
        <v>2022</v>
      </c>
      <c r="C691">
        <v>1.4286165744544359</v>
      </c>
      <c r="D691">
        <v>0</v>
      </c>
      <c r="E691">
        <v>49</v>
      </c>
      <c r="F691">
        <v>94</v>
      </c>
      <c r="G691">
        <v>4.4842512019410002E-4</v>
      </c>
      <c r="H691">
        <v>4</v>
      </c>
      <c r="I691">
        <v>3</v>
      </c>
      <c r="J691">
        <v>0.50944002386938436</v>
      </c>
      <c r="K691">
        <v>-0.34707098307561318</v>
      </c>
      <c r="L691">
        <v>61868913.809367828</v>
      </c>
      <c r="M691" t="s">
        <v>499</v>
      </c>
      <c r="N691" t="s">
        <v>584</v>
      </c>
      <c r="O691" t="s">
        <v>584</v>
      </c>
      <c r="P691">
        <v>3702</v>
      </c>
      <c r="Q691">
        <v>1454</v>
      </c>
      <c r="R691">
        <v>2248</v>
      </c>
    </row>
    <row r="692" spans="1:18" x14ac:dyDescent="0.3">
      <c r="A692" t="s">
        <v>1712</v>
      </c>
      <c r="B692">
        <v>2022</v>
      </c>
      <c r="C692">
        <v>0.64687487174691993</v>
      </c>
      <c r="D692">
        <v>0</v>
      </c>
      <c r="E692">
        <v>30</v>
      </c>
      <c r="F692">
        <v>25</v>
      </c>
      <c r="G692">
        <v>1.612826653444E-3</v>
      </c>
      <c r="H692">
        <v>10</v>
      </c>
      <c r="I692">
        <v>0</v>
      </c>
      <c r="J692">
        <v>0.49612935957064541</v>
      </c>
      <c r="K692">
        <v>-0.3840364425532376</v>
      </c>
      <c r="L692">
        <v>51910530.451783083</v>
      </c>
      <c r="M692" t="s">
        <v>499</v>
      </c>
      <c r="N692" t="s">
        <v>584</v>
      </c>
      <c r="O692" t="s">
        <v>585</v>
      </c>
      <c r="P692">
        <v>462</v>
      </c>
      <c r="Q692">
        <v>61</v>
      </c>
      <c r="R692">
        <v>401</v>
      </c>
    </row>
    <row r="693" spans="1:18" x14ac:dyDescent="0.3">
      <c r="A693" t="s">
        <v>1713</v>
      </c>
      <c r="B693">
        <v>2022</v>
      </c>
      <c r="C693">
        <v>0.88714393740367148</v>
      </c>
      <c r="D693">
        <v>0</v>
      </c>
      <c r="E693">
        <v>214</v>
      </c>
      <c r="F693">
        <v>67</v>
      </c>
      <c r="G693">
        <v>2.0089806447631999E-3</v>
      </c>
      <c r="H693">
        <v>8</v>
      </c>
      <c r="I693">
        <v>2</v>
      </c>
      <c r="L693">
        <v>91430045.76835154</v>
      </c>
      <c r="M693" t="s">
        <v>586</v>
      </c>
      <c r="N693" t="s">
        <v>587</v>
      </c>
      <c r="O693" t="s">
        <v>588</v>
      </c>
      <c r="P693">
        <v>5226</v>
      </c>
      <c r="Q693">
        <v>961</v>
      </c>
      <c r="R693">
        <v>4265</v>
      </c>
    </row>
    <row r="694" spans="1:18" x14ac:dyDescent="0.3">
      <c r="A694" t="s">
        <v>1714</v>
      </c>
      <c r="B694">
        <v>2022</v>
      </c>
      <c r="C694">
        <v>0.97598916678687919</v>
      </c>
      <c r="D694">
        <v>0</v>
      </c>
      <c r="E694">
        <v>839</v>
      </c>
      <c r="F694">
        <v>383</v>
      </c>
      <c r="G694">
        <v>3.253354443356E-4</v>
      </c>
      <c r="H694">
        <v>14</v>
      </c>
      <c r="I694">
        <v>2</v>
      </c>
      <c r="J694">
        <v>0.46556201175109618</v>
      </c>
      <c r="K694">
        <v>-0.28844694545719268</v>
      </c>
      <c r="L694">
        <v>344065032.66206801</v>
      </c>
      <c r="M694" t="s">
        <v>586</v>
      </c>
      <c r="N694" t="s">
        <v>587</v>
      </c>
      <c r="O694" t="s">
        <v>589</v>
      </c>
      <c r="P694">
        <v>19008</v>
      </c>
      <c r="Q694">
        <v>4099</v>
      </c>
      <c r="R694">
        <v>14909</v>
      </c>
    </row>
    <row r="695" spans="1:18" x14ac:dyDescent="0.3">
      <c r="A695" t="s">
        <v>1715</v>
      </c>
      <c r="B695">
        <v>2022</v>
      </c>
      <c r="C695">
        <v>1.0352165881552231</v>
      </c>
      <c r="D695">
        <v>0</v>
      </c>
      <c r="E695">
        <v>43</v>
      </c>
      <c r="F695">
        <v>184</v>
      </c>
      <c r="G695">
        <v>8.9933214245009998E-4</v>
      </c>
      <c r="H695">
        <v>7</v>
      </c>
      <c r="I695">
        <v>0</v>
      </c>
      <c r="L695">
        <v>187077143.59632099</v>
      </c>
      <c r="M695" t="s">
        <v>586</v>
      </c>
      <c r="N695" t="s">
        <v>587</v>
      </c>
      <c r="O695" t="s">
        <v>87</v>
      </c>
      <c r="P695">
        <v>14093</v>
      </c>
      <c r="Q695">
        <v>5110</v>
      </c>
      <c r="R695">
        <v>8983</v>
      </c>
    </row>
    <row r="696" spans="1:18" x14ac:dyDescent="0.3">
      <c r="A696" t="s">
        <v>1716</v>
      </c>
      <c r="B696">
        <v>2022</v>
      </c>
      <c r="C696">
        <v>1.0129232218928901</v>
      </c>
      <c r="D696">
        <v>0</v>
      </c>
      <c r="E696">
        <v>1</v>
      </c>
      <c r="F696">
        <v>148</v>
      </c>
      <c r="G696">
        <v>7.233244559307E-4</v>
      </c>
      <c r="H696">
        <v>25</v>
      </c>
      <c r="I696">
        <v>2</v>
      </c>
      <c r="L696">
        <v>232860605.411879</v>
      </c>
      <c r="M696" t="s">
        <v>586</v>
      </c>
      <c r="N696" t="s">
        <v>591</v>
      </c>
      <c r="O696" t="s">
        <v>592</v>
      </c>
      <c r="P696">
        <v>13581</v>
      </c>
      <c r="Q696">
        <v>1494</v>
      </c>
      <c r="R696">
        <v>12087</v>
      </c>
    </row>
    <row r="697" spans="1:18" x14ac:dyDescent="0.3">
      <c r="A697" t="s">
        <v>1717</v>
      </c>
      <c r="B697">
        <v>2022</v>
      </c>
      <c r="C697">
        <v>1.2735212663233311</v>
      </c>
      <c r="D697">
        <v>0</v>
      </c>
      <c r="E697">
        <v>3</v>
      </c>
      <c r="F697">
        <v>178</v>
      </c>
      <c r="G697">
        <v>6.4360632867430003E-4</v>
      </c>
      <c r="H697">
        <v>3</v>
      </c>
      <c r="I697">
        <v>2</v>
      </c>
      <c r="L697">
        <v>111413322.9750011</v>
      </c>
      <c r="M697" t="s">
        <v>586</v>
      </c>
      <c r="N697" t="s">
        <v>591</v>
      </c>
      <c r="O697" t="s">
        <v>593</v>
      </c>
      <c r="P697">
        <v>10130</v>
      </c>
      <c r="Q697">
        <v>3096</v>
      </c>
      <c r="R697">
        <v>7034</v>
      </c>
    </row>
    <row r="698" spans="1:18" x14ac:dyDescent="0.3">
      <c r="A698" t="s">
        <v>1718</v>
      </c>
      <c r="B698">
        <v>2022</v>
      </c>
      <c r="C698">
        <v>1.034176752518182</v>
      </c>
      <c r="D698">
        <v>0</v>
      </c>
      <c r="E698">
        <v>4</v>
      </c>
      <c r="F698">
        <v>406</v>
      </c>
      <c r="G698">
        <v>3.1917398852129999E-4</v>
      </c>
      <c r="H698">
        <v>2</v>
      </c>
      <c r="I698">
        <v>9</v>
      </c>
      <c r="J698">
        <v>0.53489478890169562</v>
      </c>
      <c r="K698">
        <v>-0.28445477654117107</v>
      </c>
      <c r="L698">
        <v>298449777.21156448</v>
      </c>
      <c r="M698" t="s">
        <v>586</v>
      </c>
      <c r="N698" t="s">
        <v>404</v>
      </c>
      <c r="O698" t="s">
        <v>404</v>
      </c>
      <c r="P698">
        <v>25874</v>
      </c>
      <c r="Q698">
        <v>12512</v>
      </c>
      <c r="R698">
        <v>13362</v>
      </c>
    </row>
    <row r="699" spans="1:18" x14ac:dyDescent="0.3">
      <c r="A699" t="s">
        <v>1719</v>
      </c>
      <c r="B699">
        <v>2022</v>
      </c>
      <c r="C699">
        <v>3.021605002194216</v>
      </c>
      <c r="D699">
        <v>0</v>
      </c>
      <c r="E699">
        <v>280</v>
      </c>
      <c r="F699">
        <v>113</v>
      </c>
      <c r="G699">
        <v>1.3012639740213E-3</v>
      </c>
      <c r="H699">
        <v>5</v>
      </c>
      <c r="I699">
        <v>0</v>
      </c>
      <c r="L699">
        <v>50255159.399347477</v>
      </c>
      <c r="M699" t="s">
        <v>586</v>
      </c>
      <c r="N699" t="s">
        <v>565</v>
      </c>
      <c r="O699" t="s">
        <v>598</v>
      </c>
      <c r="P699">
        <v>9671</v>
      </c>
      <c r="Q699">
        <v>3369</v>
      </c>
      <c r="R699">
        <v>6302</v>
      </c>
    </row>
    <row r="700" spans="1:18" x14ac:dyDescent="0.3">
      <c r="A700" t="s">
        <v>1720</v>
      </c>
      <c r="B700">
        <v>2022</v>
      </c>
      <c r="C700">
        <v>1.2758611382386831</v>
      </c>
      <c r="D700">
        <v>0</v>
      </c>
      <c r="E700">
        <v>3042</v>
      </c>
      <c r="F700">
        <v>438</v>
      </c>
      <c r="G700">
        <v>2.047024446402E-4</v>
      </c>
      <c r="H700">
        <v>5</v>
      </c>
      <c r="I700">
        <v>3</v>
      </c>
      <c r="L700">
        <v>334514078.68137658</v>
      </c>
      <c r="M700" t="s">
        <v>586</v>
      </c>
      <c r="N700" t="s">
        <v>565</v>
      </c>
      <c r="O700" t="s">
        <v>33</v>
      </c>
      <c r="P700">
        <v>23427</v>
      </c>
      <c r="Q700">
        <v>4552</v>
      </c>
      <c r="R700">
        <v>18875</v>
      </c>
    </row>
    <row r="701" spans="1:18" x14ac:dyDescent="0.3">
      <c r="A701" t="s">
        <v>1721</v>
      </c>
      <c r="B701">
        <v>2022</v>
      </c>
      <c r="C701">
        <v>3.1838351488318062</v>
      </c>
      <c r="D701">
        <v>0</v>
      </c>
      <c r="E701">
        <v>62</v>
      </c>
      <c r="F701">
        <v>494</v>
      </c>
      <c r="G701">
        <v>4.701125662474E-4</v>
      </c>
      <c r="H701">
        <v>3</v>
      </c>
      <c r="I701">
        <v>7</v>
      </c>
      <c r="L701">
        <v>153143254.16192701</v>
      </c>
      <c r="M701" t="s">
        <v>586</v>
      </c>
      <c r="N701" t="s">
        <v>599</v>
      </c>
      <c r="O701" t="s">
        <v>599</v>
      </c>
      <c r="P701">
        <v>48988</v>
      </c>
      <c r="Q701">
        <v>23373</v>
      </c>
      <c r="R701">
        <v>25615</v>
      </c>
    </row>
    <row r="702" spans="1:18" x14ac:dyDescent="0.3">
      <c r="A702" t="s">
        <v>1722</v>
      </c>
      <c r="B702">
        <v>2022</v>
      </c>
      <c r="C702">
        <v>1.2873628507418331</v>
      </c>
      <c r="D702">
        <v>0</v>
      </c>
      <c r="E702">
        <v>114</v>
      </c>
      <c r="F702">
        <v>325</v>
      </c>
      <c r="G702">
        <v>2.6804985500259999E-4</v>
      </c>
      <c r="H702">
        <v>17</v>
      </c>
      <c r="I702">
        <v>5</v>
      </c>
      <c r="L702">
        <v>245535844.50032839</v>
      </c>
      <c r="M702" t="s">
        <v>586</v>
      </c>
      <c r="N702" t="s">
        <v>599</v>
      </c>
      <c r="O702" t="s">
        <v>600</v>
      </c>
      <c r="P702">
        <v>18364</v>
      </c>
      <c r="Q702">
        <v>2213</v>
      </c>
      <c r="R702">
        <v>16151</v>
      </c>
    </row>
    <row r="703" spans="1:18" x14ac:dyDescent="0.3">
      <c r="A703" t="s">
        <v>1723</v>
      </c>
      <c r="B703">
        <v>2022</v>
      </c>
      <c r="C703">
        <v>1.2085803947223619</v>
      </c>
      <c r="D703">
        <v>0</v>
      </c>
      <c r="E703">
        <v>167</v>
      </c>
      <c r="F703">
        <v>84</v>
      </c>
      <c r="G703">
        <v>5.3619026726650003E-4</v>
      </c>
      <c r="H703">
        <v>9</v>
      </c>
      <c r="I703">
        <v>1</v>
      </c>
      <c r="L703">
        <v>61060171.684765853</v>
      </c>
      <c r="M703" t="s">
        <v>586</v>
      </c>
      <c r="N703" t="s">
        <v>599</v>
      </c>
      <c r="O703" t="s">
        <v>601</v>
      </c>
      <c r="P703">
        <v>3101</v>
      </c>
      <c r="Q703">
        <v>259</v>
      </c>
      <c r="R703">
        <v>2842</v>
      </c>
    </row>
    <row r="704" spans="1:18" x14ac:dyDescent="0.3">
      <c r="A704" t="s">
        <v>1724</v>
      </c>
      <c r="B704">
        <v>2022</v>
      </c>
      <c r="C704">
        <v>0.97869615976338342</v>
      </c>
      <c r="D704">
        <v>0</v>
      </c>
      <c r="E704">
        <v>22</v>
      </c>
      <c r="F704">
        <v>267</v>
      </c>
      <c r="G704">
        <v>4.0393182420499999E-4</v>
      </c>
      <c r="H704">
        <v>39</v>
      </c>
      <c r="I704">
        <v>2</v>
      </c>
      <c r="J704">
        <v>0.29443977213511818</v>
      </c>
      <c r="K704">
        <v>-0.32980527981436231</v>
      </c>
      <c r="L704">
        <v>569220652.7098521</v>
      </c>
      <c r="M704" t="s">
        <v>586</v>
      </c>
      <c r="N704" t="s">
        <v>605</v>
      </c>
      <c r="O704" t="s">
        <v>605</v>
      </c>
      <c r="P704">
        <v>24838</v>
      </c>
      <c r="Q704">
        <v>4215</v>
      </c>
      <c r="R704">
        <v>20623</v>
      </c>
    </row>
    <row r="705" spans="1:18" x14ac:dyDescent="0.3">
      <c r="A705" t="s">
        <v>1725</v>
      </c>
      <c r="B705">
        <v>2022</v>
      </c>
      <c r="C705">
        <v>1.3637393939977209</v>
      </c>
      <c r="D705">
        <v>0</v>
      </c>
      <c r="E705">
        <v>15</v>
      </c>
      <c r="F705">
        <v>428</v>
      </c>
      <c r="G705">
        <v>2.4980600724110001E-4</v>
      </c>
      <c r="H705">
        <v>12</v>
      </c>
      <c r="I705">
        <v>5</v>
      </c>
      <c r="J705">
        <v>0.52675789406339846</v>
      </c>
      <c r="K705">
        <v>-0.19649350100497431</v>
      </c>
      <c r="L705">
        <v>287737034.76405841</v>
      </c>
      <c r="M705" t="s">
        <v>586</v>
      </c>
      <c r="N705" t="s">
        <v>611</v>
      </c>
      <c r="O705" t="s">
        <v>611</v>
      </c>
      <c r="P705">
        <v>19464</v>
      </c>
      <c r="Q705">
        <v>5280</v>
      </c>
      <c r="R705">
        <v>14184</v>
      </c>
    </row>
    <row r="706" spans="1:18" x14ac:dyDescent="0.3">
      <c r="A706" t="s">
        <v>1726</v>
      </c>
      <c r="B706">
        <v>2022</v>
      </c>
      <c r="C706">
        <v>2.5136261261992581</v>
      </c>
      <c r="D706">
        <v>0</v>
      </c>
      <c r="E706">
        <v>1468</v>
      </c>
      <c r="F706">
        <v>143</v>
      </c>
      <c r="G706">
        <v>1.5139553997549E-3</v>
      </c>
      <c r="H706">
        <v>24</v>
      </c>
      <c r="I706">
        <v>1</v>
      </c>
      <c r="J706">
        <v>0.38211391084138119</v>
      </c>
      <c r="K706">
        <v>-0.20822962709626699</v>
      </c>
      <c r="L706">
        <v>31060749.30406601</v>
      </c>
      <c r="M706" t="s">
        <v>612</v>
      </c>
      <c r="N706" t="s">
        <v>613</v>
      </c>
      <c r="O706" t="s">
        <v>614</v>
      </c>
      <c r="P706">
        <v>4714</v>
      </c>
      <c r="Q706">
        <v>608</v>
      </c>
      <c r="R706">
        <v>4106</v>
      </c>
    </row>
    <row r="707" spans="1:18" x14ac:dyDescent="0.3">
      <c r="A707" t="s">
        <v>1727</v>
      </c>
      <c r="B707">
        <v>2022</v>
      </c>
      <c r="C707">
        <v>1.7526389084842391</v>
      </c>
      <c r="D707">
        <v>0</v>
      </c>
      <c r="E707">
        <v>1116</v>
      </c>
      <c r="F707">
        <v>177</v>
      </c>
      <c r="G707">
        <v>9.0089073303880002E-4</v>
      </c>
      <c r="H707">
        <v>8</v>
      </c>
      <c r="I707">
        <v>9</v>
      </c>
      <c r="J707">
        <v>0.26545551508139692</v>
      </c>
      <c r="K707">
        <v>-0.17123927916574941</v>
      </c>
      <c r="L707">
        <v>37025167.836782292</v>
      </c>
      <c r="M707" t="s">
        <v>612</v>
      </c>
      <c r="N707" t="s">
        <v>613</v>
      </c>
      <c r="O707" t="s">
        <v>616</v>
      </c>
      <c r="P707">
        <v>4181</v>
      </c>
      <c r="Q707">
        <v>320</v>
      </c>
      <c r="R707">
        <v>3861</v>
      </c>
    </row>
    <row r="708" spans="1:18" x14ac:dyDescent="0.3">
      <c r="A708" t="s">
        <v>1728</v>
      </c>
      <c r="B708">
        <v>2022</v>
      </c>
      <c r="C708">
        <v>4.9199076768460781</v>
      </c>
      <c r="D708">
        <v>0</v>
      </c>
      <c r="E708">
        <v>4785</v>
      </c>
      <c r="F708">
        <v>691</v>
      </c>
      <c r="G708">
        <v>3.1391335650150001E-4</v>
      </c>
      <c r="H708">
        <v>73</v>
      </c>
      <c r="I708">
        <v>20</v>
      </c>
      <c r="J708">
        <v>0.30500144901301152</v>
      </c>
      <c r="K708">
        <v>-0.2275187225415799</v>
      </c>
      <c r="L708">
        <v>90676535.472301885</v>
      </c>
      <c r="M708" t="s">
        <v>612</v>
      </c>
      <c r="N708" t="s">
        <v>613</v>
      </c>
      <c r="O708" t="s">
        <v>617</v>
      </c>
      <c r="P708">
        <v>14850</v>
      </c>
      <c r="Q708">
        <v>1354</v>
      </c>
      <c r="R708">
        <v>13496</v>
      </c>
    </row>
    <row r="709" spans="1:18" x14ac:dyDescent="0.3">
      <c r="A709" t="s">
        <v>1729</v>
      </c>
      <c r="B709">
        <v>2022</v>
      </c>
      <c r="C709">
        <v>0.98356156537497963</v>
      </c>
      <c r="D709">
        <v>0</v>
      </c>
      <c r="E709">
        <v>1046</v>
      </c>
      <c r="F709">
        <v>118</v>
      </c>
      <c r="G709">
        <v>1.0054902635367E-3</v>
      </c>
      <c r="H709">
        <v>17</v>
      </c>
      <c r="I709">
        <v>2</v>
      </c>
      <c r="J709">
        <v>0.3403448203913596</v>
      </c>
      <c r="K709">
        <v>-0.1571853336638829</v>
      </c>
      <c r="L709">
        <v>60668468.086197197</v>
      </c>
      <c r="M709" t="s">
        <v>612</v>
      </c>
      <c r="N709" t="s">
        <v>613</v>
      </c>
      <c r="O709" t="s">
        <v>619</v>
      </c>
      <c r="P709">
        <v>2717</v>
      </c>
      <c r="Q709">
        <v>25</v>
      </c>
      <c r="R709">
        <v>2692</v>
      </c>
    </row>
    <row r="710" spans="1:18" x14ac:dyDescent="0.3">
      <c r="A710" t="s">
        <v>1730</v>
      </c>
      <c r="B710">
        <v>2022</v>
      </c>
      <c r="C710">
        <v>0.62521649155322545</v>
      </c>
      <c r="D710">
        <v>0</v>
      </c>
      <c r="E710">
        <v>229</v>
      </c>
      <c r="F710">
        <v>219</v>
      </c>
      <c r="G710">
        <v>2.8184818771169999E-4</v>
      </c>
      <c r="H710">
        <v>36</v>
      </c>
      <c r="I710">
        <v>19</v>
      </c>
      <c r="J710">
        <v>0.3870002835216616</v>
      </c>
      <c r="K710">
        <v>-0.19375543273431681</v>
      </c>
      <c r="L710">
        <v>121552632.4500628</v>
      </c>
      <c r="M710" t="s">
        <v>612</v>
      </c>
      <c r="N710" t="s">
        <v>97</v>
      </c>
      <c r="O710" t="s">
        <v>621</v>
      </c>
      <c r="P710">
        <v>3573</v>
      </c>
      <c r="Q710">
        <v>289</v>
      </c>
      <c r="R710">
        <v>3284</v>
      </c>
    </row>
    <row r="711" spans="1:18" x14ac:dyDescent="0.3">
      <c r="A711" t="s">
        <v>1731</v>
      </c>
      <c r="B711">
        <v>2022</v>
      </c>
      <c r="C711">
        <v>0.65923749827703038</v>
      </c>
      <c r="D711">
        <v>0</v>
      </c>
      <c r="E711">
        <v>2359</v>
      </c>
      <c r="F711">
        <v>826</v>
      </c>
      <c r="G711">
        <v>1.5524305694209999E-4</v>
      </c>
      <c r="H711">
        <v>117</v>
      </c>
      <c r="I711">
        <v>15</v>
      </c>
      <c r="J711">
        <v>0.20851045021641959</v>
      </c>
      <c r="K711">
        <v>-0.26903852771219361</v>
      </c>
      <c r="L711">
        <v>234770603.86088559</v>
      </c>
      <c r="M711" t="s">
        <v>612</v>
      </c>
      <c r="N711" t="s">
        <v>622</v>
      </c>
      <c r="O711" t="s">
        <v>623</v>
      </c>
      <c r="P711">
        <v>4444</v>
      </c>
      <c r="Q711">
        <v>198</v>
      </c>
      <c r="R711">
        <v>4246</v>
      </c>
    </row>
    <row r="712" spans="1:18" x14ac:dyDescent="0.3">
      <c r="A712" t="s">
        <v>1732</v>
      </c>
      <c r="B712">
        <v>2022</v>
      </c>
      <c r="C712">
        <v>0.66158343830048738</v>
      </c>
      <c r="D712">
        <v>0</v>
      </c>
      <c r="E712">
        <v>3296</v>
      </c>
      <c r="F712">
        <v>1035</v>
      </c>
      <c r="G712">
        <v>1.0930745826039999E-4</v>
      </c>
      <c r="H712">
        <v>147</v>
      </c>
      <c r="I712">
        <v>35</v>
      </c>
      <c r="J712">
        <v>0.39010829375561201</v>
      </c>
      <c r="K712">
        <v>-0.27951292382567072</v>
      </c>
      <c r="L712">
        <v>299117442.27025378</v>
      </c>
      <c r="M712" t="s">
        <v>612</v>
      </c>
      <c r="N712" t="s">
        <v>622</v>
      </c>
      <c r="O712" t="s">
        <v>625</v>
      </c>
      <c r="P712">
        <v>6369</v>
      </c>
      <c r="Q712">
        <v>518</v>
      </c>
      <c r="R712">
        <v>5851</v>
      </c>
    </row>
    <row r="713" spans="1:18" x14ac:dyDescent="0.3">
      <c r="A713" t="s">
        <v>1733</v>
      </c>
      <c r="B713">
        <v>2022</v>
      </c>
      <c r="C713">
        <v>0.6965548932533685</v>
      </c>
      <c r="D713">
        <v>0</v>
      </c>
      <c r="E713">
        <v>878</v>
      </c>
      <c r="F713">
        <v>584</v>
      </c>
      <c r="G713">
        <v>9.9949886870076077E-5</v>
      </c>
      <c r="H713">
        <v>82</v>
      </c>
      <c r="I713">
        <v>21</v>
      </c>
      <c r="J713">
        <v>0.36174036147176941</v>
      </c>
      <c r="K713">
        <v>-0.18363441750982559</v>
      </c>
      <c r="L713">
        <v>569087243.39331782</v>
      </c>
      <c r="M713" t="s">
        <v>612</v>
      </c>
      <c r="N713" t="s">
        <v>622</v>
      </c>
      <c r="O713" t="s">
        <v>626</v>
      </c>
      <c r="P713">
        <v>6082</v>
      </c>
      <c r="Q713">
        <v>180</v>
      </c>
      <c r="R713">
        <v>5902</v>
      </c>
    </row>
    <row r="714" spans="1:18" x14ac:dyDescent="0.3">
      <c r="A714" t="s">
        <v>1734</v>
      </c>
      <c r="B714">
        <v>2022</v>
      </c>
      <c r="C714">
        <v>0.75599374429656907</v>
      </c>
      <c r="D714">
        <v>0</v>
      </c>
      <c r="E714">
        <v>3844</v>
      </c>
      <c r="F714">
        <v>1352</v>
      </c>
      <c r="G714">
        <v>7.3360412578851646E-5</v>
      </c>
      <c r="H714">
        <v>244</v>
      </c>
      <c r="I714">
        <v>44</v>
      </c>
      <c r="J714">
        <v>0.33822829226925688</v>
      </c>
      <c r="K714">
        <v>-0.16563327787878029</v>
      </c>
      <c r="L714">
        <v>398746817.93539172</v>
      </c>
      <c r="M714" t="s">
        <v>612</v>
      </c>
      <c r="N714" t="s">
        <v>622</v>
      </c>
      <c r="O714" t="s">
        <v>33</v>
      </c>
      <c r="P714">
        <v>7831</v>
      </c>
      <c r="Q714">
        <v>986</v>
      </c>
      <c r="R714">
        <v>6845</v>
      </c>
    </row>
    <row r="715" spans="1:18" x14ac:dyDescent="0.3">
      <c r="A715" t="s">
        <v>1735</v>
      </c>
      <c r="B715">
        <v>2022</v>
      </c>
      <c r="C715">
        <v>1.526660954551738</v>
      </c>
      <c r="D715">
        <v>0</v>
      </c>
      <c r="E715">
        <v>3524</v>
      </c>
      <c r="F715">
        <v>1367</v>
      </c>
      <c r="G715">
        <v>1.3972929160819999E-4</v>
      </c>
      <c r="H715">
        <v>183</v>
      </c>
      <c r="I715">
        <v>17</v>
      </c>
      <c r="J715">
        <v>0.17490652376661681</v>
      </c>
      <c r="K715">
        <v>-0.2227103102574276</v>
      </c>
      <c r="L715">
        <v>212418346.5890632</v>
      </c>
      <c r="M715" t="s">
        <v>612</v>
      </c>
      <c r="N715" t="s">
        <v>622</v>
      </c>
      <c r="O715" t="s">
        <v>145</v>
      </c>
      <c r="P715">
        <v>9482</v>
      </c>
      <c r="Q715">
        <v>2215</v>
      </c>
      <c r="R715">
        <v>7267</v>
      </c>
    </row>
    <row r="716" spans="1:18" x14ac:dyDescent="0.3">
      <c r="A716" t="s">
        <v>1736</v>
      </c>
      <c r="B716">
        <v>2022</v>
      </c>
      <c r="C716">
        <v>0.85765574803421663</v>
      </c>
      <c r="D716">
        <v>0</v>
      </c>
      <c r="E716">
        <v>438</v>
      </c>
      <c r="F716">
        <v>120</v>
      </c>
      <c r="G716">
        <v>3.2273655646019998E-4</v>
      </c>
      <c r="H716">
        <v>4</v>
      </c>
      <c r="I716">
        <v>17</v>
      </c>
      <c r="J716">
        <v>0.37941611987653129</v>
      </c>
      <c r="K716">
        <v>-0.17378467248223331</v>
      </c>
      <c r="L716">
        <v>290516710.4318611</v>
      </c>
      <c r="M716" t="s">
        <v>612</v>
      </c>
      <c r="N716" t="s">
        <v>627</v>
      </c>
      <c r="O716" t="s">
        <v>628</v>
      </c>
      <c r="P716">
        <v>3911</v>
      </c>
      <c r="Q716">
        <v>399</v>
      </c>
      <c r="R716">
        <v>3512</v>
      </c>
    </row>
    <row r="717" spans="1:18" x14ac:dyDescent="0.3">
      <c r="A717" t="s">
        <v>1737</v>
      </c>
      <c r="B717">
        <v>2022</v>
      </c>
      <c r="C717">
        <v>1.2402796300043011</v>
      </c>
      <c r="D717">
        <v>0</v>
      </c>
      <c r="E717">
        <v>42</v>
      </c>
      <c r="F717">
        <v>225</v>
      </c>
      <c r="G717">
        <v>2.9792204645549998E-4</v>
      </c>
      <c r="H717">
        <v>7</v>
      </c>
      <c r="I717">
        <v>8</v>
      </c>
      <c r="J717">
        <v>0.38886405329621321</v>
      </c>
      <c r="K717">
        <v>-0.18128428375874719</v>
      </c>
      <c r="L717">
        <v>188870603.7189748</v>
      </c>
      <c r="M717" t="s">
        <v>612</v>
      </c>
      <c r="N717" t="s">
        <v>627</v>
      </c>
      <c r="O717" t="s">
        <v>629</v>
      </c>
      <c r="P717">
        <v>7251</v>
      </c>
      <c r="Q717">
        <v>629</v>
      </c>
      <c r="R717">
        <v>6622</v>
      </c>
    </row>
    <row r="718" spans="1:18" x14ac:dyDescent="0.3">
      <c r="A718" t="s">
        <v>1738</v>
      </c>
      <c r="B718">
        <v>2022</v>
      </c>
      <c r="C718">
        <v>0.83451735910674751</v>
      </c>
      <c r="D718">
        <v>0</v>
      </c>
      <c r="E718">
        <v>1178</v>
      </c>
      <c r="F718">
        <v>401</v>
      </c>
      <c r="G718">
        <v>1.5904119208160001E-4</v>
      </c>
      <c r="H718">
        <v>19</v>
      </c>
      <c r="I718">
        <v>23</v>
      </c>
      <c r="J718">
        <v>0.38678543982508379</v>
      </c>
      <c r="K718">
        <v>-0.13005126683894269</v>
      </c>
      <c r="L718">
        <v>339075365.01683241</v>
      </c>
      <c r="M718" t="s">
        <v>612</v>
      </c>
      <c r="N718" t="s">
        <v>627</v>
      </c>
      <c r="O718" t="s">
        <v>630</v>
      </c>
      <c r="P718">
        <v>13662</v>
      </c>
      <c r="Q718">
        <v>1006</v>
      </c>
      <c r="R718">
        <v>12656</v>
      </c>
    </row>
    <row r="719" spans="1:18" x14ac:dyDescent="0.3">
      <c r="A719" t="s">
        <v>1739</v>
      </c>
      <c r="B719">
        <v>2022</v>
      </c>
      <c r="C719">
        <v>0.55519452245929568</v>
      </c>
      <c r="D719">
        <v>0</v>
      </c>
      <c r="E719">
        <v>154</v>
      </c>
      <c r="F719">
        <v>145</v>
      </c>
      <c r="G719">
        <v>3.788567618354E-4</v>
      </c>
      <c r="H719">
        <v>22</v>
      </c>
      <c r="I719">
        <v>2</v>
      </c>
      <c r="J719">
        <v>0.43530789023523658</v>
      </c>
      <c r="K719">
        <v>-0.23934801979647391</v>
      </c>
      <c r="L719">
        <v>259822985.73622411</v>
      </c>
      <c r="M719" t="s">
        <v>612</v>
      </c>
      <c r="N719" t="s">
        <v>632</v>
      </c>
      <c r="O719" t="s">
        <v>633</v>
      </c>
      <c r="P719">
        <v>2707</v>
      </c>
      <c r="Q719">
        <v>190</v>
      </c>
      <c r="R719">
        <v>2517</v>
      </c>
    </row>
    <row r="720" spans="1:18" x14ac:dyDescent="0.3">
      <c r="A720" t="s">
        <v>1740</v>
      </c>
      <c r="B720">
        <v>2022</v>
      </c>
      <c r="C720">
        <v>0.94501226357468837</v>
      </c>
      <c r="D720">
        <v>0</v>
      </c>
      <c r="E720">
        <v>852</v>
      </c>
      <c r="F720">
        <v>278</v>
      </c>
      <c r="G720">
        <v>3.0840378887910002E-4</v>
      </c>
      <c r="H720">
        <v>26</v>
      </c>
      <c r="I720">
        <v>11</v>
      </c>
      <c r="J720">
        <v>0.39461365564162171</v>
      </c>
      <c r="K720">
        <v>-0.22409409611649619</v>
      </c>
      <c r="L720">
        <v>100403191.22477859</v>
      </c>
      <c r="M720" t="s">
        <v>612</v>
      </c>
      <c r="N720" t="s">
        <v>632</v>
      </c>
      <c r="O720" t="s">
        <v>634</v>
      </c>
      <c r="P720">
        <v>3527</v>
      </c>
      <c r="Q720">
        <v>379</v>
      </c>
      <c r="R720">
        <v>3148</v>
      </c>
    </row>
    <row r="721" spans="1:18" x14ac:dyDescent="0.3">
      <c r="A721" t="s">
        <v>1741</v>
      </c>
      <c r="B721">
        <v>2022</v>
      </c>
      <c r="C721">
        <v>0.9284838655845512</v>
      </c>
      <c r="D721">
        <v>0</v>
      </c>
      <c r="E721">
        <v>357</v>
      </c>
      <c r="F721">
        <v>101</v>
      </c>
      <c r="G721">
        <v>6.559506469469E-4</v>
      </c>
      <c r="H721">
        <v>17</v>
      </c>
      <c r="I721">
        <v>2</v>
      </c>
      <c r="J721">
        <v>0.38049955151823772</v>
      </c>
      <c r="K721">
        <v>-0.21899089561848459</v>
      </c>
      <c r="L721">
        <v>90155063.796481639</v>
      </c>
      <c r="M721" t="s">
        <v>612</v>
      </c>
      <c r="N721" t="s">
        <v>635</v>
      </c>
      <c r="O721" t="s">
        <v>636</v>
      </c>
      <c r="P721">
        <v>3418</v>
      </c>
      <c r="Q721">
        <v>209</v>
      </c>
      <c r="R721">
        <v>3209</v>
      </c>
    </row>
    <row r="722" spans="1:18" x14ac:dyDescent="0.3">
      <c r="A722" t="s">
        <v>1742</v>
      </c>
      <c r="B722">
        <v>2022</v>
      </c>
      <c r="C722">
        <v>1.0532576990473019</v>
      </c>
      <c r="D722">
        <v>0</v>
      </c>
      <c r="E722">
        <v>232</v>
      </c>
      <c r="F722">
        <v>138</v>
      </c>
      <c r="G722">
        <v>3.4769547522750001E-4</v>
      </c>
      <c r="H722">
        <v>8</v>
      </c>
      <c r="I722">
        <v>0</v>
      </c>
      <c r="J722">
        <v>0.40644383467638801</v>
      </c>
      <c r="K722">
        <v>-0.25353951077490727</v>
      </c>
      <c r="L722">
        <v>116737524.53589649</v>
      </c>
      <c r="M722" t="s">
        <v>612</v>
      </c>
      <c r="N722" t="s">
        <v>635</v>
      </c>
      <c r="O722" t="s">
        <v>637</v>
      </c>
      <c r="P722">
        <v>7019</v>
      </c>
      <c r="Q722">
        <v>59</v>
      </c>
      <c r="R722">
        <v>6960</v>
      </c>
    </row>
    <row r="723" spans="1:18" x14ac:dyDescent="0.3">
      <c r="A723" t="s">
        <v>1743</v>
      </c>
      <c r="B723">
        <v>2022</v>
      </c>
      <c r="C723">
        <v>0.72792635019738527</v>
      </c>
      <c r="D723">
        <v>0</v>
      </c>
      <c r="E723">
        <v>14</v>
      </c>
      <c r="F723">
        <v>138</v>
      </c>
      <c r="G723">
        <v>7.0411198498659998E-4</v>
      </c>
      <c r="H723">
        <v>11</v>
      </c>
      <c r="I723">
        <v>1</v>
      </c>
      <c r="J723">
        <v>0.2673486460032683</v>
      </c>
      <c r="K723">
        <v>-0.32829866066209079</v>
      </c>
      <c r="L723">
        <v>167108458.17267069</v>
      </c>
      <c r="M723" t="s">
        <v>612</v>
      </c>
      <c r="N723" t="s">
        <v>635</v>
      </c>
      <c r="O723" t="s">
        <v>638</v>
      </c>
      <c r="P723">
        <v>1816</v>
      </c>
      <c r="Q723">
        <v>4</v>
      </c>
      <c r="R723">
        <v>1812</v>
      </c>
    </row>
    <row r="724" spans="1:18" x14ac:dyDescent="0.3">
      <c r="A724" t="s">
        <v>1744</v>
      </c>
      <c r="B724">
        <v>2022</v>
      </c>
      <c r="C724">
        <v>0.63185785542425654</v>
      </c>
      <c r="D724">
        <v>0</v>
      </c>
      <c r="E724">
        <v>566</v>
      </c>
      <c r="F724">
        <v>380</v>
      </c>
      <c r="G724">
        <v>1.2808197141150001E-4</v>
      </c>
      <c r="H724">
        <v>55</v>
      </c>
      <c r="I724">
        <v>16</v>
      </c>
      <c r="J724">
        <v>0.36649580554975808</v>
      </c>
      <c r="K724">
        <v>-0.1553939752646756</v>
      </c>
      <c r="L724">
        <v>427596173.60758603</v>
      </c>
      <c r="M724" t="s">
        <v>612</v>
      </c>
      <c r="N724" t="s">
        <v>652</v>
      </c>
      <c r="O724" t="s">
        <v>653</v>
      </c>
      <c r="P724">
        <v>8300</v>
      </c>
      <c r="Q724">
        <v>250</v>
      </c>
      <c r="R724">
        <v>8050</v>
      </c>
    </row>
    <row r="725" spans="1:18" x14ac:dyDescent="0.3">
      <c r="A725" t="s">
        <v>1745</v>
      </c>
      <c r="B725">
        <v>2022</v>
      </c>
      <c r="C725">
        <v>0.7861411185673961</v>
      </c>
      <c r="D725">
        <v>0</v>
      </c>
      <c r="E725">
        <v>325</v>
      </c>
      <c r="F725">
        <v>121</v>
      </c>
      <c r="G725">
        <v>3.9062437573719999E-4</v>
      </c>
      <c r="H725">
        <v>8</v>
      </c>
      <c r="I725">
        <v>6</v>
      </c>
      <c r="J725">
        <v>0.35785249209982378</v>
      </c>
      <c r="K725">
        <v>-0.2315333089022307</v>
      </c>
      <c r="L725">
        <v>146098012.47939831</v>
      </c>
      <c r="M725" t="s">
        <v>612</v>
      </c>
      <c r="N725" t="s">
        <v>652</v>
      </c>
      <c r="O725" t="s">
        <v>113</v>
      </c>
      <c r="P725">
        <v>4787</v>
      </c>
      <c r="Q725">
        <v>240</v>
      </c>
      <c r="R725">
        <v>4547</v>
      </c>
    </row>
    <row r="726" spans="1:18" x14ac:dyDescent="0.3">
      <c r="A726" t="s">
        <v>1746</v>
      </c>
      <c r="B726">
        <v>2022</v>
      </c>
      <c r="C726">
        <v>1.172232614721443</v>
      </c>
      <c r="D726">
        <v>0</v>
      </c>
      <c r="E726">
        <v>201</v>
      </c>
      <c r="F726">
        <v>209</v>
      </c>
      <c r="G726">
        <v>7.4404741286259997E-4</v>
      </c>
      <c r="H726">
        <v>17</v>
      </c>
      <c r="I726">
        <v>3</v>
      </c>
      <c r="J726">
        <v>0.39565245900548829</v>
      </c>
      <c r="K726">
        <v>-0.21409151251807479</v>
      </c>
      <c r="L726">
        <v>104472912.2542344</v>
      </c>
      <c r="M726" t="s">
        <v>612</v>
      </c>
      <c r="N726" t="s">
        <v>35</v>
      </c>
      <c r="O726" t="s">
        <v>655</v>
      </c>
      <c r="P726">
        <v>7933</v>
      </c>
      <c r="Q726">
        <v>3010</v>
      </c>
      <c r="R726">
        <v>4923</v>
      </c>
    </row>
    <row r="727" spans="1:18" x14ac:dyDescent="0.3">
      <c r="A727" t="s">
        <v>1747</v>
      </c>
      <c r="B727">
        <v>2022</v>
      </c>
      <c r="C727">
        <v>0.63202785441531628</v>
      </c>
      <c r="D727">
        <v>0</v>
      </c>
      <c r="E727">
        <v>21</v>
      </c>
      <c r="F727">
        <v>106</v>
      </c>
      <c r="G727">
        <v>5.0276457178049995E-4</v>
      </c>
      <c r="H727">
        <v>19</v>
      </c>
      <c r="I727">
        <v>25</v>
      </c>
      <c r="J727">
        <v>0.33865573526494519</v>
      </c>
      <c r="K727">
        <v>-0.2468186061895703</v>
      </c>
      <c r="L727">
        <v>240090196.59469</v>
      </c>
      <c r="M727" t="s">
        <v>612</v>
      </c>
      <c r="N727" t="s">
        <v>35</v>
      </c>
      <c r="O727" t="s">
        <v>87</v>
      </c>
      <c r="P727">
        <v>7200</v>
      </c>
      <c r="Q727">
        <v>5</v>
      </c>
      <c r="R727">
        <v>7195</v>
      </c>
    </row>
    <row r="728" spans="1:18" x14ac:dyDescent="0.3">
      <c r="A728" t="s">
        <v>1748</v>
      </c>
      <c r="B728">
        <v>2022</v>
      </c>
      <c r="C728">
        <v>0.68067592871191784</v>
      </c>
      <c r="D728">
        <v>0</v>
      </c>
      <c r="E728">
        <v>3</v>
      </c>
      <c r="F728">
        <v>137</v>
      </c>
      <c r="G728">
        <v>5.3907841995289995E-4</v>
      </c>
      <c r="H728">
        <v>10</v>
      </c>
      <c r="I728">
        <v>0</v>
      </c>
      <c r="J728">
        <v>0.29380987761629851</v>
      </c>
      <c r="K728">
        <v>-0.25242721606977842</v>
      </c>
      <c r="L728">
        <v>220774273.42307931</v>
      </c>
      <c r="M728" t="s">
        <v>612</v>
      </c>
      <c r="N728" t="s">
        <v>35</v>
      </c>
      <c r="O728" t="s">
        <v>120</v>
      </c>
      <c r="P728">
        <v>6006</v>
      </c>
      <c r="Q728">
        <v>156</v>
      </c>
      <c r="R728">
        <v>5850</v>
      </c>
    </row>
    <row r="729" spans="1:18" x14ac:dyDescent="0.3">
      <c r="A729" t="s">
        <v>1749</v>
      </c>
      <c r="B729">
        <v>2022</v>
      </c>
      <c r="C729">
        <v>2.854511004609666</v>
      </c>
      <c r="D729">
        <v>0</v>
      </c>
      <c r="E729">
        <v>1508</v>
      </c>
      <c r="F729">
        <v>523</v>
      </c>
      <c r="G729">
        <v>3.8586592964860001E-4</v>
      </c>
      <c r="H729">
        <v>89</v>
      </c>
      <c r="I729">
        <v>8</v>
      </c>
      <c r="J729">
        <v>0.26213648577383381</v>
      </c>
      <c r="K729">
        <v>-0.27243898923837961</v>
      </c>
      <c r="L729">
        <v>58212453.761750042</v>
      </c>
      <c r="M729" t="s">
        <v>612</v>
      </c>
      <c r="N729" t="s">
        <v>659</v>
      </c>
      <c r="O729" t="s">
        <v>660</v>
      </c>
      <c r="P729">
        <v>4438</v>
      </c>
      <c r="Q729">
        <v>1185</v>
      </c>
      <c r="R729">
        <v>3253</v>
      </c>
    </row>
    <row r="730" spans="1:18" x14ac:dyDescent="0.3">
      <c r="A730" t="s">
        <v>1750</v>
      </c>
      <c r="B730">
        <v>2022</v>
      </c>
      <c r="C730">
        <v>2.344860507185575</v>
      </c>
      <c r="D730">
        <v>0</v>
      </c>
      <c r="E730">
        <v>2894</v>
      </c>
      <c r="F730">
        <v>801</v>
      </c>
      <c r="G730">
        <v>2.8586722268869998E-4</v>
      </c>
      <c r="H730">
        <v>109</v>
      </c>
      <c r="I730">
        <v>21</v>
      </c>
      <c r="J730">
        <v>0.2232758305714076</v>
      </c>
      <c r="K730">
        <v>-0.28178991228657879</v>
      </c>
      <c r="L730">
        <v>75035128.55199188</v>
      </c>
      <c r="M730" t="s">
        <v>612</v>
      </c>
      <c r="N730" t="s">
        <v>659</v>
      </c>
      <c r="O730" t="s">
        <v>661</v>
      </c>
      <c r="P730">
        <v>7106</v>
      </c>
      <c r="Q730">
        <v>2257</v>
      </c>
      <c r="R730">
        <v>4849</v>
      </c>
    </row>
    <row r="731" spans="1:18" x14ac:dyDescent="0.3">
      <c r="A731" t="s">
        <v>1751</v>
      </c>
      <c r="B731">
        <v>2022</v>
      </c>
      <c r="C731">
        <v>0.99186730031222681</v>
      </c>
      <c r="D731">
        <v>0</v>
      </c>
      <c r="E731">
        <v>1</v>
      </c>
      <c r="F731">
        <v>71</v>
      </c>
      <c r="G731">
        <v>1.0405827263266999E-3</v>
      </c>
      <c r="H731">
        <v>10</v>
      </c>
      <c r="I731">
        <v>4</v>
      </c>
      <c r="J731">
        <v>0.44748004444941991</v>
      </c>
      <c r="K731">
        <v>-0.29116477434792731</v>
      </c>
      <c r="L731">
        <v>117682161.5531804</v>
      </c>
      <c r="M731" t="s">
        <v>612</v>
      </c>
      <c r="N731" t="s">
        <v>662</v>
      </c>
      <c r="O731" t="s">
        <v>331</v>
      </c>
      <c r="P731">
        <v>5687</v>
      </c>
      <c r="Q731">
        <v>526</v>
      </c>
      <c r="R731">
        <v>5161</v>
      </c>
    </row>
    <row r="732" spans="1:18" x14ac:dyDescent="0.3">
      <c r="A732" t="s">
        <v>1752</v>
      </c>
      <c r="B732">
        <v>2022</v>
      </c>
      <c r="C732">
        <v>0.90652057696893384</v>
      </c>
      <c r="D732">
        <v>0</v>
      </c>
      <c r="E732">
        <v>4902</v>
      </c>
      <c r="F732">
        <v>1003</v>
      </c>
      <c r="G732">
        <v>1.0876941402199999E-4</v>
      </c>
      <c r="H732">
        <v>72</v>
      </c>
      <c r="I732">
        <v>25</v>
      </c>
      <c r="J732">
        <v>0.32398105264802612</v>
      </c>
      <c r="K732">
        <v>-6.3514188471323105E-2</v>
      </c>
      <c r="L732">
        <v>872299510.47374237</v>
      </c>
      <c r="M732" t="s">
        <v>612</v>
      </c>
      <c r="N732" t="s">
        <v>665</v>
      </c>
      <c r="O732" t="s">
        <v>666</v>
      </c>
      <c r="P732">
        <v>18642</v>
      </c>
      <c r="Q732">
        <v>1946</v>
      </c>
      <c r="R732">
        <v>16696</v>
      </c>
    </row>
    <row r="733" spans="1:18" x14ac:dyDescent="0.3">
      <c r="A733" t="s">
        <v>1753</v>
      </c>
      <c r="B733">
        <v>2022</v>
      </c>
      <c r="C733">
        <v>0.74189302032342996</v>
      </c>
      <c r="D733">
        <v>0</v>
      </c>
      <c r="E733">
        <v>915</v>
      </c>
      <c r="F733">
        <v>447</v>
      </c>
      <c r="G733">
        <v>2.3969225997429999E-4</v>
      </c>
      <c r="H733">
        <v>48</v>
      </c>
      <c r="I733">
        <v>14</v>
      </c>
      <c r="J733">
        <v>0.39677763804803518</v>
      </c>
      <c r="K733">
        <v>-0.2381170249388711</v>
      </c>
      <c r="L733">
        <v>170132197.30422619</v>
      </c>
      <c r="M733" t="s">
        <v>612</v>
      </c>
      <c r="N733" t="s">
        <v>665</v>
      </c>
      <c r="O733" t="s">
        <v>295</v>
      </c>
      <c r="P733">
        <v>2555</v>
      </c>
      <c r="Q733">
        <v>188</v>
      </c>
      <c r="R733">
        <v>2367</v>
      </c>
    </row>
    <row r="734" spans="1:18" x14ac:dyDescent="0.3">
      <c r="A734" t="s">
        <v>1754</v>
      </c>
      <c r="B734">
        <v>2022</v>
      </c>
      <c r="C734">
        <v>0.70716460988877072</v>
      </c>
      <c r="D734">
        <v>0</v>
      </c>
      <c r="E734">
        <v>2615</v>
      </c>
      <c r="F734">
        <v>1145</v>
      </c>
      <c r="G734">
        <v>1.1119684193949999E-4</v>
      </c>
      <c r="H734">
        <v>55</v>
      </c>
      <c r="I734">
        <v>24</v>
      </c>
      <c r="J734">
        <v>0.1604184346837072</v>
      </c>
      <c r="K734">
        <v>-0.15349766574147</v>
      </c>
      <c r="L734">
        <v>396015693.67605299</v>
      </c>
      <c r="M734" t="s">
        <v>612</v>
      </c>
      <c r="N734" t="s">
        <v>91</v>
      </c>
      <c r="O734" t="s">
        <v>673</v>
      </c>
      <c r="P734">
        <v>8051</v>
      </c>
      <c r="Q734">
        <v>351</v>
      </c>
      <c r="R734">
        <v>7700</v>
      </c>
    </row>
    <row r="735" spans="1:18" x14ac:dyDescent="0.3">
      <c r="A735" t="s">
        <v>1755</v>
      </c>
      <c r="B735">
        <v>2022</v>
      </c>
      <c r="C735">
        <v>0.64769652448913784</v>
      </c>
      <c r="D735">
        <v>0</v>
      </c>
      <c r="E735">
        <v>4</v>
      </c>
      <c r="F735">
        <v>41</v>
      </c>
      <c r="G735">
        <v>2.0241083973362001E-3</v>
      </c>
      <c r="H735">
        <v>1</v>
      </c>
      <c r="I735">
        <v>0</v>
      </c>
      <c r="J735">
        <v>0.50130326350281396</v>
      </c>
      <c r="K735">
        <v>-0.19755163518028621</v>
      </c>
      <c r="L735">
        <v>269276604.94847262</v>
      </c>
      <c r="M735" t="s">
        <v>674</v>
      </c>
      <c r="N735" t="s">
        <v>675</v>
      </c>
      <c r="O735" t="s">
        <v>677</v>
      </c>
      <c r="P735">
        <v>399</v>
      </c>
      <c r="Q735">
        <v>180</v>
      </c>
      <c r="R735">
        <v>219</v>
      </c>
    </row>
    <row r="736" spans="1:18" x14ac:dyDescent="0.3">
      <c r="A736" t="s">
        <v>1756</v>
      </c>
      <c r="B736">
        <v>2022</v>
      </c>
      <c r="C736">
        <v>2.2691937898062369</v>
      </c>
      <c r="D736">
        <v>0</v>
      </c>
      <c r="E736">
        <v>6</v>
      </c>
      <c r="F736">
        <v>314</v>
      </c>
      <c r="G736">
        <v>1.0917690200122E-3</v>
      </c>
      <c r="H736">
        <v>6</v>
      </c>
      <c r="I736">
        <v>0</v>
      </c>
      <c r="J736">
        <v>0.56522705674331031</v>
      </c>
      <c r="K736">
        <v>-0.27947097531708809</v>
      </c>
      <c r="L736">
        <v>73329812.667459488</v>
      </c>
      <c r="M736" t="s">
        <v>674</v>
      </c>
      <c r="N736" t="s">
        <v>675</v>
      </c>
      <c r="O736" t="s">
        <v>678</v>
      </c>
      <c r="P736">
        <v>4929</v>
      </c>
      <c r="Q736">
        <v>2997</v>
      </c>
      <c r="R736">
        <v>1932</v>
      </c>
    </row>
    <row r="737" spans="1:18" x14ac:dyDescent="0.3">
      <c r="A737" t="s">
        <v>1757</v>
      </c>
      <c r="B737">
        <v>2022</v>
      </c>
      <c r="C737">
        <v>0.62058849191282917</v>
      </c>
      <c r="D737">
        <v>0</v>
      </c>
      <c r="E737">
        <v>3</v>
      </c>
      <c r="F737">
        <v>51</v>
      </c>
      <c r="G737">
        <v>3.3073482428115E-3</v>
      </c>
      <c r="H737">
        <v>4</v>
      </c>
      <c r="I737">
        <v>3</v>
      </c>
      <c r="J737">
        <v>0.57476058255532347</v>
      </c>
      <c r="K737">
        <v>-0.25282360054465108</v>
      </c>
      <c r="L737">
        <v>129124321.46990059</v>
      </c>
      <c r="M737" t="s">
        <v>674</v>
      </c>
      <c r="N737" t="s">
        <v>675</v>
      </c>
      <c r="O737" t="s">
        <v>176</v>
      </c>
      <c r="P737">
        <v>1220</v>
      </c>
      <c r="Q737">
        <v>655</v>
      </c>
      <c r="R737">
        <v>565</v>
      </c>
    </row>
    <row r="738" spans="1:18" x14ac:dyDescent="0.3">
      <c r="A738" t="s">
        <v>1758</v>
      </c>
      <c r="B738">
        <v>2022</v>
      </c>
      <c r="C738">
        <v>0.6014976233970335</v>
      </c>
      <c r="D738">
        <v>0</v>
      </c>
      <c r="E738">
        <v>274</v>
      </c>
      <c r="F738">
        <v>492</v>
      </c>
      <c r="G738">
        <v>6.2626391483910004E-4</v>
      </c>
      <c r="H738">
        <v>11</v>
      </c>
      <c r="I738">
        <v>4</v>
      </c>
      <c r="J738">
        <v>0.63930800325329173</v>
      </c>
      <c r="K738">
        <v>-0.2522728373369969</v>
      </c>
      <c r="L738">
        <v>2246349232.3188238</v>
      </c>
      <c r="M738" t="s">
        <v>674</v>
      </c>
      <c r="N738" t="s">
        <v>675</v>
      </c>
      <c r="O738" t="s">
        <v>679</v>
      </c>
      <c r="P738">
        <v>18647</v>
      </c>
      <c r="Q738">
        <v>2409</v>
      </c>
      <c r="R738">
        <v>16238</v>
      </c>
    </row>
    <row r="739" spans="1:18" x14ac:dyDescent="0.3">
      <c r="A739" t="s">
        <v>1759</v>
      </c>
      <c r="B739">
        <v>2022</v>
      </c>
      <c r="C739">
        <v>1.3339757304000339</v>
      </c>
      <c r="D739">
        <v>0</v>
      </c>
      <c r="E739">
        <v>208</v>
      </c>
      <c r="F739">
        <v>62</v>
      </c>
      <c r="G739">
        <v>2.6870536023853998E-3</v>
      </c>
      <c r="H739">
        <v>7</v>
      </c>
      <c r="I739">
        <v>2</v>
      </c>
      <c r="J739">
        <v>0.50028459819048343</v>
      </c>
      <c r="K739">
        <v>-0.1958159453463898</v>
      </c>
      <c r="L739">
        <v>405361032.38565838</v>
      </c>
      <c r="M739" t="s">
        <v>674</v>
      </c>
      <c r="N739" t="s">
        <v>675</v>
      </c>
      <c r="O739" t="s">
        <v>680</v>
      </c>
      <c r="P739">
        <v>1022</v>
      </c>
      <c r="Q739">
        <v>304</v>
      </c>
      <c r="R739">
        <v>718</v>
      </c>
    </row>
    <row r="740" spans="1:18" x14ac:dyDescent="0.3">
      <c r="A740" t="s">
        <v>1760</v>
      </c>
      <c r="B740">
        <v>2022</v>
      </c>
      <c r="C740">
        <v>0.61112420537363576</v>
      </c>
      <c r="D740">
        <v>0</v>
      </c>
      <c r="E740">
        <v>2</v>
      </c>
      <c r="F740">
        <v>17</v>
      </c>
      <c r="G740">
        <v>1.9841037129128001E-3</v>
      </c>
      <c r="H740">
        <v>2</v>
      </c>
      <c r="I740">
        <v>0</v>
      </c>
      <c r="J740">
        <v>0.46392771460737597</v>
      </c>
      <c r="K740">
        <v>-0.2214962221194752</v>
      </c>
      <c r="L740">
        <v>624975848.36906219</v>
      </c>
      <c r="M740" t="s">
        <v>674</v>
      </c>
      <c r="N740" t="s">
        <v>675</v>
      </c>
      <c r="O740" t="s">
        <v>681</v>
      </c>
      <c r="P740">
        <v>223</v>
      </c>
      <c r="Q740">
        <v>69</v>
      </c>
      <c r="R740">
        <v>154</v>
      </c>
    </row>
    <row r="741" spans="1:18" x14ac:dyDescent="0.3">
      <c r="A741" t="s">
        <v>1761</v>
      </c>
      <c r="B741">
        <v>2022</v>
      </c>
      <c r="C741">
        <v>0.45831562512777912</v>
      </c>
      <c r="D741">
        <v>0</v>
      </c>
      <c r="E741">
        <v>22</v>
      </c>
      <c r="F741">
        <v>61</v>
      </c>
      <c r="G741">
        <v>2.4751725349765E-3</v>
      </c>
      <c r="H741">
        <v>6</v>
      </c>
      <c r="I741">
        <v>2</v>
      </c>
      <c r="J741">
        <v>0.61603216862152421</v>
      </c>
      <c r="K741">
        <v>-0.24402834656945949</v>
      </c>
      <c r="L741">
        <v>345129134.65068412</v>
      </c>
      <c r="M741" t="s">
        <v>674</v>
      </c>
      <c r="N741" t="s">
        <v>675</v>
      </c>
      <c r="O741" t="s">
        <v>682</v>
      </c>
      <c r="P741">
        <v>2807</v>
      </c>
      <c r="Q741">
        <v>81</v>
      </c>
      <c r="R741">
        <v>2726</v>
      </c>
    </row>
    <row r="742" spans="1:18" x14ac:dyDescent="0.3">
      <c r="A742" t="s">
        <v>1762</v>
      </c>
      <c r="B742">
        <v>2022</v>
      </c>
      <c r="C742">
        <v>0.91771388480939797</v>
      </c>
      <c r="D742">
        <v>0</v>
      </c>
      <c r="E742">
        <v>3</v>
      </c>
      <c r="F742">
        <v>150</v>
      </c>
      <c r="G742">
        <v>1.2422223445844999E-3</v>
      </c>
      <c r="H742">
        <v>4</v>
      </c>
      <c r="I742">
        <v>0</v>
      </c>
      <c r="J742">
        <v>0.49934639767245448</v>
      </c>
      <c r="K742">
        <v>-0.23262270397834359</v>
      </c>
      <c r="L742">
        <v>225069831.39480981</v>
      </c>
      <c r="M742" t="s">
        <v>674</v>
      </c>
      <c r="N742" t="s">
        <v>675</v>
      </c>
      <c r="O742" t="s">
        <v>683</v>
      </c>
      <c r="P742">
        <v>3044</v>
      </c>
      <c r="Q742">
        <v>1423</v>
      </c>
      <c r="R742">
        <v>1621</v>
      </c>
    </row>
    <row r="743" spans="1:18" x14ac:dyDescent="0.3">
      <c r="A743" t="s">
        <v>1763</v>
      </c>
      <c r="B743">
        <v>2022</v>
      </c>
      <c r="C743">
        <v>0.58158150262201924</v>
      </c>
      <c r="D743">
        <v>0</v>
      </c>
      <c r="E743">
        <v>26</v>
      </c>
      <c r="F743">
        <v>14</v>
      </c>
      <c r="G743">
        <v>7.5757575757574996E-3</v>
      </c>
      <c r="H743">
        <v>1</v>
      </c>
      <c r="I743">
        <v>0</v>
      </c>
      <c r="J743">
        <v>0.59404109685050088</v>
      </c>
      <c r="K743">
        <v>-0.25071921594422503</v>
      </c>
      <c r="L743">
        <v>286348069.35850108</v>
      </c>
      <c r="M743" t="s">
        <v>674</v>
      </c>
      <c r="N743" t="s">
        <v>684</v>
      </c>
      <c r="O743" t="s">
        <v>685</v>
      </c>
      <c r="P743">
        <v>165</v>
      </c>
      <c r="Q743">
        <v>30</v>
      </c>
      <c r="R743">
        <v>135</v>
      </c>
    </row>
    <row r="744" spans="1:18" x14ac:dyDescent="0.3">
      <c r="A744" t="s">
        <v>1764</v>
      </c>
      <c r="B744">
        <v>2022</v>
      </c>
      <c r="C744">
        <v>0.58457624578131906</v>
      </c>
      <c r="D744">
        <v>0</v>
      </c>
      <c r="E744">
        <v>138</v>
      </c>
      <c r="F744">
        <v>135</v>
      </c>
      <c r="G744">
        <v>5.9664608358190002E-4</v>
      </c>
      <c r="H744">
        <v>7</v>
      </c>
      <c r="I744">
        <v>3</v>
      </c>
      <c r="J744">
        <v>0.57003561420191107</v>
      </c>
      <c r="K744">
        <v>-0.21918432469735469</v>
      </c>
      <c r="L744">
        <v>683186942.21012533</v>
      </c>
      <c r="M744" t="s">
        <v>674</v>
      </c>
      <c r="N744" t="s">
        <v>684</v>
      </c>
      <c r="O744" t="s">
        <v>687</v>
      </c>
      <c r="P744">
        <v>6557</v>
      </c>
      <c r="Q744">
        <v>465</v>
      </c>
      <c r="R744">
        <v>6092</v>
      </c>
    </row>
    <row r="745" spans="1:18" x14ac:dyDescent="0.3">
      <c r="A745" t="s">
        <v>1765</v>
      </c>
      <c r="B745">
        <v>2022</v>
      </c>
      <c r="C745">
        <v>0.67117967487418151</v>
      </c>
      <c r="D745">
        <v>0</v>
      </c>
      <c r="E745">
        <v>6</v>
      </c>
      <c r="F745">
        <v>38</v>
      </c>
      <c r="G745">
        <v>1.0281311548514E-3</v>
      </c>
      <c r="H745">
        <v>2</v>
      </c>
      <c r="I745">
        <v>0</v>
      </c>
      <c r="J745">
        <v>0.59532569420778902</v>
      </c>
      <c r="K745">
        <v>-0.248654448554085</v>
      </c>
      <c r="L745">
        <v>134946460.37692121</v>
      </c>
      <c r="M745" t="s">
        <v>674</v>
      </c>
      <c r="N745" t="s">
        <v>684</v>
      </c>
      <c r="O745" t="s">
        <v>425</v>
      </c>
      <c r="P745">
        <v>570</v>
      </c>
      <c r="Q745">
        <v>224</v>
      </c>
      <c r="R745">
        <v>346</v>
      </c>
    </row>
    <row r="746" spans="1:18" x14ac:dyDescent="0.3">
      <c r="A746" t="s">
        <v>1766</v>
      </c>
      <c r="B746">
        <v>2022</v>
      </c>
      <c r="C746">
        <v>0.7274174465914367</v>
      </c>
      <c r="D746">
        <v>0</v>
      </c>
      <c r="E746">
        <v>14</v>
      </c>
      <c r="F746">
        <v>22</v>
      </c>
      <c r="G746">
        <v>2.7768381218611E-3</v>
      </c>
      <c r="H746">
        <v>1</v>
      </c>
      <c r="I746">
        <v>0</v>
      </c>
      <c r="J746">
        <v>0.5969418694138563</v>
      </c>
      <c r="K746">
        <v>-0.27018173632560277</v>
      </c>
      <c r="L746">
        <v>54828206.314662218</v>
      </c>
      <c r="M746" t="s">
        <v>674</v>
      </c>
      <c r="N746" t="s">
        <v>684</v>
      </c>
      <c r="O746" t="s">
        <v>689</v>
      </c>
      <c r="P746">
        <v>663</v>
      </c>
      <c r="Q746">
        <v>307</v>
      </c>
      <c r="R746">
        <v>356</v>
      </c>
    </row>
    <row r="747" spans="1:18" x14ac:dyDescent="0.3">
      <c r="A747" t="s">
        <v>1767</v>
      </c>
      <c r="B747">
        <v>2022</v>
      </c>
      <c r="C747">
        <v>0.63743515387341676</v>
      </c>
      <c r="D747">
        <v>0</v>
      </c>
      <c r="E747">
        <v>5</v>
      </c>
      <c r="F747">
        <v>27</v>
      </c>
      <c r="G747">
        <v>1.7315991422752E-3</v>
      </c>
      <c r="H747">
        <v>2</v>
      </c>
      <c r="I747">
        <v>0</v>
      </c>
      <c r="J747">
        <v>0.56735419186660263</v>
      </c>
      <c r="K747">
        <v>-0.26907077829215231</v>
      </c>
      <c r="L747">
        <v>271079032.39605558</v>
      </c>
      <c r="M747" t="s">
        <v>674</v>
      </c>
      <c r="N747" t="s">
        <v>684</v>
      </c>
      <c r="O747" t="s">
        <v>690</v>
      </c>
      <c r="P747">
        <v>125</v>
      </c>
      <c r="Q747">
        <v>33</v>
      </c>
      <c r="R747">
        <v>92</v>
      </c>
    </row>
    <row r="748" spans="1:18" x14ac:dyDescent="0.3">
      <c r="A748" t="s">
        <v>1768</v>
      </c>
      <c r="B748">
        <v>2022</v>
      </c>
      <c r="C748">
        <v>1.40791201761212</v>
      </c>
      <c r="D748">
        <v>0</v>
      </c>
      <c r="E748">
        <v>17</v>
      </c>
      <c r="F748">
        <v>77</v>
      </c>
      <c r="G748">
        <v>6.3673411816849996E-4</v>
      </c>
      <c r="H748">
        <v>3</v>
      </c>
      <c r="I748">
        <v>0</v>
      </c>
      <c r="J748">
        <v>0.61749250422329727</v>
      </c>
      <c r="K748">
        <v>-0.29178994548749271</v>
      </c>
      <c r="L748">
        <v>69716707.771448627</v>
      </c>
      <c r="M748" t="s">
        <v>674</v>
      </c>
      <c r="N748" t="s">
        <v>692</v>
      </c>
      <c r="O748" t="s">
        <v>694</v>
      </c>
      <c r="P748">
        <v>1086</v>
      </c>
      <c r="Q748">
        <v>581</v>
      </c>
      <c r="R748">
        <v>505</v>
      </c>
    </row>
    <row r="749" spans="1:18" x14ac:dyDescent="0.3">
      <c r="A749" t="s">
        <v>1769</v>
      </c>
      <c r="B749">
        <v>2022</v>
      </c>
      <c r="C749">
        <v>0.70376882883515124</v>
      </c>
      <c r="D749">
        <v>0</v>
      </c>
      <c r="E749">
        <v>21</v>
      </c>
      <c r="F749">
        <v>47</v>
      </c>
      <c r="G749">
        <v>1.0335557220083E-3</v>
      </c>
      <c r="H749">
        <v>6</v>
      </c>
      <c r="I749">
        <v>0</v>
      </c>
      <c r="J749">
        <v>0.58054972411955119</v>
      </c>
      <c r="K749">
        <v>-0.21412090163239089</v>
      </c>
      <c r="L749">
        <v>284533393.44226718</v>
      </c>
      <c r="M749" t="s">
        <v>674</v>
      </c>
      <c r="N749" t="s">
        <v>692</v>
      </c>
      <c r="O749" t="s">
        <v>696</v>
      </c>
      <c r="P749">
        <v>818</v>
      </c>
      <c r="Q749">
        <v>152</v>
      </c>
      <c r="R749">
        <v>666</v>
      </c>
    </row>
    <row r="750" spans="1:18" x14ac:dyDescent="0.3">
      <c r="A750" t="s">
        <v>1770</v>
      </c>
      <c r="B750">
        <v>2022</v>
      </c>
      <c r="C750">
        <v>0.82087227033307275</v>
      </c>
      <c r="D750">
        <v>0</v>
      </c>
      <c r="E750">
        <v>3</v>
      </c>
      <c r="F750">
        <v>80</v>
      </c>
      <c r="G750">
        <v>1.2665335465778E-3</v>
      </c>
      <c r="H750">
        <v>1</v>
      </c>
      <c r="I750">
        <v>6</v>
      </c>
      <c r="J750">
        <v>0.47987394189342591</v>
      </c>
      <c r="K750">
        <v>-0.1897570640678338</v>
      </c>
      <c r="L750">
        <v>257379256.7282874</v>
      </c>
      <c r="M750" t="s">
        <v>674</v>
      </c>
      <c r="N750" t="s">
        <v>692</v>
      </c>
      <c r="O750" t="s">
        <v>697</v>
      </c>
      <c r="P750">
        <v>1126</v>
      </c>
      <c r="Q750">
        <v>187</v>
      </c>
      <c r="R750">
        <v>939</v>
      </c>
    </row>
    <row r="751" spans="1:18" x14ac:dyDescent="0.3">
      <c r="A751" t="s">
        <v>1771</v>
      </c>
      <c r="B751">
        <v>2022</v>
      </c>
      <c r="C751">
        <v>0.80493478988611444</v>
      </c>
      <c r="D751">
        <v>0</v>
      </c>
      <c r="E751">
        <v>5</v>
      </c>
      <c r="F751">
        <v>39</v>
      </c>
      <c r="G751">
        <v>4.1748317287211003E-3</v>
      </c>
      <c r="H751">
        <v>1</v>
      </c>
      <c r="I751">
        <v>8</v>
      </c>
      <c r="J751">
        <v>0.68060359477578347</v>
      </c>
      <c r="K751">
        <v>-0.30780268660306298</v>
      </c>
      <c r="L751">
        <v>92486434.238445684</v>
      </c>
      <c r="M751" t="s">
        <v>674</v>
      </c>
      <c r="N751" t="s">
        <v>698</v>
      </c>
      <c r="O751" t="s">
        <v>701</v>
      </c>
      <c r="P751">
        <v>1361</v>
      </c>
      <c r="Q751">
        <v>287</v>
      </c>
      <c r="R751">
        <v>1074</v>
      </c>
    </row>
    <row r="752" spans="1:18" x14ac:dyDescent="0.3">
      <c r="A752" t="s">
        <v>1772</v>
      </c>
      <c r="B752">
        <v>2022</v>
      </c>
      <c r="C752">
        <v>0.6812891224963431</v>
      </c>
      <c r="D752">
        <v>0</v>
      </c>
      <c r="E752">
        <v>29</v>
      </c>
      <c r="F752">
        <v>58</v>
      </c>
      <c r="G752">
        <v>1.1241954624519E-3</v>
      </c>
      <c r="H752">
        <v>1</v>
      </c>
      <c r="I752">
        <v>0</v>
      </c>
      <c r="J752">
        <v>0.50874075986450795</v>
      </c>
      <c r="K752">
        <v>-0.17339340426288469</v>
      </c>
      <c r="L752">
        <v>443269902.20634282</v>
      </c>
      <c r="M752" t="s">
        <v>674</v>
      </c>
      <c r="N752" t="s">
        <v>121</v>
      </c>
      <c r="O752" t="s">
        <v>703</v>
      </c>
      <c r="P752">
        <v>443</v>
      </c>
      <c r="Q752">
        <v>162</v>
      </c>
      <c r="R752">
        <v>281</v>
      </c>
    </row>
    <row r="753" spans="1:18" x14ac:dyDescent="0.3">
      <c r="A753" t="s">
        <v>1773</v>
      </c>
      <c r="B753">
        <v>2022</v>
      </c>
      <c r="C753">
        <v>0.68129693274714442</v>
      </c>
      <c r="D753">
        <v>0</v>
      </c>
      <c r="E753">
        <v>20</v>
      </c>
      <c r="F753">
        <v>76</v>
      </c>
      <c r="G753">
        <v>8.3991596682330002E-4</v>
      </c>
      <c r="H753">
        <v>2</v>
      </c>
      <c r="I753">
        <v>0</v>
      </c>
      <c r="J753">
        <v>0.55176510505697718</v>
      </c>
      <c r="K753">
        <v>-0.17535368223004799</v>
      </c>
      <c r="L753">
        <v>256783520.24205649</v>
      </c>
      <c r="M753" t="s">
        <v>674</v>
      </c>
      <c r="N753" t="s">
        <v>121</v>
      </c>
      <c r="O753" t="s">
        <v>705</v>
      </c>
      <c r="P753">
        <v>1820</v>
      </c>
      <c r="Q753">
        <v>426</v>
      </c>
      <c r="R753">
        <v>1394</v>
      </c>
    </row>
    <row r="754" spans="1:18" x14ac:dyDescent="0.3">
      <c r="A754" t="s">
        <v>1774</v>
      </c>
      <c r="B754">
        <v>2022</v>
      </c>
      <c r="C754">
        <v>1.050536370019195</v>
      </c>
      <c r="D754">
        <v>0</v>
      </c>
      <c r="E754">
        <v>5</v>
      </c>
      <c r="F754">
        <v>70</v>
      </c>
      <c r="G754">
        <v>4.0468332547539997E-3</v>
      </c>
      <c r="H754">
        <v>11</v>
      </c>
      <c r="I754">
        <v>0</v>
      </c>
      <c r="J754">
        <v>0.56717978256370138</v>
      </c>
      <c r="K754">
        <v>-0.21613344277630331</v>
      </c>
      <c r="L754">
        <v>57401336.173095226</v>
      </c>
      <c r="M754" t="s">
        <v>674</v>
      </c>
      <c r="N754" t="s">
        <v>121</v>
      </c>
      <c r="O754" t="s">
        <v>706</v>
      </c>
      <c r="P754">
        <v>596</v>
      </c>
      <c r="Q754">
        <v>247</v>
      </c>
      <c r="R754">
        <v>349</v>
      </c>
    </row>
    <row r="755" spans="1:18" x14ac:dyDescent="0.3">
      <c r="A755" t="s">
        <v>1775</v>
      </c>
      <c r="B755">
        <v>2022</v>
      </c>
      <c r="C755">
        <v>0.77767598731054266</v>
      </c>
      <c r="D755">
        <v>0</v>
      </c>
      <c r="E755">
        <v>6</v>
      </c>
      <c r="F755">
        <v>109</v>
      </c>
      <c r="G755">
        <v>1.1748034463464E-3</v>
      </c>
      <c r="H755">
        <v>1</v>
      </c>
      <c r="I755">
        <v>0</v>
      </c>
      <c r="J755">
        <v>0.5295674168120692</v>
      </c>
      <c r="K755">
        <v>-0.2036385802543271</v>
      </c>
      <c r="L755">
        <v>95034498.100122258</v>
      </c>
      <c r="M755" t="s">
        <v>674</v>
      </c>
      <c r="N755" t="s">
        <v>121</v>
      </c>
      <c r="O755" t="s">
        <v>707</v>
      </c>
      <c r="P755">
        <v>1606</v>
      </c>
      <c r="Q755">
        <v>620</v>
      </c>
      <c r="R755">
        <v>986</v>
      </c>
    </row>
    <row r="756" spans="1:18" x14ac:dyDescent="0.3">
      <c r="A756" t="s">
        <v>1776</v>
      </c>
      <c r="B756">
        <v>2022</v>
      </c>
      <c r="C756">
        <v>0.70122442426459553</v>
      </c>
      <c r="D756">
        <v>0</v>
      </c>
      <c r="E756">
        <v>3</v>
      </c>
      <c r="F756">
        <v>54</v>
      </c>
      <c r="G756">
        <v>2.2963786923742E-3</v>
      </c>
      <c r="H756">
        <v>5</v>
      </c>
      <c r="I756">
        <v>2</v>
      </c>
      <c r="J756">
        <v>0.53968402344484845</v>
      </c>
      <c r="K756">
        <v>-0.19537765502149509</v>
      </c>
      <c r="L756">
        <v>126796381.4109447</v>
      </c>
      <c r="M756" t="s">
        <v>674</v>
      </c>
      <c r="N756" t="s">
        <v>121</v>
      </c>
      <c r="O756" t="s">
        <v>708</v>
      </c>
      <c r="P756">
        <v>1157</v>
      </c>
      <c r="Q756">
        <v>150</v>
      </c>
      <c r="R756">
        <v>1007</v>
      </c>
    </row>
    <row r="757" spans="1:18" x14ac:dyDescent="0.3">
      <c r="A757" t="s">
        <v>1777</v>
      </c>
      <c r="B757">
        <v>2022</v>
      </c>
      <c r="C757">
        <v>0.67275851337925408</v>
      </c>
      <c r="D757">
        <v>0</v>
      </c>
      <c r="E757">
        <v>68</v>
      </c>
      <c r="F757">
        <v>64</v>
      </c>
      <c r="G757">
        <v>1.33420513183E-3</v>
      </c>
      <c r="H757">
        <v>6</v>
      </c>
      <c r="I757">
        <v>1</v>
      </c>
      <c r="J757">
        <v>0.45227916300562349</v>
      </c>
      <c r="K757">
        <v>-0.18368017842344261</v>
      </c>
      <c r="L757">
        <v>196076772.22706029</v>
      </c>
      <c r="M757" t="s">
        <v>674</v>
      </c>
      <c r="N757" t="s">
        <v>709</v>
      </c>
      <c r="O757" t="s">
        <v>111</v>
      </c>
      <c r="P757">
        <v>2419</v>
      </c>
      <c r="Q757">
        <v>141</v>
      </c>
      <c r="R757">
        <v>2278</v>
      </c>
    </row>
    <row r="758" spans="1:18" x14ac:dyDescent="0.3">
      <c r="A758" t="s">
        <v>1778</v>
      </c>
      <c r="B758">
        <v>2022</v>
      </c>
      <c r="C758">
        <v>0.88304103395439026</v>
      </c>
      <c r="D758">
        <v>0</v>
      </c>
      <c r="E758">
        <v>42</v>
      </c>
      <c r="F758">
        <v>123</v>
      </c>
      <c r="G758">
        <v>9.8317551652939996E-4</v>
      </c>
      <c r="H758">
        <v>3</v>
      </c>
      <c r="I758">
        <v>2</v>
      </c>
      <c r="J758">
        <v>0.57802234551821052</v>
      </c>
      <c r="K758">
        <v>-0.23203173958967921</v>
      </c>
      <c r="L758">
        <v>223000012.51833591</v>
      </c>
      <c r="M758" t="s">
        <v>674</v>
      </c>
      <c r="N758" t="s">
        <v>709</v>
      </c>
      <c r="O758" t="s">
        <v>710</v>
      </c>
      <c r="P758">
        <v>3398</v>
      </c>
      <c r="Q758">
        <v>1209</v>
      </c>
      <c r="R758">
        <v>2189</v>
      </c>
    </row>
    <row r="759" spans="1:18" x14ac:dyDescent="0.3">
      <c r="A759" t="s">
        <v>1779</v>
      </c>
      <c r="B759">
        <v>2022</v>
      </c>
      <c r="C759">
        <v>1.37558701130159</v>
      </c>
      <c r="D759">
        <v>0</v>
      </c>
      <c r="E759">
        <v>4</v>
      </c>
      <c r="F759">
        <v>89</v>
      </c>
      <c r="G759">
        <v>3.2713049662201998E-3</v>
      </c>
      <c r="H759">
        <v>10</v>
      </c>
      <c r="I759">
        <v>0</v>
      </c>
      <c r="J759">
        <v>0.52847825020191541</v>
      </c>
      <c r="K759">
        <v>-0.23165103710338381</v>
      </c>
      <c r="L759">
        <v>58317488.118660897</v>
      </c>
      <c r="M759" t="s">
        <v>674</v>
      </c>
      <c r="N759" t="s">
        <v>709</v>
      </c>
      <c r="O759" t="s">
        <v>711</v>
      </c>
      <c r="P759">
        <v>1378</v>
      </c>
      <c r="Q759">
        <v>961</v>
      </c>
      <c r="R759">
        <v>417</v>
      </c>
    </row>
    <row r="760" spans="1:18" x14ac:dyDescent="0.3">
      <c r="A760" t="s">
        <v>1780</v>
      </c>
      <c r="B760">
        <v>2022</v>
      </c>
      <c r="C760">
        <v>0.6197797150576978</v>
      </c>
      <c r="D760">
        <v>0</v>
      </c>
      <c r="E760">
        <v>70</v>
      </c>
      <c r="F760">
        <v>209</v>
      </c>
      <c r="G760">
        <v>1.0052941982216001E-3</v>
      </c>
      <c r="H760">
        <v>5</v>
      </c>
      <c r="I760">
        <v>27</v>
      </c>
      <c r="J760">
        <v>0.61828620149027269</v>
      </c>
      <c r="K760">
        <v>-0.26756282949049631</v>
      </c>
      <c r="L760">
        <v>471400371.4161101</v>
      </c>
      <c r="M760" t="s">
        <v>674</v>
      </c>
      <c r="N760" t="s">
        <v>712</v>
      </c>
      <c r="O760" t="s">
        <v>713</v>
      </c>
      <c r="P760">
        <v>6741</v>
      </c>
      <c r="Q760">
        <v>358</v>
      </c>
      <c r="R760">
        <v>6383</v>
      </c>
    </row>
    <row r="761" spans="1:18" x14ac:dyDescent="0.3">
      <c r="A761" t="s">
        <v>1781</v>
      </c>
      <c r="B761">
        <v>2022</v>
      </c>
      <c r="C761">
        <v>0.4355579539818647</v>
      </c>
      <c r="D761">
        <v>0</v>
      </c>
      <c r="E761">
        <v>761</v>
      </c>
      <c r="F761">
        <v>105</v>
      </c>
      <c r="G761">
        <v>1.1812812358019001E-3</v>
      </c>
      <c r="H761">
        <v>13</v>
      </c>
      <c r="I761">
        <v>0</v>
      </c>
      <c r="J761">
        <v>0.58960662202093617</v>
      </c>
      <c r="K761">
        <v>-0.2226259547502705</v>
      </c>
      <c r="L761">
        <v>1252865881.8658309</v>
      </c>
      <c r="M761" t="s">
        <v>674</v>
      </c>
      <c r="N761" t="s">
        <v>719</v>
      </c>
      <c r="O761" t="s">
        <v>720</v>
      </c>
      <c r="P761">
        <v>2069</v>
      </c>
      <c r="Q761">
        <v>0</v>
      </c>
      <c r="R761">
        <v>2069</v>
      </c>
    </row>
    <row r="762" spans="1:18" x14ac:dyDescent="0.3">
      <c r="A762" t="s">
        <v>1782</v>
      </c>
      <c r="B762">
        <v>2022</v>
      </c>
      <c r="C762">
        <v>0.46886882500630539</v>
      </c>
      <c r="D762">
        <v>0</v>
      </c>
      <c r="E762">
        <v>314</v>
      </c>
      <c r="F762">
        <v>100</v>
      </c>
      <c r="G762">
        <v>1.3620308535452999E-3</v>
      </c>
      <c r="H762">
        <v>10</v>
      </c>
      <c r="I762">
        <v>3</v>
      </c>
      <c r="J762">
        <v>0.62896813377763161</v>
      </c>
      <c r="K762">
        <v>-0.25134108592756338</v>
      </c>
      <c r="L762">
        <v>1268687972.1922519</v>
      </c>
      <c r="M762" t="s">
        <v>674</v>
      </c>
      <c r="N762" t="s">
        <v>719</v>
      </c>
      <c r="O762" t="s">
        <v>721</v>
      </c>
      <c r="P762">
        <v>7360</v>
      </c>
      <c r="Q762">
        <v>12</v>
      </c>
      <c r="R762">
        <v>7348</v>
      </c>
    </row>
    <row r="763" spans="1:18" x14ac:dyDescent="0.3">
      <c r="A763" t="s">
        <v>1783</v>
      </c>
      <c r="B763">
        <v>2022</v>
      </c>
      <c r="C763">
        <v>0.51116995489401806</v>
      </c>
      <c r="D763">
        <v>0</v>
      </c>
      <c r="E763">
        <v>99</v>
      </c>
      <c r="F763">
        <v>94</v>
      </c>
      <c r="G763">
        <v>2.8545999218512002E-3</v>
      </c>
      <c r="H763">
        <v>4</v>
      </c>
      <c r="I763">
        <v>2</v>
      </c>
      <c r="J763">
        <v>0.6401446336727491</v>
      </c>
      <c r="K763">
        <v>-0.27446266753285148</v>
      </c>
      <c r="L763">
        <v>959002617.52584577</v>
      </c>
      <c r="M763" t="s">
        <v>674</v>
      </c>
      <c r="N763" t="s">
        <v>719</v>
      </c>
      <c r="O763" t="s">
        <v>722</v>
      </c>
      <c r="P763">
        <v>5224</v>
      </c>
      <c r="Q763">
        <v>26</v>
      </c>
      <c r="R763">
        <v>5198</v>
      </c>
    </row>
    <row r="764" spans="1:18" x14ac:dyDescent="0.3">
      <c r="A764" t="s">
        <v>1784</v>
      </c>
      <c r="B764">
        <v>2022</v>
      </c>
      <c r="C764">
        <v>0.46262186537677658</v>
      </c>
      <c r="D764">
        <v>0</v>
      </c>
      <c r="E764">
        <v>942</v>
      </c>
      <c r="F764">
        <v>52</v>
      </c>
      <c r="G764">
        <v>4.6400762752263998E-3</v>
      </c>
      <c r="H764">
        <v>13</v>
      </c>
      <c r="I764">
        <v>0</v>
      </c>
      <c r="J764">
        <v>0.63719791700788442</v>
      </c>
      <c r="K764">
        <v>-0.26377389558658509</v>
      </c>
      <c r="L764">
        <v>1328664074.015554</v>
      </c>
      <c r="M764" t="s">
        <v>674</v>
      </c>
      <c r="N764" t="s">
        <v>719</v>
      </c>
      <c r="O764" t="s">
        <v>723</v>
      </c>
      <c r="P764">
        <v>4225</v>
      </c>
      <c r="Q764">
        <v>0</v>
      </c>
      <c r="R764">
        <v>4225</v>
      </c>
    </row>
    <row r="765" spans="1:18" x14ac:dyDescent="0.3">
      <c r="A765" t="s">
        <v>1785</v>
      </c>
      <c r="B765">
        <v>2022</v>
      </c>
      <c r="C765">
        <v>1.518821865784405</v>
      </c>
      <c r="D765">
        <v>0</v>
      </c>
      <c r="E765">
        <v>7</v>
      </c>
      <c r="F765">
        <v>69</v>
      </c>
      <c r="G765">
        <v>2.7600578795569002E-3</v>
      </c>
      <c r="H765">
        <v>4</v>
      </c>
      <c r="I765">
        <v>0</v>
      </c>
      <c r="J765">
        <v>0.57494222936997808</v>
      </c>
      <c r="K765">
        <v>-0.2673232256902025</v>
      </c>
      <c r="L765">
        <v>54971295.141918793</v>
      </c>
      <c r="M765" t="s">
        <v>674</v>
      </c>
      <c r="N765" t="s">
        <v>724</v>
      </c>
      <c r="O765" t="s">
        <v>724</v>
      </c>
      <c r="P765">
        <v>2604</v>
      </c>
      <c r="Q765">
        <v>1194</v>
      </c>
      <c r="R765">
        <v>1410</v>
      </c>
    </row>
    <row r="766" spans="1:18" x14ac:dyDescent="0.3">
      <c r="A766" t="s">
        <v>1786</v>
      </c>
      <c r="B766">
        <v>2022</v>
      </c>
      <c r="C766">
        <v>0.66321764208877432</v>
      </c>
      <c r="D766">
        <v>0</v>
      </c>
      <c r="E766">
        <v>26</v>
      </c>
      <c r="F766">
        <v>62</v>
      </c>
      <c r="G766">
        <v>1.8728733357531E-3</v>
      </c>
      <c r="H766">
        <v>2</v>
      </c>
      <c r="I766">
        <v>0</v>
      </c>
      <c r="J766">
        <v>0.58952565993574513</v>
      </c>
      <c r="K766">
        <v>-0.22038743463563121</v>
      </c>
      <c r="L766">
        <v>265219065.20832491</v>
      </c>
      <c r="M766" t="s">
        <v>674</v>
      </c>
      <c r="N766" t="s">
        <v>724</v>
      </c>
      <c r="O766" t="s">
        <v>726</v>
      </c>
      <c r="P766">
        <v>2674</v>
      </c>
      <c r="Q766">
        <v>58</v>
      </c>
      <c r="R766">
        <v>2616</v>
      </c>
    </row>
    <row r="767" spans="1:18" x14ac:dyDescent="0.3">
      <c r="A767" t="s">
        <v>1787</v>
      </c>
      <c r="B767">
        <v>2022</v>
      </c>
      <c r="C767">
        <v>0.59831085046623111</v>
      </c>
      <c r="D767">
        <v>0</v>
      </c>
      <c r="E767">
        <v>89</v>
      </c>
      <c r="F767">
        <v>126</v>
      </c>
      <c r="G767">
        <v>1.1231659809952999E-3</v>
      </c>
      <c r="H767">
        <v>3</v>
      </c>
      <c r="I767">
        <v>9</v>
      </c>
      <c r="J767">
        <v>0.63649179660355482</v>
      </c>
      <c r="K767">
        <v>-0.2387237649295503</v>
      </c>
      <c r="L767">
        <v>648735609.53570533</v>
      </c>
      <c r="M767" t="s">
        <v>674</v>
      </c>
      <c r="N767" t="s">
        <v>728</v>
      </c>
      <c r="O767" t="s">
        <v>121</v>
      </c>
      <c r="P767">
        <v>5511</v>
      </c>
      <c r="Q767">
        <v>556</v>
      </c>
      <c r="R767">
        <v>4955</v>
      </c>
    </row>
    <row r="768" spans="1:18" x14ac:dyDescent="0.3">
      <c r="A768" t="s">
        <v>1788</v>
      </c>
      <c r="B768">
        <v>2022</v>
      </c>
      <c r="C768">
        <v>0.59834770048463892</v>
      </c>
      <c r="D768">
        <v>0</v>
      </c>
      <c r="E768">
        <v>1</v>
      </c>
      <c r="F768">
        <v>108</v>
      </c>
      <c r="G768">
        <v>1.2886557236211999E-3</v>
      </c>
      <c r="H768">
        <v>1</v>
      </c>
      <c r="I768">
        <v>5</v>
      </c>
      <c r="J768">
        <v>0.65024981004515447</v>
      </c>
      <c r="K768">
        <v>-0.267644493931806</v>
      </c>
      <c r="L768">
        <v>532462675.68424249</v>
      </c>
      <c r="M768" t="s">
        <v>674</v>
      </c>
      <c r="N768" t="s">
        <v>728</v>
      </c>
      <c r="O768" t="s">
        <v>729</v>
      </c>
      <c r="P768">
        <v>3758</v>
      </c>
      <c r="Q768">
        <v>57</v>
      </c>
      <c r="R768">
        <v>3701</v>
      </c>
    </row>
    <row r="769" spans="1:18" x14ac:dyDescent="0.3">
      <c r="A769" t="s">
        <v>1789</v>
      </c>
      <c r="B769">
        <v>2022</v>
      </c>
      <c r="C769">
        <v>0.64981460033519811</v>
      </c>
      <c r="D769">
        <v>0</v>
      </c>
      <c r="E769">
        <v>106</v>
      </c>
      <c r="F769">
        <v>174</v>
      </c>
      <c r="G769">
        <v>1.1359672602670001E-3</v>
      </c>
      <c r="H769">
        <v>9</v>
      </c>
      <c r="I769">
        <v>6</v>
      </c>
      <c r="J769">
        <v>0.64646461698630242</v>
      </c>
      <c r="K769">
        <v>-0.27049134820727061</v>
      </c>
      <c r="L769">
        <v>429335679.01755577</v>
      </c>
      <c r="M769" t="s">
        <v>730</v>
      </c>
      <c r="N769" t="s">
        <v>731</v>
      </c>
      <c r="O769" t="s">
        <v>732</v>
      </c>
      <c r="P769">
        <v>7465</v>
      </c>
      <c r="Q769">
        <v>692</v>
      </c>
      <c r="R769">
        <v>6773</v>
      </c>
    </row>
    <row r="770" spans="1:18" x14ac:dyDescent="0.3">
      <c r="A770" t="s">
        <v>1790</v>
      </c>
      <c r="B770">
        <v>2022</v>
      </c>
      <c r="C770">
        <v>0.72996166066307966</v>
      </c>
      <c r="D770">
        <v>0</v>
      </c>
      <c r="E770">
        <v>93</v>
      </c>
      <c r="F770">
        <v>142</v>
      </c>
      <c r="G770">
        <v>6.7383131329790005E-4</v>
      </c>
      <c r="H770">
        <v>9</v>
      </c>
      <c r="I770">
        <v>0</v>
      </c>
      <c r="J770">
        <v>0.57814035478774661</v>
      </c>
      <c r="K770">
        <v>-0.2339673256724257</v>
      </c>
      <c r="L770">
        <v>963305715.7413044</v>
      </c>
      <c r="M770" t="s">
        <v>730</v>
      </c>
      <c r="N770" t="s">
        <v>731</v>
      </c>
      <c r="O770" t="s">
        <v>733</v>
      </c>
      <c r="P770">
        <v>8718</v>
      </c>
      <c r="Q770">
        <v>225</v>
      </c>
      <c r="R770">
        <v>8493</v>
      </c>
    </row>
    <row r="771" spans="1:18" x14ac:dyDescent="0.3">
      <c r="A771" t="s">
        <v>1791</v>
      </c>
      <c r="B771">
        <v>2022</v>
      </c>
      <c r="C771">
        <v>0.55906790147619689</v>
      </c>
      <c r="D771">
        <v>0</v>
      </c>
      <c r="E771">
        <v>2</v>
      </c>
      <c r="F771">
        <v>96</v>
      </c>
      <c r="G771">
        <v>1.3394434454282E-3</v>
      </c>
      <c r="H771">
        <v>5</v>
      </c>
      <c r="I771">
        <v>2</v>
      </c>
      <c r="J771">
        <v>0.52684517316310886</v>
      </c>
      <c r="K771">
        <v>-0.2399149020778851</v>
      </c>
      <c r="L771">
        <v>793394049.87602115</v>
      </c>
      <c r="M771" t="s">
        <v>730</v>
      </c>
      <c r="N771" t="s">
        <v>731</v>
      </c>
      <c r="O771" t="s">
        <v>734</v>
      </c>
      <c r="P771">
        <v>2179</v>
      </c>
      <c r="Q771">
        <v>628</v>
      </c>
      <c r="R771">
        <v>1551</v>
      </c>
    </row>
    <row r="772" spans="1:18" x14ac:dyDescent="0.3">
      <c r="A772" t="s">
        <v>1792</v>
      </c>
      <c r="B772">
        <v>2022</v>
      </c>
      <c r="C772">
        <v>0.54485172702069684</v>
      </c>
      <c r="D772">
        <v>0</v>
      </c>
      <c r="E772">
        <v>12</v>
      </c>
      <c r="F772">
        <v>105</v>
      </c>
      <c r="G772">
        <v>1.1573039615152001E-3</v>
      </c>
      <c r="H772">
        <v>5</v>
      </c>
      <c r="I772">
        <v>0</v>
      </c>
      <c r="J772">
        <v>0.50585025014384366</v>
      </c>
      <c r="K772">
        <v>-0.2325037715091135</v>
      </c>
      <c r="L772">
        <v>918943832.23936045</v>
      </c>
      <c r="M772" t="s">
        <v>730</v>
      </c>
      <c r="N772" t="s">
        <v>731</v>
      </c>
      <c r="O772" t="s">
        <v>737</v>
      </c>
      <c r="P772">
        <v>3527</v>
      </c>
      <c r="Q772">
        <v>663</v>
      </c>
      <c r="R772">
        <v>2864</v>
      </c>
    </row>
    <row r="773" spans="1:18" x14ac:dyDescent="0.3">
      <c r="A773" t="s">
        <v>1793</v>
      </c>
      <c r="B773">
        <v>2022</v>
      </c>
      <c r="C773">
        <v>1.0953312719169459</v>
      </c>
      <c r="D773">
        <v>0</v>
      </c>
      <c r="E773">
        <v>36</v>
      </c>
      <c r="F773">
        <v>155</v>
      </c>
      <c r="G773">
        <v>1.9250885029624999E-3</v>
      </c>
      <c r="H773">
        <v>6</v>
      </c>
      <c r="I773">
        <v>1</v>
      </c>
      <c r="J773">
        <v>0.61639726539829032</v>
      </c>
      <c r="K773">
        <v>-0.25566591293389468</v>
      </c>
      <c r="L773">
        <v>162386011.32969889</v>
      </c>
      <c r="M773" t="s">
        <v>730</v>
      </c>
      <c r="N773" t="s">
        <v>731</v>
      </c>
      <c r="O773" t="s">
        <v>738</v>
      </c>
      <c r="P773">
        <v>7280</v>
      </c>
      <c r="Q773">
        <v>2285</v>
      </c>
      <c r="R773">
        <v>4995</v>
      </c>
    </row>
    <row r="774" spans="1:18" x14ac:dyDescent="0.3">
      <c r="A774" t="s">
        <v>1794</v>
      </c>
      <c r="B774">
        <v>2022</v>
      </c>
      <c r="C774">
        <v>0.57709660649718586</v>
      </c>
      <c r="D774">
        <v>0</v>
      </c>
      <c r="E774">
        <v>168</v>
      </c>
      <c r="F774">
        <v>194</v>
      </c>
      <c r="G774">
        <v>4.7729328445770002E-4</v>
      </c>
      <c r="H774">
        <v>14</v>
      </c>
      <c r="I774">
        <v>1</v>
      </c>
      <c r="J774">
        <v>0.59130459298515392</v>
      </c>
      <c r="K774">
        <v>-0.26653416366965149</v>
      </c>
      <c r="L774">
        <v>1531555252.4703519</v>
      </c>
      <c r="M774" t="s">
        <v>730</v>
      </c>
      <c r="N774" t="s">
        <v>739</v>
      </c>
      <c r="O774" t="s">
        <v>740</v>
      </c>
      <c r="P774">
        <v>6879</v>
      </c>
      <c r="Q774">
        <v>674</v>
      </c>
      <c r="R774">
        <v>6205</v>
      </c>
    </row>
    <row r="775" spans="1:18" x14ac:dyDescent="0.3">
      <c r="A775" t="s">
        <v>1795</v>
      </c>
      <c r="B775">
        <v>2022</v>
      </c>
      <c r="C775">
        <v>0.58994539306499361</v>
      </c>
      <c r="D775">
        <v>0</v>
      </c>
      <c r="E775">
        <v>135</v>
      </c>
      <c r="F775">
        <v>41</v>
      </c>
      <c r="G775">
        <v>1.1279357713649999E-3</v>
      </c>
      <c r="H775">
        <v>1</v>
      </c>
      <c r="I775">
        <v>0</v>
      </c>
      <c r="J775">
        <v>0.60546656516932795</v>
      </c>
      <c r="K775">
        <v>-0.23820735820348099</v>
      </c>
      <c r="L775">
        <v>392965897.0310505</v>
      </c>
      <c r="M775" t="s">
        <v>730</v>
      </c>
      <c r="N775" t="s">
        <v>739</v>
      </c>
      <c r="O775" t="s">
        <v>742</v>
      </c>
      <c r="P775">
        <v>2633</v>
      </c>
      <c r="Q775">
        <v>152</v>
      </c>
      <c r="R775">
        <v>2481</v>
      </c>
    </row>
    <row r="776" spans="1:18" x14ac:dyDescent="0.3">
      <c r="A776" t="s">
        <v>1796</v>
      </c>
      <c r="B776">
        <v>2022</v>
      </c>
      <c r="C776">
        <v>0.55456740876849153</v>
      </c>
      <c r="D776">
        <v>0</v>
      </c>
      <c r="E776">
        <v>25</v>
      </c>
      <c r="F776">
        <v>58</v>
      </c>
      <c r="G776">
        <v>2.6549631556132998E-3</v>
      </c>
      <c r="H776">
        <v>3</v>
      </c>
      <c r="I776">
        <v>0</v>
      </c>
      <c r="J776">
        <v>0.4964577177229848</v>
      </c>
      <c r="K776">
        <v>-0.24487730437171359</v>
      </c>
      <c r="L776">
        <v>818879900.57068932</v>
      </c>
      <c r="M776" t="s">
        <v>730</v>
      </c>
      <c r="N776" t="s">
        <v>743</v>
      </c>
      <c r="O776" t="s">
        <v>746</v>
      </c>
      <c r="P776">
        <v>697</v>
      </c>
      <c r="Q776">
        <v>450</v>
      </c>
      <c r="R776">
        <v>247</v>
      </c>
    </row>
    <row r="777" spans="1:18" x14ac:dyDescent="0.3">
      <c r="A777" t="s">
        <v>1797</v>
      </c>
      <c r="B777">
        <v>2022</v>
      </c>
      <c r="C777">
        <v>0.60631659728456477</v>
      </c>
      <c r="D777">
        <v>0</v>
      </c>
      <c r="E777">
        <v>8</v>
      </c>
      <c r="F777">
        <v>45</v>
      </c>
      <c r="G777">
        <v>2.4690613647667999E-3</v>
      </c>
      <c r="H777">
        <v>1</v>
      </c>
      <c r="I777">
        <v>0</v>
      </c>
      <c r="J777">
        <v>0.55938463528628801</v>
      </c>
      <c r="K777">
        <v>-0.25637659429308018</v>
      </c>
      <c r="L777">
        <v>127024934.05733819</v>
      </c>
      <c r="M777" t="s">
        <v>730</v>
      </c>
      <c r="N777" t="s">
        <v>743</v>
      </c>
      <c r="O777" t="s">
        <v>747</v>
      </c>
      <c r="P777">
        <v>585</v>
      </c>
      <c r="Q777">
        <v>291</v>
      </c>
      <c r="R777">
        <v>294</v>
      </c>
    </row>
    <row r="778" spans="1:18" x14ac:dyDescent="0.3">
      <c r="A778" t="s">
        <v>1798</v>
      </c>
      <c r="B778">
        <v>2022</v>
      </c>
      <c r="C778">
        <v>0.51059774094061094</v>
      </c>
      <c r="D778">
        <v>0</v>
      </c>
      <c r="E778">
        <v>28</v>
      </c>
      <c r="F778">
        <v>54</v>
      </c>
      <c r="G778">
        <v>1.6934776670835001E-3</v>
      </c>
      <c r="H778">
        <v>15</v>
      </c>
      <c r="I778">
        <v>1</v>
      </c>
      <c r="J778">
        <v>0.48870707676280639</v>
      </c>
      <c r="K778">
        <v>-0.22531593904936589</v>
      </c>
      <c r="L778">
        <v>480777489.04022533</v>
      </c>
      <c r="M778" t="s">
        <v>730</v>
      </c>
      <c r="N778" t="s">
        <v>748</v>
      </c>
      <c r="O778" t="s">
        <v>750</v>
      </c>
      <c r="P778">
        <v>471</v>
      </c>
      <c r="Q778">
        <v>137</v>
      </c>
      <c r="R778">
        <v>334</v>
      </c>
    </row>
    <row r="779" spans="1:18" x14ac:dyDescent="0.3">
      <c r="A779" t="s">
        <v>1799</v>
      </c>
      <c r="B779">
        <v>2022</v>
      </c>
      <c r="C779">
        <v>0.98314130481007644</v>
      </c>
      <c r="D779">
        <v>0</v>
      </c>
      <c r="E779">
        <v>149</v>
      </c>
      <c r="F779">
        <v>184</v>
      </c>
      <c r="G779">
        <v>4.10314067957E-4</v>
      </c>
      <c r="H779">
        <v>6</v>
      </c>
      <c r="I779">
        <v>0</v>
      </c>
      <c r="J779">
        <v>0.44082964371240418</v>
      </c>
      <c r="K779">
        <v>-0.28736407298795752</v>
      </c>
      <c r="L779">
        <v>315333821.58113861</v>
      </c>
      <c r="M779" t="s">
        <v>730</v>
      </c>
      <c r="N779" t="s">
        <v>748</v>
      </c>
      <c r="O779" t="s">
        <v>752</v>
      </c>
      <c r="P779">
        <v>635</v>
      </c>
      <c r="Q779">
        <v>424</v>
      </c>
      <c r="R779">
        <v>211</v>
      </c>
    </row>
    <row r="780" spans="1:18" x14ac:dyDescent="0.3">
      <c r="A780" t="s">
        <v>1800</v>
      </c>
      <c r="B780">
        <v>2022</v>
      </c>
      <c r="C780">
        <v>0.53045600996637765</v>
      </c>
      <c r="D780">
        <v>0</v>
      </c>
      <c r="E780">
        <v>2</v>
      </c>
      <c r="F780">
        <v>29</v>
      </c>
      <c r="G780">
        <v>3.3276751651231998E-3</v>
      </c>
      <c r="H780">
        <v>4</v>
      </c>
      <c r="I780">
        <v>0</v>
      </c>
      <c r="J780">
        <v>0.59797183968199441</v>
      </c>
      <c r="K780">
        <v>-0.2439959576339652</v>
      </c>
      <c r="L780">
        <v>285719813.62933612</v>
      </c>
      <c r="M780" t="s">
        <v>730</v>
      </c>
      <c r="N780" t="s">
        <v>748</v>
      </c>
      <c r="O780" t="s">
        <v>754</v>
      </c>
      <c r="P780">
        <v>132</v>
      </c>
      <c r="Q780">
        <v>67</v>
      </c>
      <c r="R780">
        <v>65</v>
      </c>
    </row>
    <row r="781" spans="1:18" x14ac:dyDescent="0.3">
      <c r="A781" t="s">
        <v>1801</v>
      </c>
      <c r="B781">
        <v>2022</v>
      </c>
      <c r="C781">
        <v>0.53720274934939893</v>
      </c>
      <c r="D781">
        <v>0</v>
      </c>
      <c r="E781">
        <v>22</v>
      </c>
      <c r="F781">
        <v>50</v>
      </c>
      <c r="G781">
        <v>3.2462855496562999E-3</v>
      </c>
      <c r="H781">
        <v>6</v>
      </c>
      <c r="I781">
        <v>2</v>
      </c>
      <c r="J781">
        <v>0.6908520161632945</v>
      </c>
      <c r="K781">
        <v>-0.27409857375806479</v>
      </c>
      <c r="L781">
        <v>453452020.2999844</v>
      </c>
      <c r="M781" t="s">
        <v>756</v>
      </c>
      <c r="N781" t="s">
        <v>756</v>
      </c>
      <c r="O781" t="s">
        <v>758</v>
      </c>
      <c r="P781">
        <v>2689</v>
      </c>
      <c r="Q781">
        <v>34</v>
      </c>
      <c r="R781">
        <v>2655</v>
      </c>
    </row>
    <row r="782" spans="1:18" x14ac:dyDescent="0.3">
      <c r="A782" t="s">
        <v>1802</v>
      </c>
      <c r="B782">
        <v>2022</v>
      </c>
      <c r="C782">
        <v>0.86254533176971748</v>
      </c>
      <c r="D782">
        <v>0</v>
      </c>
      <c r="E782">
        <v>10</v>
      </c>
      <c r="F782">
        <v>77</v>
      </c>
      <c r="G782">
        <v>1.3782249766026999E-3</v>
      </c>
      <c r="H782">
        <v>1</v>
      </c>
      <c r="I782">
        <v>4</v>
      </c>
      <c r="J782">
        <v>0.6117326129223406</v>
      </c>
      <c r="K782">
        <v>-0.2761817930655957</v>
      </c>
      <c r="L782">
        <v>94631515.101365402</v>
      </c>
      <c r="M782" t="s">
        <v>756</v>
      </c>
      <c r="N782" t="s">
        <v>756</v>
      </c>
      <c r="O782" t="s">
        <v>667</v>
      </c>
      <c r="P782">
        <v>1402</v>
      </c>
      <c r="Q782">
        <v>376</v>
      </c>
      <c r="R782">
        <v>1026</v>
      </c>
    </row>
    <row r="783" spans="1:18" x14ac:dyDescent="0.3">
      <c r="A783" t="s">
        <v>1803</v>
      </c>
      <c r="B783">
        <v>2022</v>
      </c>
      <c r="C783">
        <v>1.2802278100879469</v>
      </c>
      <c r="D783">
        <v>0</v>
      </c>
      <c r="E783">
        <v>10</v>
      </c>
      <c r="F783">
        <v>74</v>
      </c>
      <c r="G783">
        <v>1.8365012980725E-3</v>
      </c>
      <c r="H783">
        <v>3</v>
      </c>
      <c r="I783">
        <v>2</v>
      </c>
      <c r="J783">
        <v>0.68082413830850541</v>
      </c>
      <c r="K783">
        <v>-0.3266627836076304</v>
      </c>
      <c r="L783">
        <v>71076966.075193718</v>
      </c>
      <c r="M783" t="s">
        <v>756</v>
      </c>
      <c r="N783" t="s">
        <v>756</v>
      </c>
      <c r="O783" t="s">
        <v>759</v>
      </c>
      <c r="P783">
        <v>1642</v>
      </c>
      <c r="Q783">
        <v>789</v>
      </c>
      <c r="R783">
        <v>853</v>
      </c>
    </row>
    <row r="784" spans="1:18" x14ac:dyDescent="0.3">
      <c r="A784" t="s">
        <v>1804</v>
      </c>
      <c r="B784">
        <v>2022</v>
      </c>
      <c r="C784">
        <v>0.76954743750627264</v>
      </c>
      <c r="D784">
        <v>0</v>
      </c>
      <c r="E784">
        <v>13</v>
      </c>
      <c r="F784">
        <v>27</v>
      </c>
      <c r="G784">
        <v>4.8543689320387998E-3</v>
      </c>
      <c r="H784">
        <v>3</v>
      </c>
      <c r="I784">
        <v>0</v>
      </c>
      <c r="J784">
        <v>0.67854333891946106</v>
      </c>
      <c r="K784">
        <v>-0.27996126059957938</v>
      </c>
      <c r="L784">
        <v>55175775.681451783</v>
      </c>
      <c r="M784" t="s">
        <v>756</v>
      </c>
      <c r="N784" t="s">
        <v>756</v>
      </c>
      <c r="O784" t="s">
        <v>760</v>
      </c>
      <c r="P784">
        <v>284</v>
      </c>
      <c r="Q784">
        <v>33</v>
      </c>
      <c r="R784">
        <v>251</v>
      </c>
    </row>
    <row r="785" spans="1:18" x14ac:dyDescent="0.3">
      <c r="A785" t="s">
        <v>1805</v>
      </c>
      <c r="B785">
        <v>2022</v>
      </c>
      <c r="C785">
        <v>0.4895999445933904</v>
      </c>
      <c r="D785">
        <v>0</v>
      </c>
      <c r="E785">
        <v>26</v>
      </c>
      <c r="F785">
        <v>0</v>
      </c>
      <c r="G785">
        <v>0</v>
      </c>
      <c r="H785">
        <v>0</v>
      </c>
      <c r="I785">
        <v>0</v>
      </c>
      <c r="J785">
        <v>0.61074068359175504</v>
      </c>
      <c r="K785">
        <v>-0.2405848138961155</v>
      </c>
      <c r="L785">
        <v>1098255302.585052</v>
      </c>
      <c r="M785" t="s">
        <v>756</v>
      </c>
      <c r="N785" t="s">
        <v>756</v>
      </c>
      <c r="O785" t="s">
        <v>761</v>
      </c>
      <c r="P785">
        <v>457</v>
      </c>
      <c r="Q785">
        <v>0</v>
      </c>
      <c r="R785">
        <v>457</v>
      </c>
    </row>
    <row r="786" spans="1:18" x14ac:dyDescent="0.3">
      <c r="A786" t="s">
        <v>1806</v>
      </c>
      <c r="B786">
        <v>2022</v>
      </c>
      <c r="C786">
        <v>0.45139074369233928</v>
      </c>
      <c r="D786">
        <v>0</v>
      </c>
      <c r="E786">
        <v>89</v>
      </c>
      <c r="F786">
        <v>3</v>
      </c>
      <c r="G786">
        <v>0.2</v>
      </c>
      <c r="H786">
        <v>3</v>
      </c>
      <c r="I786">
        <v>20</v>
      </c>
      <c r="J786">
        <v>0.6152507546406164</v>
      </c>
      <c r="K786">
        <v>-0.24604967998387939</v>
      </c>
      <c r="L786">
        <v>2855782275.3515348</v>
      </c>
      <c r="M786" t="s">
        <v>756</v>
      </c>
      <c r="N786" t="s">
        <v>756</v>
      </c>
      <c r="O786" t="s">
        <v>763</v>
      </c>
      <c r="P786">
        <v>4072</v>
      </c>
      <c r="Q786">
        <v>20</v>
      </c>
      <c r="R786">
        <v>4052</v>
      </c>
    </row>
    <row r="787" spans="1:18" x14ac:dyDescent="0.3">
      <c r="A787" t="s">
        <v>1807</v>
      </c>
      <c r="B787">
        <v>2022</v>
      </c>
      <c r="C787">
        <v>0.50301813537065609</v>
      </c>
      <c r="D787">
        <v>0</v>
      </c>
      <c r="E787">
        <v>26</v>
      </c>
      <c r="F787">
        <v>56</v>
      </c>
      <c r="G787">
        <v>1.8015787226410001E-3</v>
      </c>
      <c r="H787">
        <v>1</v>
      </c>
      <c r="I787">
        <v>6</v>
      </c>
      <c r="J787">
        <v>0.65453235224428419</v>
      </c>
      <c r="K787">
        <v>-0.25652102547077699</v>
      </c>
      <c r="L787">
        <v>1026353122.979234</v>
      </c>
      <c r="M787" t="s">
        <v>756</v>
      </c>
      <c r="N787" t="s">
        <v>756</v>
      </c>
      <c r="O787" t="s">
        <v>54</v>
      </c>
      <c r="P787">
        <v>7679</v>
      </c>
      <c r="Q787">
        <v>270</v>
      </c>
      <c r="R787">
        <v>7409</v>
      </c>
    </row>
    <row r="788" spans="1:18" x14ac:dyDescent="0.3">
      <c r="A788" t="s">
        <v>1808</v>
      </c>
      <c r="B788">
        <v>2022</v>
      </c>
      <c r="C788">
        <v>0.71943905611527459</v>
      </c>
      <c r="D788">
        <v>0</v>
      </c>
      <c r="E788">
        <v>1</v>
      </c>
      <c r="F788">
        <v>46</v>
      </c>
      <c r="G788">
        <v>1.4133876074173999E-3</v>
      </c>
      <c r="H788">
        <v>10</v>
      </c>
      <c r="I788">
        <v>1</v>
      </c>
      <c r="J788">
        <v>0.68451661798684216</v>
      </c>
      <c r="K788">
        <v>-0.30790982292295688</v>
      </c>
      <c r="L788">
        <v>104862768.75322931</v>
      </c>
      <c r="M788" t="s">
        <v>756</v>
      </c>
      <c r="N788" t="s">
        <v>756</v>
      </c>
      <c r="O788" t="s">
        <v>764</v>
      </c>
      <c r="P788">
        <v>1187</v>
      </c>
      <c r="Q788">
        <v>274</v>
      </c>
      <c r="R788">
        <v>913</v>
      </c>
    </row>
    <row r="789" spans="1:18" x14ac:dyDescent="0.3">
      <c r="A789" t="s">
        <v>1809</v>
      </c>
      <c r="B789">
        <v>2022</v>
      </c>
      <c r="C789">
        <v>1.110112814751981</v>
      </c>
      <c r="D789">
        <v>0</v>
      </c>
      <c r="E789">
        <v>1</v>
      </c>
      <c r="F789">
        <v>102</v>
      </c>
      <c r="G789">
        <v>9.7841089489029997E-4</v>
      </c>
      <c r="H789">
        <v>3</v>
      </c>
      <c r="I789">
        <v>1</v>
      </c>
      <c r="J789">
        <v>0.70403676142578087</v>
      </c>
      <c r="K789">
        <v>-0.31635250370195178</v>
      </c>
      <c r="L789">
        <v>170026379.63544369</v>
      </c>
      <c r="M789" t="s">
        <v>756</v>
      </c>
      <c r="N789" t="s">
        <v>756</v>
      </c>
      <c r="O789" t="s">
        <v>765</v>
      </c>
      <c r="P789">
        <v>2354</v>
      </c>
      <c r="Q789">
        <v>995</v>
      </c>
      <c r="R789">
        <v>1359</v>
      </c>
    </row>
    <row r="790" spans="1:18" x14ac:dyDescent="0.3">
      <c r="A790" t="s">
        <v>1810</v>
      </c>
      <c r="B790">
        <v>2022</v>
      </c>
      <c r="C790">
        <v>0.65760728497566268</v>
      </c>
      <c r="D790">
        <v>0</v>
      </c>
      <c r="E790">
        <v>3</v>
      </c>
      <c r="F790">
        <v>37</v>
      </c>
      <c r="G790">
        <v>1.640656262505E-3</v>
      </c>
      <c r="H790">
        <v>1</v>
      </c>
      <c r="I790">
        <v>2</v>
      </c>
      <c r="J790">
        <v>0.6381820064863597</v>
      </c>
      <c r="K790">
        <v>-0.25430795629741709</v>
      </c>
      <c r="L790">
        <v>237282249.60357249</v>
      </c>
      <c r="M790" t="s">
        <v>756</v>
      </c>
      <c r="N790" t="s">
        <v>756</v>
      </c>
      <c r="O790" t="s">
        <v>426</v>
      </c>
      <c r="P790">
        <v>1288</v>
      </c>
      <c r="Q790">
        <v>672</v>
      </c>
      <c r="R790">
        <v>616</v>
      </c>
    </row>
    <row r="791" spans="1:18" x14ac:dyDescent="0.3">
      <c r="A791" t="s">
        <v>1811</v>
      </c>
      <c r="B791">
        <v>2022</v>
      </c>
      <c r="C791">
        <v>0.89146730642550231</v>
      </c>
      <c r="D791">
        <v>0</v>
      </c>
      <c r="E791">
        <v>7</v>
      </c>
      <c r="F791">
        <v>88</v>
      </c>
      <c r="G791">
        <v>1.1473461160783E-3</v>
      </c>
      <c r="H791">
        <v>15</v>
      </c>
      <c r="I791">
        <v>0</v>
      </c>
      <c r="J791">
        <v>0.64928720179567934</v>
      </c>
      <c r="K791">
        <v>-0.29964368876045427</v>
      </c>
      <c r="L791">
        <v>136332825.26503551</v>
      </c>
      <c r="M791" t="s">
        <v>756</v>
      </c>
      <c r="N791" t="s">
        <v>766</v>
      </c>
      <c r="O791" t="s">
        <v>767</v>
      </c>
      <c r="P791">
        <v>3605</v>
      </c>
      <c r="Q791">
        <v>440</v>
      </c>
      <c r="R791">
        <v>3165</v>
      </c>
    </row>
    <row r="792" spans="1:18" x14ac:dyDescent="0.3">
      <c r="A792" t="s">
        <v>1812</v>
      </c>
      <c r="B792">
        <v>2022</v>
      </c>
      <c r="C792">
        <v>0.49680240377974261</v>
      </c>
      <c r="D792">
        <v>0</v>
      </c>
      <c r="E792">
        <v>117</v>
      </c>
      <c r="F792">
        <v>64</v>
      </c>
      <c r="G792">
        <v>1.4285670397325E-3</v>
      </c>
      <c r="H792">
        <v>12</v>
      </c>
      <c r="I792">
        <v>6</v>
      </c>
      <c r="J792">
        <v>0.59942544357849459</v>
      </c>
      <c r="K792">
        <v>-0.22818757241625581</v>
      </c>
      <c r="L792">
        <v>8219493298.7348366</v>
      </c>
      <c r="M792" t="s">
        <v>756</v>
      </c>
      <c r="N792" t="s">
        <v>770</v>
      </c>
      <c r="O792" t="s">
        <v>771</v>
      </c>
      <c r="P792">
        <v>3844</v>
      </c>
      <c r="Q792">
        <v>115</v>
      </c>
      <c r="R792">
        <v>3729</v>
      </c>
    </row>
    <row r="793" spans="1:18" x14ac:dyDescent="0.3">
      <c r="A793" t="s">
        <v>1813</v>
      </c>
      <c r="B793">
        <v>2022</v>
      </c>
      <c r="C793">
        <v>4.1391415044661626</v>
      </c>
      <c r="D793">
        <v>0</v>
      </c>
      <c r="E793">
        <v>7</v>
      </c>
      <c r="F793">
        <v>110</v>
      </c>
      <c r="G793">
        <v>7.1122364561650002E-4</v>
      </c>
      <c r="H793">
        <v>5</v>
      </c>
      <c r="I793">
        <v>3</v>
      </c>
      <c r="J793">
        <v>0.54923407808496916</v>
      </c>
      <c r="K793">
        <v>-0.25469258463185218</v>
      </c>
      <c r="L793">
        <v>70300295.810930669</v>
      </c>
      <c r="M793" t="s">
        <v>652</v>
      </c>
      <c r="N793" t="s">
        <v>772</v>
      </c>
      <c r="O793" t="s">
        <v>295</v>
      </c>
      <c r="P793">
        <v>1446</v>
      </c>
      <c r="Q793">
        <v>890</v>
      </c>
      <c r="R793">
        <v>556</v>
      </c>
    </row>
    <row r="794" spans="1:18" x14ac:dyDescent="0.3">
      <c r="A794" t="s">
        <v>1814</v>
      </c>
      <c r="B794">
        <v>2022</v>
      </c>
      <c r="C794">
        <v>0.81213088239744746</v>
      </c>
      <c r="D794">
        <v>0</v>
      </c>
      <c r="E794">
        <v>2</v>
      </c>
      <c r="F794">
        <v>109</v>
      </c>
      <c r="G794">
        <v>3.5285793170180001E-4</v>
      </c>
      <c r="H794">
        <v>3</v>
      </c>
      <c r="I794">
        <v>10</v>
      </c>
      <c r="L794">
        <v>120941885.94146471</v>
      </c>
      <c r="M794" t="s">
        <v>652</v>
      </c>
      <c r="N794" t="s">
        <v>772</v>
      </c>
      <c r="O794" t="s">
        <v>781</v>
      </c>
      <c r="P794">
        <v>1704</v>
      </c>
      <c r="Q794">
        <v>550</v>
      </c>
      <c r="R794">
        <v>1154</v>
      </c>
    </row>
    <row r="795" spans="1:18" x14ac:dyDescent="0.3">
      <c r="A795" t="s">
        <v>1815</v>
      </c>
      <c r="B795">
        <v>2022</v>
      </c>
      <c r="C795">
        <v>0.98806523887974362</v>
      </c>
      <c r="D795">
        <v>0</v>
      </c>
      <c r="E795">
        <v>280</v>
      </c>
      <c r="F795">
        <v>291</v>
      </c>
      <c r="G795">
        <v>1.521108761442E-4</v>
      </c>
      <c r="H795">
        <v>13</v>
      </c>
      <c r="I795">
        <v>4</v>
      </c>
      <c r="L795">
        <v>541895860.25428343</v>
      </c>
      <c r="M795" t="s">
        <v>652</v>
      </c>
      <c r="N795" t="s">
        <v>772</v>
      </c>
      <c r="O795" t="s">
        <v>786</v>
      </c>
      <c r="P795">
        <v>1959</v>
      </c>
      <c r="Q795">
        <v>1061</v>
      </c>
      <c r="R795">
        <v>898</v>
      </c>
    </row>
    <row r="796" spans="1:18" x14ac:dyDescent="0.3">
      <c r="A796" t="s">
        <v>1816</v>
      </c>
      <c r="B796">
        <v>2022</v>
      </c>
      <c r="C796">
        <v>0.80961961067062882</v>
      </c>
      <c r="D796">
        <v>0</v>
      </c>
      <c r="E796">
        <v>25</v>
      </c>
      <c r="F796">
        <v>149</v>
      </c>
      <c r="G796">
        <v>2.67522643817E-4</v>
      </c>
      <c r="H796">
        <v>8</v>
      </c>
      <c r="I796">
        <v>8</v>
      </c>
      <c r="L796">
        <v>245992331.976798</v>
      </c>
      <c r="M796" t="s">
        <v>652</v>
      </c>
      <c r="N796" t="s">
        <v>772</v>
      </c>
      <c r="O796" t="s">
        <v>787</v>
      </c>
      <c r="P796">
        <v>2958</v>
      </c>
      <c r="Q796">
        <v>1780</v>
      </c>
      <c r="R796">
        <v>1178</v>
      </c>
    </row>
    <row r="797" spans="1:18" x14ac:dyDescent="0.3">
      <c r="A797" t="s">
        <v>1817</v>
      </c>
      <c r="B797">
        <v>2022</v>
      </c>
      <c r="C797">
        <v>0.97408810260856959</v>
      </c>
      <c r="D797">
        <v>0</v>
      </c>
      <c r="E797">
        <v>17</v>
      </c>
      <c r="F797">
        <v>158</v>
      </c>
      <c r="G797">
        <v>3.813793254951E-4</v>
      </c>
      <c r="H797">
        <v>2</v>
      </c>
      <c r="I797">
        <v>8</v>
      </c>
      <c r="L797">
        <v>125280064.8017083</v>
      </c>
      <c r="M797" t="s">
        <v>652</v>
      </c>
      <c r="N797" t="s">
        <v>772</v>
      </c>
      <c r="O797" t="s">
        <v>788</v>
      </c>
      <c r="P797">
        <v>2774</v>
      </c>
      <c r="Q797">
        <v>1649</v>
      </c>
      <c r="R797">
        <v>1125</v>
      </c>
    </row>
    <row r="798" spans="1:18" x14ac:dyDescent="0.3">
      <c r="A798" t="s">
        <v>1818</v>
      </c>
      <c r="B798">
        <v>2022</v>
      </c>
      <c r="C798">
        <v>0.75307004458725468</v>
      </c>
      <c r="D798">
        <v>0</v>
      </c>
      <c r="E798">
        <v>577</v>
      </c>
      <c r="F798">
        <v>258</v>
      </c>
      <c r="G798">
        <v>1.9107297990849999E-4</v>
      </c>
      <c r="H798">
        <v>4</v>
      </c>
      <c r="I798">
        <v>8</v>
      </c>
      <c r="L798">
        <v>346530576.59557348</v>
      </c>
      <c r="M798" t="s">
        <v>652</v>
      </c>
      <c r="N798" t="s">
        <v>772</v>
      </c>
      <c r="O798" t="s">
        <v>791</v>
      </c>
      <c r="P798">
        <v>3896</v>
      </c>
      <c r="Q798">
        <v>1575</v>
      </c>
      <c r="R798">
        <v>2321</v>
      </c>
    </row>
    <row r="799" spans="1:18" x14ac:dyDescent="0.3">
      <c r="A799" t="s">
        <v>1819</v>
      </c>
      <c r="B799">
        <v>2022</v>
      </c>
      <c r="C799">
        <v>5.8537964563653144</v>
      </c>
      <c r="D799">
        <v>0</v>
      </c>
      <c r="E799">
        <v>34</v>
      </c>
      <c r="F799">
        <v>60</v>
      </c>
      <c r="G799">
        <v>1.5573510155841E-3</v>
      </c>
      <c r="H799">
        <v>2</v>
      </c>
      <c r="I799">
        <v>2</v>
      </c>
      <c r="L799">
        <v>9825844.7440294344</v>
      </c>
      <c r="M799" t="s">
        <v>652</v>
      </c>
      <c r="N799" t="s">
        <v>772</v>
      </c>
      <c r="O799" t="s">
        <v>792</v>
      </c>
      <c r="P799">
        <v>704</v>
      </c>
      <c r="Q799">
        <v>527</v>
      </c>
      <c r="R799">
        <v>177</v>
      </c>
    </row>
    <row r="800" spans="1:18" x14ac:dyDescent="0.3">
      <c r="A800" t="s">
        <v>1820</v>
      </c>
      <c r="B800">
        <v>2022</v>
      </c>
      <c r="C800">
        <v>1.001314564766143</v>
      </c>
      <c r="D800">
        <v>0</v>
      </c>
      <c r="E800">
        <v>1</v>
      </c>
      <c r="F800">
        <v>276</v>
      </c>
      <c r="G800">
        <v>1.701772244407E-4</v>
      </c>
      <c r="H800">
        <v>10</v>
      </c>
      <c r="I800">
        <v>12</v>
      </c>
      <c r="L800">
        <v>294462787.91670787</v>
      </c>
      <c r="M800" t="s">
        <v>652</v>
      </c>
      <c r="N800" t="s">
        <v>772</v>
      </c>
      <c r="O800" t="s">
        <v>798</v>
      </c>
      <c r="P800">
        <v>5581</v>
      </c>
      <c r="Q800">
        <v>3094</v>
      </c>
      <c r="R800">
        <v>2487</v>
      </c>
    </row>
    <row r="801" spans="1:18" x14ac:dyDescent="0.3">
      <c r="A801" t="s">
        <v>1821</v>
      </c>
      <c r="B801">
        <v>2022</v>
      </c>
      <c r="C801">
        <v>6.9661621836815399</v>
      </c>
      <c r="D801">
        <v>0</v>
      </c>
      <c r="E801">
        <v>6</v>
      </c>
      <c r="F801">
        <v>223</v>
      </c>
      <c r="G801">
        <v>1.0324837581209001E-3</v>
      </c>
      <c r="H801">
        <v>3</v>
      </c>
      <c r="I801">
        <v>3</v>
      </c>
      <c r="J801">
        <v>0.47100809118643072</v>
      </c>
      <c r="K801">
        <v>-0.32547547458177112</v>
      </c>
      <c r="L801">
        <v>34578032.36276263</v>
      </c>
      <c r="M801" t="s">
        <v>652</v>
      </c>
      <c r="N801" t="s">
        <v>803</v>
      </c>
      <c r="O801" t="s">
        <v>804</v>
      </c>
      <c r="P801">
        <v>7850</v>
      </c>
      <c r="Q801">
        <v>6245</v>
      </c>
      <c r="R801">
        <v>1605</v>
      </c>
    </row>
    <row r="802" spans="1:18" x14ac:dyDescent="0.3">
      <c r="A802" t="s">
        <v>1822</v>
      </c>
      <c r="B802">
        <v>2022</v>
      </c>
      <c r="C802">
        <v>0.98960998817708523</v>
      </c>
      <c r="D802">
        <v>0</v>
      </c>
      <c r="E802">
        <v>3791</v>
      </c>
      <c r="F802">
        <v>345</v>
      </c>
      <c r="G802">
        <v>2.3436037469220001E-4</v>
      </c>
      <c r="H802">
        <v>6</v>
      </c>
      <c r="I802">
        <v>4</v>
      </c>
      <c r="J802">
        <v>0.4609657130882725</v>
      </c>
      <c r="K802">
        <v>-0.26108145943233307</v>
      </c>
      <c r="L802">
        <v>399235029.82033598</v>
      </c>
      <c r="M802" t="s">
        <v>652</v>
      </c>
      <c r="N802" t="s">
        <v>803</v>
      </c>
      <c r="O802" t="s">
        <v>584</v>
      </c>
      <c r="P802">
        <v>6515</v>
      </c>
      <c r="Q802">
        <v>2870</v>
      </c>
      <c r="R802">
        <v>3645</v>
      </c>
    </row>
    <row r="803" spans="1:18" x14ac:dyDescent="0.3">
      <c r="A803" t="s">
        <v>1823</v>
      </c>
      <c r="B803">
        <v>2022</v>
      </c>
      <c r="C803">
        <v>0.81982556748750002</v>
      </c>
      <c r="D803">
        <v>0</v>
      </c>
      <c r="E803">
        <v>35</v>
      </c>
      <c r="F803">
        <v>196</v>
      </c>
      <c r="G803">
        <v>5.2336561917090002E-4</v>
      </c>
      <c r="H803">
        <v>10</v>
      </c>
      <c r="I803">
        <v>2</v>
      </c>
      <c r="L803">
        <v>142599812.30502471</v>
      </c>
      <c r="M803" t="s">
        <v>652</v>
      </c>
      <c r="N803" t="s">
        <v>809</v>
      </c>
      <c r="O803" t="s">
        <v>814</v>
      </c>
      <c r="P803">
        <v>1420</v>
      </c>
      <c r="Q803">
        <v>811</v>
      </c>
      <c r="R803">
        <v>609</v>
      </c>
    </row>
    <row r="804" spans="1:18" x14ac:dyDescent="0.3">
      <c r="A804" t="s">
        <v>1824</v>
      </c>
      <c r="B804">
        <v>2022</v>
      </c>
      <c r="C804">
        <v>0.74636794482974245</v>
      </c>
      <c r="D804">
        <v>0</v>
      </c>
      <c r="E804">
        <v>99</v>
      </c>
      <c r="F804">
        <v>235</v>
      </c>
      <c r="G804">
        <v>1.626412172917E-4</v>
      </c>
      <c r="H804">
        <v>19</v>
      </c>
      <c r="I804">
        <v>12</v>
      </c>
      <c r="L804">
        <v>493660561.22225642</v>
      </c>
      <c r="M804" t="s">
        <v>652</v>
      </c>
      <c r="N804" t="s">
        <v>809</v>
      </c>
      <c r="O804" t="s">
        <v>815</v>
      </c>
      <c r="P804">
        <v>3339</v>
      </c>
      <c r="Q804">
        <v>1279</v>
      </c>
      <c r="R804">
        <v>2060</v>
      </c>
    </row>
    <row r="805" spans="1:18" x14ac:dyDescent="0.3">
      <c r="A805" t="s">
        <v>1825</v>
      </c>
      <c r="B805">
        <v>2022</v>
      </c>
      <c r="C805">
        <v>3.4277930788521802</v>
      </c>
      <c r="D805">
        <v>0</v>
      </c>
      <c r="E805">
        <v>291</v>
      </c>
      <c r="F805">
        <v>190</v>
      </c>
      <c r="G805">
        <v>6.7929186717860003E-4</v>
      </c>
      <c r="H805">
        <v>4</v>
      </c>
      <c r="I805">
        <v>2</v>
      </c>
      <c r="J805">
        <v>0.42505060642863651</v>
      </c>
      <c r="K805">
        <v>-0.3088498887701181</v>
      </c>
      <c r="L805">
        <v>43254589.420010082</v>
      </c>
      <c r="M805" t="s">
        <v>652</v>
      </c>
      <c r="N805" t="s">
        <v>817</v>
      </c>
      <c r="O805" t="s">
        <v>821</v>
      </c>
      <c r="P805">
        <v>6290</v>
      </c>
      <c r="Q805">
        <v>1944</v>
      </c>
      <c r="R805">
        <v>4346</v>
      </c>
    </row>
    <row r="806" spans="1:18" x14ac:dyDescent="0.3">
      <c r="A806" t="s">
        <v>1826</v>
      </c>
      <c r="B806">
        <v>2022</v>
      </c>
      <c r="C806">
        <v>1.008866043220733</v>
      </c>
      <c r="D806">
        <v>0</v>
      </c>
      <c r="E806">
        <v>6</v>
      </c>
      <c r="F806">
        <v>75</v>
      </c>
      <c r="G806">
        <v>7.1402961392049997E-4</v>
      </c>
      <c r="H806">
        <v>11</v>
      </c>
      <c r="I806">
        <v>1</v>
      </c>
      <c r="L806">
        <v>42156378.943922587</v>
      </c>
      <c r="M806" t="s">
        <v>652</v>
      </c>
      <c r="N806" t="s">
        <v>822</v>
      </c>
      <c r="O806" t="s">
        <v>825</v>
      </c>
      <c r="P806">
        <v>657</v>
      </c>
      <c r="Q806">
        <v>455</v>
      </c>
      <c r="R806">
        <v>202</v>
      </c>
    </row>
    <row r="807" spans="1:18" x14ac:dyDescent="0.3">
      <c r="A807" t="s">
        <v>1827</v>
      </c>
      <c r="B807">
        <v>2022</v>
      </c>
      <c r="C807">
        <v>0.93586840576006558</v>
      </c>
      <c r="D807">
        <v>0</v>
      </c>
      <c r="E807">
        <v>69</v>
      </c>
      <c r="F807">
        <v>425</v>
      </c>
      <c r="G807">
        <v>1.216254369648E-4</v>
      </c>
      <c r="H807">
        <v>9</v>
      </c>
      <c r="I807">
        <v>29</v>
      </c>
      <c r="J807">
        <v>0.40948738788217548</v>
      </c>
      <c r="K807">
        <v>-0.20210641346199551</v>
      </c>
      <c r="L807">
        <v>586883559.0167613</v>
      </c>
      <c r="M807" t="s">
        <v>652</v>
      </c>
      <c r="N807" t="s">
        <v>826</v>
      </c>
      <c r="O807" t="s">
        <v>826</v>
      </c>
      <c r="P807">
        <v>10691</v>
      </c>
      <c r="Q807">
        <v>6156</v>
      </c>
      <c r="R807">
        <v>4535</v>
      </c>
    </row>
    <row r="808" spans="1:18" x14ac:dyDescent="0.3">
      <c r="A808" t="s">
        <v>1828</v>
      </c>
      <c r="B808">
        <v>2022</v>
      </c>
      <c r="C808">
        <v>0.91124930070642318</v>
      </c>
      <c r="D808">
        <v>0</v>
      </c>
      <c r="E808">
        <v>186</v>
      </c>
      <c r="F808">
        <v>348</v>
      </c>
      <c r="G808">
        <v>4.6826731847939999E-4</v>
      </c>
      <c r="H808">
        <v>9</v>
      </c>
      <c r="I808">
        <v>7</v>
      </c>
      <c r="L808">
        <v>268575062.33276671</v>
      </c>
      <c r="M808" t="s">
        <v>652</v>
      </c>
      <c r="N808" t="s">
        <v>826</v>
      </c>
      <c r="O808" t="s">
        <v>827</v>
      </c>
      <c r="P808">
        <v>2879</v>
      </c>
      <c r="Q808">
        <v>1610</v>
      </c>
      <c r="R808">
        <v>1269</v>
      </c>
    </row>
    <row r="809" spans="1:18" x14ac:dyDescent="0.3">
      <c r="A809" t="s">
        <v>1829</v>
      </c>
      <c r="B809">
        <v>2022</v>
      </c>
      <c r="C809">
        <v>0.93762546226592536</v>
      </c>
      <c r="D809">
        <v>0</v>
      </c>
      <c r="E809">
        <v>64</v>
      </c>
      <c r="F809">
        <v>787</v>
      </c>
      <c r="G809">
        <v>1.153662418598E-4</v>
      </c>
      <c r="H809">
        <v>6</v>
      </c>
      <c r="I809">
        <v>10</v>
      </c>
      <c r="J809">
        <v>0.34711767658851123</v>
      </c>
      <c r="K809">
        <v>-0.149945052723165</v>
      </c>
      <c r="L809">
        <v>618607086.65221083</v>
      </c>
      <c r="M809" t="s">
        <v>652</v>
      </c>
      <c r="N809" t="s">
        <v>828</v>
      </c>
      <c r="O809" t="s">
        <v>828</v>
      </c>
      <c r="P809">
        <v>15456</v>
      </c>
      <c r="Q809">
        <v>7274</v>
      </c>
      <c r="R809">
        <v>8182</v>
      </c>
    </row>
    <row r="810" spans="1:18" x14ac:dyDescent="0.3">
      <c r="A810" t="s">
        <v>1830</v>
      </c>
      <c r="B810">
        <v>2022</v>
      </c>
      <c r="C810">
        <v>0.9576925801299272</v>
      </c>
      <c r="D810">
        <v>0</v>
      </c>
      <c r="E810">
        <v>54</v>
      </c>
      <c r="F810">
        <v>144</v>
      </c>
      <c r="G810">
        <v>6.5967103646070004E-4</v>
      </c>
      <c r="H810">
        <v>9</v>
      </c>
      <c r="I810">
        <v>2</v>
      </c>
      <c r="J810">
        <v>0.3869909059765746</v>
      </c>
      <c r="K810">
        <v>-0.26210832355293567</v>
      </c>
      <c r="L810">
        <v>106049486.16446389</v>
      </c>
      <c r="M810" t="s">
        <v>830</v>
      </c>
      <c r="N810" t="s">
        <v>831</v>
      </c>
      <c r="O810" t="s">
        <v>69</v>
      </c>
      <c r="P810">
        <v>2035</v>
      </c>
      <c r="Q810">
        <v>242</v>
      </c>
      <c r="R810">
        <v>1793</v>
      </c>
    </row>
    <row r="811" spans="1:18" x14ac:dyDescent="0.3">
      <c r="A811" t="s">
        <v>1831</v>
      </c>
      <c r="B811">
        <v>2022</v>
      </c>
      <c r="C811">
        <v>3.3969790972014362</v>
      </c>
      <c r="D811">
        <v>0</v>
      </c>
      <c r="E811">
        <v>27</v>
      </c>
      <c r="F811">
        <v>31</v>
      </c>
      <c r="G811">
        <v>1.9436345966958E-3</v>
      </c>
      <c r="H811">
        <v>5</v>
      </c>
      <c r="I811">
        <v>0</v>
      </c>
      <c r="J811">
        <v>0.54671029303371721</v>
      </c>
      <c r="K811">
        <v>-0.26649032119562388</v>
      </c>
      <c r="L811">
        <v>8864364.257012818</v>
      </c>
      <c r="M811" t="s">
        <v>830</v>
      </c>
      <c r="N811" t="s">
        <v>846</v>
      </c>
      <c r="O811" t="s">
        <v>847</v>
      </c>
      <c r="P811">
        <v>343</v>
      </c>
      <c r="Q811">
        <v>184</v>
      </c>
      <c r="R811">
        <v>159</v>
      </c>
    </row>
    <row r="812" spans="1:18" x14ac:dyDescent="0.3">
      <c r="A812" t="s">
        <v>1832</v>
      </c>
      <c r="B812">
        <v>2022</v>
      </c>
      <c r="C812">
        <v>0.68509161050810063</v>
      </c>
      <c r="D812">
        <v>0</v>
      </c>
      <c r="E812">
        <v>38</v>
      </c>
      <c r="F812">
        <v>91</v>
      </c>
      <c r="G812">
        <v>1.4607374637424001E-3</v>
      </c>
      <c r="H812">
        <v>3</v>
      </c>
      <c r="I812">
        <v>1</v>
      </c>
      <c r="J812">
        <v>0.39162206328687599</v>
      </c>
      <c r="K812">
        <v>-0.1421502959961628</v>
      </c>
      <c r="L812">
        <v>629724353.10393226</v>
      </c>
      <c r="M812" t="s">
        <v>830</v>
      </c>
      <c r="N812" t="s">
        <v>846</v>
      </c>
      <c r="O812" t="s">
        <v>848</v>
      </c>
      <c r="P812">
        <v>1257</v>
      </c>
      <c r="Q812">
        <v>813</v>
      </c>
      <c r="R812">
        <v>444</v>
      </c>
    </row>
    <row r="813" spans="1:18" x14ac:dyDescent="0.3">
      <c r="A813" t="s">
        <v>1833</v>
      </c>
      <c r="B813">
        <v>2022</v>
      </c>
      <c r="C813">
        <v>0.78989556761082735</v>
      </c>
      <c r="D813">
        <v>0</v>
      </c>
      <c r="E813">
        <v>3</v>
      </c>
      <c r="F813">
        <v>88</v>
      </c>
      <c r="G813">
        <v>1.8484256864728999E-3</v>
      </c>
      <c r="H813">
        <v>11</v>
      </c>
      <c r="I813">
        <v>0</v>
      </c>
      <c r="J813">
        <v>0.40119496492597839</v>
      </c>
      <c r="K813">
        <v>-0.14735285215080149</v>
      </c>
      <c r="L813">
        <v>250255082.2428138</v>
      </c>
      <c r="M813" t="s">
        <v>830</v>
      </c>
      <c r="N813" t="s">
        <v>846</v>
      </c>
      <c r="O813" t="s">
        <v>849</v>
      </c>
      <c r="P813">
        <v>1337</v>
      </c>
      <c r="Q813">
        <v>793</v>
      </c>
      <c r="R813">
        <v>544</v>
      </c>
    </row>
    <row r="814" spans="1:18" x14ac:dyDescent="0.3">
      <c r="A814" t="s">
        <v>1834</v>
      </c>
      <c r="B814">
        <v>2022</v>
      </c>
      <c r="C814">
        <v>1.9816619868635721</v>
      </c>
      <c r="D814">
        <v>0</v>
      </c>
      <c r="E814">
        <v>203</v>
      </c>
      <c r="F814">
        <v>141</v>
      </c>
      <c r="G814">
        <v>5.4138221872990005E-4</v>
      </c>
      <c r="H814">
        <v>5</v>
      </c>
      <c r="I814">
        <v>4</v>
      </c>
      <c r="J814">
        <v>0.48892957921346791</v>
      </c>
      <c r="K814">
        <v>-0.1563618073379304</v>
      </c>
      <c r="L814">
        <v>95548367.761111006</v>
      </c>
      <c r="M814" t="s">
        <v>830</v>
      </c>
      <c r="N814" t="s">
        <v>846</v>
      </c>
      <c r="O814" t="s">
        <v>850</v>
      </c>
      <c r="P814">
        <v>2829</v>
      </c>
      <c r="Q814">
        <v>1779</v>
      </c>
      <c r="R814">
        <v>1050</v>
      </c>
    </row>
    <row r="815" spans="1:18" x14ac:dyDescent="0.3">
      <c r="A815" t="s">
        <v>1835</v>
      </c>
      <c r="B815">
        <v>2022</v>
      </c>
      <c r="C815">
        <v>2.9084110641375269</v>
      </c>
      <c r="D815">
        <v>0</v>
      </c>
      <c r="E815">
        <v>135</v>
      </c>
      <c r="F815">
        <v>159</v>
      </c>
      <c r="G815">
        <v>1.5384236839916E-3</v>
      </c>
      <c r="H815">
        <v>9</v>
      </c>
      <c r="I815">
        <v>3</v>
      </c>
      <c r="J815">
        <v>0.58865854396540629</v>
      </c>
      <c r="K815">
        <v>-0.29855178179510711</v>
      </c>
      <c r="L815">
        <v>16307051.32591524</v>
      </c>
      <c r="M815" t="s">
        <v>830</v>
      </c>
      <c r="N815" t="s">
        <v>854</v>
      </c>
      <c r="O815" t="s">
        <v>168</v>
      </c>
      <c r="P815">
        <v>1368</v>
      </c>
      <c r="Q815">
        <v>583</v>
      </c>
      <c r="R815">
        <v>785</v>
      </c>
    </row>
    <row r="816" spans="1:18" x14ac:dyDescent="0.3">
      <c r="A816" t="s">
        <v>1836</v>
      </c>
      <c r="B816">
        <v>2022</v>
      </c>
      <c r="C816">
        <v>1.5388112715153051</v>
      </c>
      <c r="D816">
        <v>0</v>
      </c>
      <c r="E816">
        <v>60</v>
      </c>
      <c r="F816">
        <v>160</v>
      </c>
      <c r="G816">
        <v>1.1096448777476E-3</v>
      </c>
      <c r="H816">
        <v>9</v>
      </c>
      <c r="I816">
        <v>3</v>
      </c>
      <c r="J816">
        <v>0.56130020024614946</v>
      </c>
      <c r="K816">
        <v>-0.31052513524729258</v>
      </c>
      <c r="L816">
        <v>56488235.694636211</v>
      </c>
      <c r="M816" t="s">
        <v>830</v>
      </c>
      <c r="N816" t="s">
        <v>854</v>
      </c>
      <c r="O816" t="s">
        <v>656</v>
      </c>
      <c r="P816">
        <v>2391</v>
      </c>
      <c r="Q816">
        <v>775</v>
      </c>
      <c r="R816">
        <v>1616</v>
      </c>
    </row>
    <row r="817" spans="1:18" x14ac:dyDescent="0.3">
      <c r="A817" t="s">
        <v>1837</v>
      </c>
      <c r="B817">
        <v>2022</v>
      </c>
      <c r="C817">
        <v>2.6843748241967731</v>
      </c>
      <c r="D817">
        <v>0</v>
      </c>
      <c r="E817">
        <v>16</v>
      </c>
      <c r="F817">
        <v>68</v>
      </c>
      <c r="G817">
        <v>9.6072620591799995E-4</v>
      </c>
      <c r="H817">
        <v>1</v>
      </c>
      <c r="I817">
        <v>1</v>
      </c>
      <c r="J817">
        <v>0.31866838715155549</v>
      </c>
      <c r="K817">
        <v>-0.19253154480448151</v>
      </c>
      <c r="L817">
        <v>35264575.580487363</v>
      </c>
      <c r="M817" t="s">
        <v>830</v>
      </c>
      <c r="N817" t="s">
        <v>855</v>
      </c>
      <c r="O817" t="s">
        <v>825</v>
      </c>
      <c r="P817">
        <v>3007</v>
      </c>
      <c r="Q817">
        <v>1365</v>
      </c>
      <c r="R817">
        <v>1642</v>
      </c>
    </row>
    <row r="818" spans="1:18" x14ac:dyDescent="0.3">
      <c r="A818" t="s">
        <v>1838</v>
      </c>
      <c r="B818">
        <v>2022</v>
      </c>
      <c r="C818">
        <v>5.2701032325487764</v>
      </c>
      <c r="D818">
        <v>0</v>
      </c>
      <c r="E818">
        <v>57</v>
      </c>
      <c r="F818">
        <v>93</v>
      </c>
      <c r="G818">
        <v>1.1557657967055E-3</v>
      </c>
      <c r="H818">
        <v>5</v>
      </c>
      <c r="I818">
        <v>2</v>
      </c>
      <c r="J818">
        <v>0.5064914726264419</v>
      </c>
      <c r="K818">
        <v>-0.26801196882800971</v>
      </c>
      <c r="L818">
        <v>10782488.49406809</v>
      </c>
      <c r="M818" t="s">
        <v>830</v>
      </c>
      <c r="N818" t="s">
        <v>857</v>
      </c>
      <c r="O818" t="s">
        <v>97</v>
      </c>
      <c r="P818">
        <v>2925</v>
      </c>
      <c r="Q818">
        <v>1849</v>
      </c>
      <c r="R818">
        <v>1076</v>
      </c>
    </row>
    <row r="819" spans="1:18" x14ac:dyDescent="0.3">
      <c r="A819" t="s">
        <v>1839</v>
      </c>
      <c r="B819">
        <v>2022</v>
      </c>
      <c r="C819">
        <v>2.2316580017012781</v>
      </c>
      <c r="D819">
        <v>0</v>
      </c>
      <c r="E819">
        <v>261</v>
      </c>
      <c r="F819">
        <v>126</v>
      </c>
      <c r="G819">
        <v>5.5230660958490005E-4</v>
      </c>
      <c r="H819">
        <v>6</v>
      </c>
      <c r="I819">
        <v>0</v>
      </c>
      <c r="J819">
        <v>0.45426112027910959</v>
      </c>
      <c r="K819">
        <v>-0.22309567830141919</v>
      </c>
      <c r="L819">
        <v>44629508.080888137</v>
      </c>
      <c r="M819" t="s">
        <v>830</v>
      </c>
      <c r="N819" t="s">
        <v>857</v>
      </c>
      <c r="O819" t="s">
        <v>860</v>
      </c>
      <c r="P819">
        <v>2186</v>
      </c>
      <c r="Q819">
        <v>1405</v>
      </c>
      <c r="R819">
        <v>781</v>
      </c>
    </row>
    <row r="820" spans="1:18" x14ac:dyDescent="0.3">
      <c r="A820" t="s">
        <v>1840</v>
      </c>
      <c r="B820">
        <v>2022</v>
      </c>
      <c r="C820">
        <v>5.1962218492252754</v>
      </c>
      <c r="D820">
        <v>0</v>
      </c>
      <c r="E820">
        <v>298</v>
      </c>
      <c r="F820">
        <v>217</v>
      </c>
      <c r="G820">
        <v>6.5139507111059997E-4</v>
      </c>
      <c r="H820">
        <v>5</v>
      </c>
      <c r="I820">
        <v>4</v>
      </c>
      <c r="J820">
        <v>0.40976445231205139</v>
      </c>
      <c r="K820">
        <v>-0.22266974485608679</v>
      </c>
      <c r="L820">
        <v>25644144.791615311</v>
      </c>
      <c r="M820" t="s">
        <v>830</v>
      </c>
      <c r="N820" t="s">
        <v>857</v>
      </c>
      <c r="O820" t="s">
        <v>862</v>
      </c>
      <c r="P820">
        <v>8443</v>
      </c>
      <c r="Q820">
        <v>5462</v>
      </c>
      <c r="R820">
        <v>2981</v>
      </c>
    </row>
    <row r="821" spans="1:18" x14ac:dyDescent="0.3">
      <c r="A821" t="s">
        <v>1841</v>
      </c>
      <c r="B821">
        <v>2022</v>
      </c>
      <c r="C821">
        <v>1.286622685690813</v>
      </c>
      <c r="D821">
        <v>0</v>
      </c>
      <c r="E821">
        <v>56</v>
      </c>
      <c r="F821">
        <v>22</v>
      </c>
      <c r="G821">
        <v>5.9168535449369997E-3</v>
      </c>
      <c r="H821">
        <v>1</v>
      </c>
      <c r="I821">
        <v>1</v>
      </c>
      <c r="J821">
        <v>0.5290511835073578</v>
      </c>
      <c r="K821">
        <v>-0.31413733512793579</v>
      </c>
      <c r="L821">
        <v>26528365.659865189</v>
      </c>
      <c r="M821" t="s">
        <v>830</v>
      </c>
      <c r="N821" t="s">
        <v>864</v>
      </c>
      <c r="O821" t="s">
        <v>866</v>
      </c>
      <c r="P821">
        <v>239</v>
      </c>
      <c r="Q821">
        <v>106</v>
      </c>
      <c r="R821">
        <v>133</v>
      </c>
    </row>
    <row r="822" spans="1:18" x14ac:dyDescent="0.3">
      <c r="A822" t="s">
        <v>1842</v>
      </c>
      <c r="B822">
        <v>2022</v>
      </c>
      <c r="C822">
        <v>3.3524969637112489</v>
      </c>
      <c r="D822">
        <v>0</v>
      </c>
      <c r="E822">
        <v>426</v>
      </c>
      <c r="F822">
        <v>57</v>
      </c>
      <c r="G822">
        <v>1.9027637999187001E-3</v>
      </c>
      <c r="H822">
        <v>8</v>
      </c>
      <c r="I822">
        <v>1</v>
      </c>
      <c r="J822">
        <v>0.51845401497390087</v>
      </c>
      <c r="K822">
        <v>-0.31517286435826358</v>
      </c>
      <c r="L822">
        <v>16725652.21213123</v>
      </c>
      <c r="M822" t="s">
        <v>830</v>
      </c>
      <c r="N822" t="s">
        <v>864</v>
      </c>
      <c r="O822" t="s">
        <v>867</v>
      </c>
      <c r="P822">
        <v>1531</v>
      </c>
      <c r="Q822">
        <v>663</v>
      </c>
      <c r="R822">
        <v>868</v>
      </c>
    </row>
    <row r="823" spans="1:18" x14ac:dyDescent="0.3">
      <c r="A823" t="s">
        <v>1843</v>
      </c>
      <c r="B823">
        <v>2022</v>
      </c>
      <c r="C823">
        <v>2.0431876603388619</v>
      </c>
      <c r="D823">
        <v>0</v>
      </c>
      <c r="E823">
        <v>6</v>
      </c>
      <c r="F823">
        <v>111</v>
      </c>
      <c r="G823">
        <v>7.91113539489E-4</v>
      </c>
      <c r="H823">
        <v>13</v>
      </c>
      <c r="I823">
        <v>1</v>
      </c>
      <c r="J823">
        <v>0.41969002292848651</v>
      </c>
      <c r="K823">
        <v>-0.33646311484168551</v>
      </c>
      <c r="L823">
        <v>163283442.5317992</v>
      </c>
      <c r="M823" t="s">
        <v>830</v>
      </c>
      <c r="N823" t="s">
        <v>864</v>
      </c>
      <c r="O823" t="s">
        <v>870</v>
      </c>
      <c r="P823">
        <v>1807</v>
      </c>
      <c r="Q823">
        <v>686</v>
      </c>
      <c r="R823">
        <v>1121</v>
      </c>
    </row>
    <row r="824" spans="1:18" x14ac:dyDescent="0.3">
      <c r="A824" t="s">
        <v>1844</v>
      </c>
      <c r="B824">
        <v>2022</v>
      </c>
      <c r="C824">
        <v>5.7830604705458981</v>
      </c>
      <c r="D824">
        <v>0</v>
      </c>
      <c r="E824">
        <v>585</v>
      </c>
      <c r="F824">
        <v>162</v>
      </c>
      <c r="G824">
        <v>8.8042472129680005E-4</v>
      </c>
      <c r="H824">
        <v>13</v>
      </c>
      <c r="I824">
        <v>2</v>
      </c>
      <c r="J824">
        <v>0.54717915029800379</v>
      </c>
      <c r="K824">
        <v>-0.34335494069740718</v>
      </c>
      <c r="L824">
        <v>22048827.579132888</v>
      </c>
      <c r="M824" t="s">
        <v>830</v>
      </c>
      <c r="N824" t="s">
        <v>864</v>
      </c>
      <c r="O824" t="s">
        <v>871</v>
      </c>
      <c r="P824">
        <v>5146</v>
      </c>
      <c r="Q824">
        <v>2863</v>
      </c>
      <c r="R824">
        <v>2283</v>
      </c>
    </row>
    <row r="825" spans="1:18" x14ac:dyDescent="0.3">
      <c r="A825" t="s">
        <v>1845</v>
      </c>
      <c r="B825">
        <v>2022</v>
      </c>
      <c r="C825">
        <v>0.94898816718221723</v>
      </c>
      <c r="D825">
        <v>0</v>
      </c>
      <c r="E825">
        <v>13</v>
      </c>
      <c r="F825">
        <v>175</v>
      </c>
      <c r="G825">
        <v>4.1296011032129998E-4</v>
      </c>
      <c r="H825">
        <v>4</v>
      </c>
      <c r="I825">
        <v>5</v>
      </c>
      <c r="J825">
        <v>0.65213271090785019</v>
      </c>
      <c r="K825">
        <v>-0.29494207948623252</v>
      </c>
      <c r="L825">
        <v>150236423.46558669</v>
      </c>
      <c r="M825" t="s">
        <v>874</v>
      </c>
      <c r="N825" t="s">
        <v>875</v>
      </c>
      <c r="O825" t="s">
        <v>876</v>
      </c>
      <c r="P825">
        <v>3617</v>
      </c>
      <c r="Q825">
        <v>2000</v>
      </c>
      <c r="R825">
        <v>1617</v>
      </c>
    </row>
    <row r="826" spans="1:18" x14ac:dyDescent="0.3">
      <c r="A826" t="s">
        <v>1846</v>
      </c>
      <c r="B826">
        <v>2022</v>
      </c>
      <c r="C826">
        <v>0.7193332965714142</v>
      </c>
      <c r="D826">
        <v>0</v>
      </c>
      <c r="E826">
        <v>5</v>
      </c>
      <c r="F826">
        <v>195</v>
      </c>
      <c r="G826">
        <v>9.9011116248050009E-4</v>
      </c>
      <c r="H826">
        <v>1</v>
      </c>
      <c r="I826">
        <v>5</v>
      </c>
      <c r="J826">
        <v>0.6293804181433692</v>
      </c>
      <c r="K826">
        <v>-0.27457154459575628</v>
      </c>
      <c r="L826">
        <v>252978649.76791099</v>
      </c>
      <c r="M826" t="s">
        <v>874</v>
      </c>
      <c r="N826" t="s">
        <v>875</v>
      </c>
      <c r="O826" t="s">
        <v>877</v>
      </c>
      <c r="P826">
        <v>3472</v>
      </c>
      <c r="Q826">
        <v>1296</v>
      </c>
      <c r="R826">
        <v>2176</v>
      </c>
    </row>
    <row r="827" spans="1:18" x14ac:dyDescent="0.3">
      <c r="A827" t="s">
        <v>1847</v>
      </c>
      <c r="B827">
        <v>2022</v>
      </c>
      <c r="C827">
        <v>0.72908225590845277</v>
      </c>
      <c r="D827">
        <v>0</v>
      </c>
      <c r="E827">
        <v>4</v>
      </c>
      <c r="F827">
        <v>79</v>
      </c>
      <c r="G827">
        <v>6.2597772225740005E-4</v>
      </c>
      <c r="H827">
        <v>4</v>
      </c>
      <c r="I827">
        <v>3</v>
      </c>
      <c r="J827">
        <v>0.57391055257304646</v>
      </c>
      <c r="K827">
        <v>-0.24734621915756511</v>
      </c>
      <c r="L827">
        <v>307175121.57665539</v>
      </c>
      <c r="M827" t="s">
        <v>874</v>
      </c>
      <c r="N827" t="s">
        <v>875</v>
      </c>
      <c r="O827" t="s">
        <v>438</v>
      </c>
      <c r="P827">
        <v>621</v>
      </c>
      <c r="Q827">
        <v>28</v>
      </c>
      <c r="R827">
        <v>593</v>
      </c>
    </row>
    <row r="828" spans="1:18" x14ac:dyDescent="0.3">
      <c r="A828" t="s">
        <v>1848</v>
      </c>
      <c r="B828">
        <v>2022</v>
      </c>
      <c r="C828">
        <v>0.64057967875443278</v>
      </c>
      <c r="D828">
        <v>0</v>
      </c>
      <c r="E828">
        <v>3</v>
      </c>
      <c r="F828">
        <v>135</v>
      </c>
      <c r="G828">
        <v>7.3683449735289998E-4</v>
      </c>
      <c r="H828">
        <v>3</v>
      </c>
      <c r="I828">
        <v>7</v>
      </c>
      <c r="J828">
        <v>0.57920904143212704</v>
      </c>
      <c r="K828">
        <v>-0.2361726816428798</v>
      </c>
      <c r="L828">
        <v>306102985.56712037</v>
      </c>
      <c r="M828" t="s">
        <v>874</v>
      </c>
      <c r="N828" t="s">
        <v>875</v>
      </c>
      <c r="O828" t="s">
        <v>879</v>
      </c>
      <c r="P828">
        <v>1705</v>
      </c>
      <c r="Q828">
        <v>829</v>
      </c>
      <c r="R828">
        <v>876</v>
      </c>
    </row>
    <row r="829" spans="1:18" x14ac:dyDescent="0.3">
      <c r="A829" t="s">
        <v>1849</v>
      </c>
      <c r="B829">
        <v>2022</v>
      </c>
      <c r="C829">
        <v>0.66462643756289874</v>
      </c>
      <c r="D829">
        <v>0</v>
      </c>
      <c r="E829">
        <v>105</v>
      </c>
      <c r="F829">
        <v>47</v>
      </c>
      <c r="G829">
        <v>8.6125398580329997E-4</v>
      </c>
      <c r="H829">
        <v>1</v>
      </c>
      <c r="I829">
        <v>8</v>
      </c>
      <c r="J829">
        <v>0.56859643330161636</v>
      </c>
      <c r="K829">
        <v>-0.2288324351018643</v>
      </c>
      <c r="L829">
        <v>148947135.89562199</v>
      </c>
      <c r="M829" t="s">
        <v>874</v>
      </c>
      <c r="N829" t="s">
        <v>875</v>
      </c>
      <c r="O829" t="s">
        <v>880</v>
      </c>
      <c r="P829">
        <v>1937</v>
      </c>
      <c r="Q829">
        <v>582</v>
      </c>
      <c r="R829">
        <v>1355</v>
      </c>
    </row>
    <row r="830" spans="1:18" x14ac:dyDescent="0.3">
      <c r="A830" t="s">
        <v>1850</v>
      </c>
      <c r="B830">
        <v>2022</v>
      </c>
      <c r="C830">
        <v>0.5806354685898415</v>
      </c>
      <c r="D830">
        <v>0</v>
      </c>
      <c r="E830">
        <v>44</v>
      </c>
      <c r="F830">
        <v>61</v>
      </c>
      <c r="G830">
        <v>3.2206072507999999E-4</v>
      </c>
      <c r="H830">
        <v>4</v>
      </c>
      <c r="I830">
        <v>8</v>
      </c>
      <c r="J830">
        <v>0.62185465758412406</v>
      </c>
      <c r="K830">
        <v>-0.28138097033052167</v>
      </c>
      <c r="L830">
        <v>308708337.24385422</v>
      </c>
      <c r="M830" t="s">
        <v>874</v>
      </c>
      <c r="N830" t="s">
        <v>881</v>
      </c>
      <c r="O830" t="s">
        <v>883</v>
      </c>
      <c r="P830">
        <v>1495</v>
      </c>
      <c r="Q830">
        <v>259</v>
      </c>
      <c r="R830">
        <v>1236</v>
      </c>
    </row>
    <row r="831" spans="1:18" x14ac:dyDescent="0.3">
      <c r="A831" t="s">
        <v>1851</v>
      </c>
      <c r="B831">
        <v>2022</v>
      </c>
      <c r="C831">
        <v>0.81917782054728516</v>
      </c>
      <c r="D831">
        <v>0</v>
      </c>
      <c r="E831">
        <v>2</v>
      </c>
      <c r="F831">
        <v>17</v>
      </c>
      <c r="G831">
        <v>3.7584719654959E-3</v>
      </c>
      <c r="H831">
        <v>1</v>
      </c>
      <c r="I831">
        <v>2</v>
      </c>
      <c r="J831">
        <v>0.67401180831093677</v>
      </c>
      <c r="K831">
        <v>-0.359823109195826</v>
      </c>
      <c r="L831">
        <v>13741030.37590397</v>
      </c>
      <c r="M831" t="s">
        <v>874</v>
      </c>
      <c r="N831" t="s">
        <v>881</v>
      </c>
      <c r="O831" t="s">
        <v>884</v>
      </c>
      <c r="P831">
        <v>152</v>
      </c>
      <c r="Q831">
        <v>91</v>
      </c>
      <c r="R831">
        <v>61</v>
      </c>
    </row>
    <row r="832" spans="1:18" x14ac:dyDescent="0.3">
      <c r="A832" t="s">
        <v>1852</v>
      </c>
      <c r="B832">
        <v>2022</v>
      </c>
      <c r="C832">
        <v>0.62955385079298543</v>
      </c>
      <c r="D832">
        <v>0</v>
      </c>
      <c r="E832">
        <v>7</v>
      </c>
      <c r="F832">
        <v>17</v>
      </c>
      <c r="G832">
        <v>1.6051364365970999E-3</v>
      </c>
      <c r="H832">
        <v>2</v>
      </c>
      <c r="I832">
        <v>3</v>
      </c>
      <c r="J832">
        <v>0.64899790114316613</v>
      </c>
      <c r="K832">
        <v>-0.3611748232547648</v>
      </c>
      <c r="L832">
        <v>18019074.811879169</v>
      </c>
      <c r="M832" t="s">
        <v>874</v>
      </c>
      <c r="N832" t="s">
        <v>881</v>
      </c>
      <c r="O832" t="s">
        <v>885</v>
      </c>
      <c r="P832">
        <v>241</v>
      </c>
      <c r="Q832">
        <v>55</v>
      </c>
      <c r="R832">
        <v>186</v>
      </c>
    </row>
    <row r="833" spans="1:18" x14ac:dyDescent="0.3">
      <c r="A833" t="s">
        <v>1853</v>
      </c>
      <c r="B833">
        <v>2022</v>
      </c>
      <c r="C833">
        <v>0.56906039257798136</v>
      </c>
      <c r="D833">
        <v>0</v>
      </c>
      <c r="E833">
        <v>11</v>
      </c>
      <c r="F833">
        <v>21</v>
      </c>
      <c r="G833">
        <v>2.3391179576034002E-3</v>
      </c>
      <c r="H833">
        <v>1</v>
      </c>
      <c r="I833">
        <v>1</v>
      </c>
      <c r="J833">
        <v>0.63733412950364532</v>
      </c>
      <c r="K833">
        <v>-0.35462025684539011</v>
      </c>
      <c r="L833">
        <v>25083339.949534431</v>
      </c>
      <c r="M833" t="s">
        <v>874</v>
      </c>
      <c r="N833" t="s">
        <v>881</v>
      </c>
      <c r="O833" t="s">
        <v>886</v>
      </c>
      <c r="P833">
        <v>91</v>
      </c>
      <c r="Q833">
        <v>21</v>
      </c>
      <c r="R833">
        <v>70</v>
      </c>
    </row>
    <row r="834" spans="1:18" x14ac:dyDescent="0.3">
      <c r="A834" t="s">
        <v>1854</v>
      </c>
      <c r="B834">
        <v>2022</v>
      </c>
      <c r="C834">
        <v>0.49390248163512102</v>
      </c>
      <c r="D834">
        <v>0</v>
      </c>
      <c r="E834">
        <v>1</v>
      </c>
      <c r="F834">
        <v>51</v>
      </c>
      <c r="G834">
        <v>9.3895562745210004E-4</v>
      </c>
      <c r="H834">
        <v>2</v>
      </c>
      <c r="I834">
        <v>2</v>
      </c>
      <c r="J834">
        <v>0.50669057905512949</v>
      </c>
      <c r="K834">
        <v>-0.2643388940306301</v>
      </c>
      <c r="L834">
        <v>311519609.95332968</v>
      </c>
      <c r="M834" t="s">
        <v>874</v>
      </c>
      <c r="N834" t="s">
        <v>881</v>
      </c>
      <c r="O834" t="s">
        <v>273</v>
      </c>
      <c r="P834">
        <v>357</v>
      </c>
      <c r="Q834">
        <v>92</v>
      </c>
      <c r="R834">
        <v>265</v>
      </c>
    </row>
    <row r="835" spans="1:18" x14ac:dyDescent="0.3">
      <c r="A835" t="s">
        <v>1855</v>
      </c>
      <c r="B835">
        <v>2022</v>
      </c>
      <c r="C835">
        <v>0.63631409312531884</v>
      </c>
      <c r="D835">
        <v>0</v>
      </c>
      <c r="E835">
        <v>250</v>
      </c>
      <c r="F835">
        <v>128</v>
      </c>
      <c r="G835">
        <v>1.206037117649E-3</v>
      </c>
      <c r="H835">
        <v>3</v>
      </c>
      <c r="I835">
        <v>1</v>
      </c>
      <c r="J835">
        <v>0.60783918792179437</v>
      </c>
      <c r="K835">
        <v>-0.25492371648249862</v>
      </c>
      <c r="L835">
        <v>318287331.0807451</v>
      </c>
      <c r="M835" t="s">
        <v>874</v>
      </c>
      <c r="N835" t="s">
        <v>892</v>
      </c>
      <c r="O835" t="s">
        <v>186</v>
      </c>
      <c r="P835">
        <v>2230</v>
      </c>
      <c r="Q835">
        <v>797</v>
      </c>
      <c r="R835">
        <v>1433</v>
      </c>
    </row>
    <row r="836" spans="1:18" x14ac:dyDescent="0.3">
      <c r="A836" t="s">
        <v>1856</v>
      </c>
      <c r="B836">
        <v>2022</v>
      </c>
      <c r="C836">
        <v>0.57578705506273631</v>
      </c>
      <c r="D836">
        <v>0</v>
      </c>
      <c r="E836">
        <v>16</v>
      </c>
      <c r="F836">
        <v>69</v>
      </c>
      <c r="G836">
        <v>4.315925766076E-4</v>
      </c>
      <c r="H836">
        <v>7</v>
      </c>
      <c r="I836">
        <v>2</v>
      </c>
      <c r="J836">
        <v>0.48922771373808199</v>
      </c>
      <c r="K836">
        <v>-0.27463981633314588</v>
      </c>
      <c r="L836">
        <v>504778600.50674582</v>
      </c>
      <c r="M836" t="s">
        <v>874</v>
      </c>
      <c r="N836" t="s">
        <v>892</v>
      </c>
      <c r="O836" t="s">
        <v>894</v>
      </c>
      <c r="P836">
        <v>1182</v>
      </c>
      <c r="Q836">
        <v>213</v>
      </c>
      <c r="R836">
        <v>969</v>
      </c>
    </row>
    <row r="837" spans="1:18" x14ac:dyDescent="0.3">
      <c r="A837" t="s">
        <v>1857</v>
      </c>
      <c r="B837">
        <v>2022</v>
      </c>
      <c r="C837">
        <v>0.80972445778105062</v>
      </c>
      <c r="D837">
        <v>0</v>
      </c>
      <c r="E837">
        <v>84</v>
      </c>
      <c r="F837">
        <v>58</v>
      </c>
      <c r="G837">
        <v>1.1552724005554E-3</v>
      </c>
      <c r="H837">
        <v>3</v>
      </c>
      <c r="I837">
        <v>2</v>
      </c>
      <c r="J837">
        <v>0.63380214795184764</v>
      </c>
      <c r="K837">
        <v>-0.30310620603860111</v>
      </c>
      <c r="L837">
        <v>94677646.620314762</v>
      </c>
      <c r="M837" t="s">
        <v>874</v>
      </c>
      <c r="N837" t="s">
        <v>898</v>
      </c>
      <c r="O837" t="s">
        <v>899</v>
      </c>
      <c r="P837">
        <v>1621</v>
      </c>
      <c r="Q837">
        <v>511</v>
      </c>
      <c r="R837">
        <v>1110</v>
      </c>
    </row>
    <row r="838" spans="1:18" x14ac:dyDescent="0.3">
      <c r="A838" t="s">
        <v>1858</v>
      </c>
      <c r="B838">
        <v>2022</v>
      </c>
      <c r="C838">
        <v>1.2311720393824199</v>
      </c>
      <c r="D838">
        <v>0</v>
      </c>
      <c r="E838">
        <v>124</v>
      </c>
      <c r="F838">
        <v>108</v>
      </c>
      <c r="G838">
        <v>9.9151603881589994E-4</v>
      </c>
      <c r="H838">
        <v>4</v>
      </c>
      <c r="I838">
        <v>4</v>
      </c>
      <c r="J838">
        <v>0.48831108449108462</v>
      </c>
      <c r="K838">
        <v>-0.14030474505950749</v>
      </c>
      <c r="L838">
        <v>254974215.64316669</v>
      </c>
      <c r="M838" t="s">
        <v>874</v>
      </c>
      <c r="N838" t="s">
        <v>898</v>
      </c>
      <c r="O838" t="s">
        <v>901</v>
      </c>
      <c r="P838">
        <v>999</v>
      </c>
      <c r="Q838">
        <v>375</v>
      </c>
      <c r="R838">
        <v>624</v>
      </c>
    </row>
    <row r="839" spans="1:18" x14ac:dyDescent="0.3">
      <c r="A839" t="s">
        <v>1859</v>
      </c>
      <c r="B839">
        <v>2022</v>
      </c>
      <c r="C839">
        <v>1.133754211210622</v>
      </c>
      <c r="D839">
        <v>0</v>
      </c>
      <c r="E839">
        <v>3</v>
      </c>
      <c r="F839">
        <v>187</v>
      </c>
      <c r="G839">
        <v>7.6934301835390002E-4</v>
      </c>
      <c r="H839">
        <v>6</v>
      </c>
      <c r="I839">
        <v>4</v>
      </c>
      <c r="J839">
        <v>0.62368524404822867</v>
      </c>
      <c r="K839">
        <v>-0.2810567498730297</v>
      </c>
      <c r="L839">
        <v>164921734.9192048</v>
      </c>
      <c r="M839" t="s">
        <v>874</v>
      </c>
      <c r="N839" t="s">
        <v>902</v>
      </c>
      <c r="O839" t="s">
        <v>903</v>
      </c>
      <c r="P839">
        <v>5178</v>
      </c>
      <c r="Q839">
        <v>2557</v>
      </c>
      <c r="R839">
        <v>2621</v>
      </c>
    </row>
    <row r="840" spans="1:18" x14ac:dyDescent="0.3">
      <c r="A840" t="s">
        <v>1860</v>
      </c>
      <c r="B840">
        <v>2022</v>
      </c>
      <c r="C840">
        <v>0.55218537479285279</v>
      </c>
      <c r="D840">
        <v>0</v>
      </c>
      <c r="E840">
        <v>550</v>
      </c>
      <c r="F840">
        <v>124</v>
      </c>
      <c r="G840">
        <v>4.294391246859E-4</v>
      </c>
      <c r="H840">
        <v>4</v>
      </c>
      <c r="I840">
        <v>15</v>
      </c>
      <c r="J840">
        <v>0.57083879435382923</v>
      </c>
      <c r="K840">
        <v>-0.28221342524902909</v>
      </c>
      <c r="L840">
        <v>441532963.88239121</v>
      </c>
      <c r="M840" t="s">
        <v>874</v>
      </c>
      <c r="N840" t="s">
        <v>906</v>
      </c>
      <c r="O840" t="s">
        <v>906</v>
      </c>
      <c r="P840">
        <v>3997</v>
      </c>
      <c r="Q840">
        <v>1817</v>
      </c>
      <c r="R840">
        <v>2180</v>
      </c>
    </row>
    <row r="841" spans="1:18" x14ac:dyDescent="0.3">
      <c r="A841" t="s">
        <v>1861</v>
      </c>
      <c r="B841">
        <v>2022</v>
      </c>
      <c r="C841">
        <v>0.48750989446729792</v>
      </c>
      <c r="D841">
        <v>0</v>
      </c>
      <c r="E841">
        <v>224</v>
      </c>
      <c r="F841">
        <v>84</v>
      </c>
      <c r="G841">
        <v>5.9275420186520004E-4</v>
      </c>
      <c r="H841">
        <v>4</v>
      </c>
      <c r="I841">
        <v>15</v>
      </c>
      <c r="J841">
        <v>0.57160769163695357</v>
      </c>
      <c r="K841">
        <v>-0.22145583147985509</v>
      </c>
      <c r="L841">
        <v>528858751.28350502</v>
      </c>
      <c r="M841" t="s">
        <v>874</v>
      </c>
      <c r="N841" t="s">
        <v>906</v>
      </c>
      <c r="O841" t="s">
        <v>907</v>
      </c>
      <c r="P841">
        <v>1558</v>
      </c>
      <c r="Q841">
        <v>280</v>
      </c>
      <c r="R841">
        <v>1278</v>
      </c>
    </row>
    <row r="842" spans="1:18" x14ac:dyDescent="0.3">
      <c r="A842" t="s">
        <v>1862</v>
      </c>
      <c r="B842">
        <v>2022</v>
      </c>
      <c r="C842">
        <v>0.48662648957532528</v>
      </c>
      <c r="D842">
        <v>0</v>
      </c>
      <c r="E842">
        <v>57</v>
      </c>
      <c r="F842">
        <v>56</v>
      </c>
      <c r="G842">
        <v>6.4223837295800004E-4</v>
      </c>
      <c r="H842">
        <v>6</v>
      </c>
      <c r="I842">
        <v>8</v>
      </c>
      <c r="J842">
        <v>0.54733098309158923</v>
      </c>
      <c r="K842">
        <v>-0.22005271244403199</v>
      </c>
      <c r="L842">
        <v>246983258.71121651</v>
      </c>
      <c r="M842" t="s">
        <v>874</v>
      </c>
      <c r="N842" t="s">
        <v>906</v>
      </c>
      <c r="O842" t="s">
        <v>908</v>
      </c>
      <c r="P842">
        <v>1603</v>
      </c>
      <c r="Q842">
        <v>229</v>
      </c>
      <c r="R842">
        <v>1374</v>
      </c>
    </row>
    <row r="843" spans="1:18" x14ac:dyDescent="0.3">
      <c r="A843" t="s">
        <v>1863</v>
      </c>
      <c r="B843">
        <v>2022</v>
      </c>
      <c r="C843">
        <v>0.47866223091297599</v>
      </c>
      <c r="D843">
        <v>0</v>
      </c>
      <c r="E843">
        <v>314</v>
      </c>
      <c r="F843">
        <v>62</v>
      </c>
      <c r="G843">
        <v>6.5354293703660002E-4</v>
      </c>
      <c r="H843">
        <v>2</v>
      </c>
      <c r="I843">
        <v>9</v>
      </c>
      <c r="J843">
        <v>0.54591798361839794</v>
      </c>
      <c r="K843">
        <v>-0.25415110021193971</v>
      </c>
      <c r="L843">
        <v>582274236.70057774</v>
      </c>
      <c r="M843" t="s">
        <v>874</v>
      </c>
      <c r="N843" t="s">
        <v>906</v>
      </c>
      <c r="O843" t="s">
        <v>909</v>
      </c>
      <c r="P843">
        <v>1257</v>
      </c>
      <c r="Q843">
        <v>598</v>
      </c>
      <c r="R843">
        <v>659</v>
      </c>
    </row>
    <row r="844" spans="1:18" x14ac:dyDescent="0.3">
      <c r="A844" t="s">
        <v>1864</v>
      </c>
      <c r="B844">
        <v>2022</v>
      </c>
      <c r="C844">
        <v>0.65415382407696154</v>
      </c>
      <c r="D844">
        <v>0</v>
      </c>
      <c r="E844">
        <v>19</v>
      </c>
      <c r="F844">
        <v>58</v>
      </c>
      <c r="G844">
        <v>1.5612011110885001E-3</v>
      </c>
      <c r="H844">
        <v>2</v>
      </c>
      <c r="I844">
        <v>1</v>
      </c>
      <c r="J844">
        <v>0.47594255899162269</v>
      </c>
      <c r="K844">
        <v>-0.1562574552959696</v>
      </c>
      <c r="L844">
        <v>166114287.11292821</v>
      </c>
      <c r="M844" t="s">
        <v>874</v>
      </c>
      <c r="N844" t="s">
        <v>911</v>
      </c>
      <c r="O844" t="s">
        <v>911</v>
      </c>
      <c r="P844">
        <v>2253</v>
      </c>
      <c r="Q844">
        <v>1202</v>
      </c>
      <c r="R844">
        <v>1051</v>
      </c>
    </row>
    <row r="845" spans="1:18" x14ac:dyDescent="0.3">
      <c r="A845" t="s">
        <v>1865</v>
      </c>
      <c r="B845">
        <v>2022</v>
      </c>
      <c r="C845">
        <v>21.1729756796902</v>
      </c>
      <c r="D845">
        <v>0</v>
      </c>
      <c r="E845">
        <v>1242</v>
      </c>
      <c r="F845">
        <v>265</v>
      </c>
      <c r="G845">
        <v>3.031736852251E-3</v>
      </c>
      <c r="H845">
        <v>3</v>
      </c>
      <c r="I845">
        <v>4</v>
      </c>
      <c r="J845">
        <v>0.22944559816573309</v>
      </c>
      <c r="K845">
        <v>-0.187634407430158</v>
      </c>
      <c r="L845">
        <v>2807232.544663283</v>
      </c>
      <c r="M845" t="s">
        <v>913</v>
      </c>
      <c r="N845" t="s">
        <v>64</v>
      </c>
      <c r="O845" t="s">
        <v>914</v>
      </c>
      <c r="P845">
        <v>7243</v>
      </c>
      <c r="Q845">
        <v>6002</v>
      </c>
      <c r="R845">
        <v>1241</v>
      </c>
    </row>
    <row r="846" spans="1:18" x14ac:dyDescent="0.3">
      <c r="A846" t="s">
        <v>1866</v>
      </c>
      <c r="B846">
        <v>2022</v>
      </c>
      <c r="C846">
        <v>0.66301895554285728</v>
      </c>
      <c r="D846">
        <v>0</v>
      </c>
      <c r="E846">
        <v>521</v>
      </c>
      <c r="F846">
        <v>231</v>
      </c>
      <c r="G846">
        <v>4.8885778214039996E-4</v>
      </c>
      <c r="H846">
        <v>20</v>
      </c>
      <c r="I846">
        <v>0</v>
      </c>
      <c r="J846">
        <v>0.20712741820434599</v>
      </c>
      <c r="K846">
        <v>-0.15321309336981989</v>
      </c>
      <c r="L846">
        <v>566921593.84276283</v>
      </c>
      <c r="M846" t="s">
        <v>913</v>
      </c>
      <c r="N846" t="s">
        <v>64</v>
      </c>
      <c r="O846" t="s">
        <v>57</v>
      </c>
      <c r="P846">
        <v>847</v>
      </c>
      <c r="Q846">
        <v>416</v>
      </c>
      <c r="R846">
        <v>431</v>
      </c>
    </row>
    <row r="847" spans="1:18" x14ac:dyDescent="0.3">
      <c r="A847" t="s">
        <v>1867</v>
      </c>
      <c r="B847">
        <v>2022</v>
      </c>
      <c r="C847">
        <v>0.53567469160514813</v>
      </c>
      <c r="D847">
        <v>0</v>
      </c>
      <c r="E847">
        <v>177</v>
      </c>
      <c r="F847">
        <v>92</v>
      </c>
      <c r="G847">
        <v>2.1364787759383E-3</v>
      </c>
      <c r="H847">
        <v>3</v>
      </c>
      <c r="I847">
        <v>1</v>
      </c>
      <c r="J847">
        <v>0.1968733914511416</v>
      </c>
      <c r="K847">
        <v>-0.17176665624500531</v>
      </c>
      <c r="L847">
        <v>177121877.36183181</v>
      </c>
      <c r="M847" t="s">
        <v>913</v>
      </c>
      <c r="N847" t="s">
        <v>64</v>
      </c>
      <c r="O847" t="s">
        <v>915</v>
      </c>
      <c r="P847">
        <v>145</v>
      </c>
      <c r="Q847">
        <v>69</v>
      </c>
      <c r="R847">
        <v>76</v>
      </c>
    </row>
    <row r="848" spans="1:18" x14ac:dyDescent="0.3">
      <c r="A848" t="s">
        <v>1868</v>
      </c>
      <c r="B848">
        <v>2022</v>
      </c>
      <c r="C848">
        <v>10.934643879389441</v>
      </c>
      <c r="D848">
        <v>0</v>
      </c>
      <c r="E848">
        <v>285</v>
      </c>
      <c r="F848">
        <v>117</v>
      </c>
      <c r="G848">
        <v>5.3568275023054999E-3</v>
      </c>
      <c r="H848">
        <v>1</v>
      </c>
      <c r="I848">
        <v>2</v>
      </c>
      <c r="J848">
        <v>0.13919563233225291</v>
      </c>
      <c r="K848">
        <v>-7.8652023505312404E-2</v>
      </c>
      <c r="L848">
        <v>1573597.2543837789</v>
      </c>
      <c r="M848" t="s">
        <v>913</v>
      </c>
      <c r="N848" t="s">
        <v>916</v>
      </c>
      <c r="O848" t="s">
        <v>917</v>
      </c>
      <c r="P848">
        <v>2746</v>
      </c>
      <c r="Q848">
        <v>2110</v>
      </c>
      <c r="R848">
        <v>636</v>
      </c>
    </row>
    <row r="849" spans="1:18" x14ac:dyDescent="0.3">
      <c r="A849" t="s">
        <v>1869</v>
      </c>
      <c r="B849">
        <v>2022</v>
      </c>
      <c r="C849">
        <v>11.056356911320391</v>
      </c>
      <c r="D849">
        <v>0</v>
      </c>
      <c r="E849">
        <v>52</v>
      </c>
      <c r="F849">
        <v>161</v>
      </c>
      <c r="G849">
        <v>7.5410765888659997E-4</v>
      </c>
      <c r="H849">
        <v>14</v>
      </c>
      <c r="I849">
        <v>0</v>
      </c>
      <c r="J849">
        <v>6.5930441107125995E-2</v>
      </c>
      <c r="K849">
        <v>-2.0162650565224002E-3</v>
      </c>
      <c r="L849">
        <v>4854893578.5913839</v>
      </c>
      <c r="M849" t="s">
        <v>913</v>
      </c>
      <c r="N849" t="s">
        <v>916</v>
      </c>
      <c r="O849" t="s">
        <v>918</v>
      </c>
      <c r="P849">
        <v>295</v>
      </c>
      <c r="Q849">
        <v>17</v>
      </c>
      <c r="R849">
        <v>278</v>
      </c>
    </row>
    <row r="850" spans="1:18" x14ac:dyDescent="0.3">
      <c r="A850" t="s">
        <v>1870</v>
      </c>
      <c r="B850">
        <v>2022</v>
      </c>
      <c r="C850">
        <v>13.424762892615799</v>
      </c>
      <c r="D850">
        <v>0</v>
      </c>
      <c r="E850">
        <v>1216</v>
      </c>
      <c r="F850">
        <v>430</v>
      </c>
      <c r="G850">
        <v>2.0543120426675002E-3</v>
      </c>
      <c r="H850">
        <v>8</v>
      </c>
      <c r="I850">
        <v>5</v>
      </c>
      <c r="J850">
        <v>0.1609671576028118</v>
      </c>
      <c r="K850">
        <v>-0.16416178125296921</v>
      </c>
      <c r="L850">
        <v>2900585.603168577</v>
      </c>
      <c r="M850" t="s">
        <v>913</v>
      </c>
      <c r="N850" t="s">
        <v>919</v>
      </c>
      <c r="O850" t="s">
        <v>920</v>
      </c>
      <c r="P850">
        <v>12678</v>
      </c>
      <c r="Q850">
        <v>9485</v>
      </c>
      <c r="R850">
        <v>3193</v>
      </c>
    </row>
    <row r="851" spans="1:18" x14ac:dyDescent="0.3">
      <c r="A851" t="s">
        <v>1871</v>
      </c>
      <c r="B851">
        <v>2022</v>
      </c>
      <c r="C851">
        <v>0.65517240921818964</v>
      </c>
      <c r="D851">
        <v>0</v>
      </c>
      <c r="E851">
        <v>1004</v>
      </c>
      <c r="F851">
        <v>519</v>
      </c>
      <c r="G851">
        <v>5.7817585041880005E-4</v>
      </c>
      <c r="H851">
        <v>24</v>
      </c>
      <c r="I851">
        <v>2</v>
      </c>
      <c r="J851">
        <v>0.2130496376817109</v>
      </c>
      <c r="K851">
        <v>-0.12277458351323289</v>
      </c>
      <c r="L851">
        <v>444287194.97659862</v>
      </c>
      <c r="M851" t="s">
        <v>913</v>
      </c>
      <c r="N851" t="s">
        <v>919</v>
      </c>
      <c r="O851" t="s">
        <v>921</v>
      </c>
      <c r="P851">
        <v>3928</v>
      </c>
      <c r="Q851">
        <v>1406</v>
      </c>
      <c r="R851">
        <v>2522</v>
      </c>
    </row>
    <row r="852" spans="1:18" x14ac:dyDescent="0.3">
      <c r="A852" t="s">
        <v>1872</v>
      </c>
      <c r="B852">
        <v>2022</v>
      </c>
      <c r="C852">
        <v>0.50174522134102639</v>
      </c>
      <c r="D852">
        <v>0</v>
      </c>
      <c r="E852">
        <v>378</v>
      </c>
      <c r="F852">
        <v>291</v>
      </c>
      <c r="G852">
        <v>5.8340100277609998E-4</v>
      </c>
      <c r="H852">
        <v>9</v>
      </c>
      <c r="I852">
        <v>1</v>
      </c>
      <c r="J852">
        <v>0.26360636438169738</v>
      </c>
      <c r="K852">
        <v>-0.16861056561253329</v>
      </c>
      <c r="L852">
        <v>586921513.33640969</v>
      </c>
      <c r="M852" t="s">
        <v>913</v>
      </c>
      <c r="N852" t="s">
        <v>919</v>
      </c>
      <c r="O852" t="s">
        <v>330</v>
      </c>
      <c r="P852">
        <v>560</v>
      </c>
      <c r="Q852">
        <v>8</v>
      </c>
      <c r="R852">
        <v>552</v>
      </c>
    </row>
    <row r="853" spans="1:18" x14ac:dyDescent="0.3">
      <c r="A853" t="s">
        <v>1873</v>
      </c>
      <c r="B853">
        <v>2022</v>
      </c>
      <c r="C853">
        <v>4.63891530637994</v>
      </c>
      <c r="D853">
        <v>0</v>
      </c>
      <c r="E853">
        <v>41</v>
      </c>
      <c r="F853">
        <v>112</v>
      </c>
      <c r="G853">
        <v>1.3504315391106999E-3</v>
      </c>
      <c r="H853">
        <v>16</v>
      </c>
      <c r="I853">
        <v>7</v>
      </c>
      <c r="J853">
        <v>0.62900136764498071</v>
      </c>
      <c r="K853">
        <v>-0.2774629618649726</v>
      </c>
      <c r="L853">
        <v>246060948.73768979</v>
      </c>
      <c r="M853" t="s">
        <v>922</v>
      </c>
      <c r="N853" t="s">
        <v>923</v>
      </c>
      <c r="O853" t="s">
        <v>925</v>
      </c>
      <c r="P853">
        <v>3145</v>
      </c>
      <c r="Q853">
        <v>587</v>
      </c>
      <c r="R853">
        <v>2558</v>
      </c>
    </row>
    <row r="854" spans="1:18" x14ac:dyDescent="0.3">
      <c r="A854" t="s">
        <v>1874</v>
      </c>
      <c r="B854">
        <v>2022</v>
      </c>
      <c r="C854">
        <v>3.866109752102906</v>
      </c>
      <c r="D854">
        <v>0</v>
      </c>
      <c r="E854">
        <v>14</v>
      </c>
      <c r="F854">
        <v>181</v>
      </c>
      <c r="G854">
        <v>5.7831576729950001E-4</v>
      </c>
      <c r="H854">
        <v>7</v>
      </c>
      <c r="I854">
        <v>4</v>
      </c>
      <c r="J854">
        <v>0.59646513695143588</v>
      </c>
      <c r="K854">
        <v>-0.28546421302664388</v>
      </c>
      <c r="L854">
        <v>438959963.96727401</v>
      </c>
      <c r="M854" t="s">
        <v>922</v>
      </c>
      <c r="N854" t="s">
        <v>923</v>
      </c>
      <c r="O854" t="s">
        <v>927</v>
      </c>
      <c r="P854">
        <v>6915</v>
      </c>
      <c r="Q854">
        <v>1228</v>
      </c>
      <c r="R854">
        <v>5687</v>
      </c>
    </row>
    <row r="855" spans="1:18" x14ac:dyDescent="0.3">
      <c r="A855" t="s">
        <v>1875</v>
      </c>
      <c r="B855">
        <v>2022</v>
      </c>
      <c r="C855">
        <v>3.0686297500484172</v>
      </c>
      <c r="D855">
        <v>0</v>
      </c>
      <c r="E855">
        <v>91</v>
      </c>
      <c r="F855">
        <v>458</v>
      </c>
      <c r="G855">
        <v>2.6704281561239999E-4</v>
      </c>
      <c r="H855">
        <v>11</v>
      </c>
      <c r="I855">
        <v>9</v>
      </c>
      <c r="J855">
        <v>0.67099231417392369</v>
      </c>
      <c r="K855">
        <v>-0.30054419937950289</v>
      </c>
      <c r="L855">
        <v>884219418.46103084</v>
      </c>
      <c r="M855" t="s">
        <v>922</v>
      </c>
      <c r="N855" t="s">
        <v>923</v>
      </c>
      <c r="O855" t="s">
        <v>928</v>
      </c>
      <c r="P855">
        <v>8423</v>
      </c>
      <c r="Q855">
        <v>2186</v>
      </c>
      <c r="R855">
        <v>6237</v>
      </c>
    </row>
    <row r="856" spans="1:18" x14ac:dyDescent="0.3">
      <c r="A856" t="s">
        <v>1876</v>
      </c>
      <c r="B856">
        <v>2022</v>
      </c>
      <c r="C856">
        <v>0.55369004042993997</v>
      </c>
      <c r="D856">
        <v>0</v>
      </c>
      <c r="E856">
        <v>1</v>
      </c>
      <c r="F856">
        <v>137</v>
      </c>
      <c r="G856">
        <v>9.5033690778489996E-4</v>
      </c>
      <c r="H856">
        <v>12</v>
      </c>
      <c r="I856">
        <v>1</v>
      </c>
      <c r="J856">
        <v>0.69026408742309642</v>
      </c>
      <c r="K856">
        <v>-0.30734518790093512</v>
      </c>
      <c r="L856">
        <v>444201812.87294048</v>
      </c>
      <c r="M856" t="s">
        <v>922</v>
      </c>
      <c r="N856" t="s">
        <v>923</v>
      </c>
      <c r="O856" t="s">
        <v>332</v>
      </c>
      <c r="P856">
        <v>3473</v>
      </c>
      <c r="Q856">
        <v>839</v>
      </c>
      <c r="R856">
        <v>2634</v>
      </c>
    </row>
    <row r="857" spans="1:18" x14ac:dyDescent="0.3">
      <c r="A857" t="s">
        <v>1877</v>
      </c>
      <c r="B857">
        <v>2022</v>
      </c>
      <c r="C857">
        <v>0.5472076343069493</v>
      </c>
      <c r="D857">
        <v>0</v>
      </c>
      <c r="E857">
        <v>24</v>
      </c>
      <c r="F857">
        <v>70</v>
      </c>
      <c r="G857">
        <v>1.4568490609338999E-3</v>
      </c>
      <c r="H857">
        <v>4</v>
      </c>
      <c r="I857">
        <v>0</v>
      </c>
      <c r="J857">
        <v>0.6560918845324708</v>
      </c>
      <c r="K857">
        <v>-0.26656363589590137</v>
      </c>
      <c r="L857">
        <v>769669676.40913105</v>
      </c>
      <c r="M857" t="s">
        <v>922</v>
      </c>
      <c r="N857" t="s">
        <v>931</v>
      </c>
      <c r="O857" t="s">
        <v>934</v>
      </c>
      <c r="P857">
        <v>1558</v>
      </c>
      <c r="Q857">
        <v>585</v>
      </c>
      <c r="R857">
        <v>973</v>
      </c>
    </row>
    <row r="858" spans="1:18" x14ac:dyDescent="0.3">
      <c r="A858" t="s">
        <v>1878</v>
      </c>
      <c r="B858">
        <v>2022</v>
      </c>
      <c r="C858">
        <v>0.56446561738387735</v>
      </c>
      <c r="D858">
        <v>0</v>
      </c>
      <c r="E858">
        <v>9</v>
      </c>
      <c r="F858">
        <v>20</v>
      </c>
      <c r="G858">
        <v>2.2752533507682002E-3</v>
      </c>
      <c r="H858">
        <v>6</v>
      </c>
      <c r="I858">
        <v>0</v>
      </c>
      <c r="J858">
        <v>0.63426257215041415</v>
      </c>
      <c r="K858">
        <v>-0.25566619150069808</v>
      </c>
      <c r="L858">
        <v>600782911.43349707</v>
      </c>
      <c r="M858" t="s">
        <v>922</v>
      </c>
      <c r="N858" t="s">
        <v>935</v>
      </c>
      <c r="O858" t="s">
        <v>937</v>
      </c>
      <c r="P858">
        <v>1085</v>
      </c>
      <c r="Q858">
        <v>108</v>
      </c>
      <c r="R858">
        <v>977</v>
      </c>
    </row>
    <row r="859" spans="1:18" x14ac:dyDescent="0.3">
      <c r="A859" t="s">
        <v>1879</v>
      </c>
      <c r="B859">
        <v>2022</v>
      </c>
      <c r="C859">
        <v>0.51059451124785116</v>
      </c>
      <c r="D859">
        <v>0</v>
      </c>
      <c r="E859">
        <v>52</v>
      </c>
      <c r="F859">
        <v>2</v>
      </c>
      <c r="G859">
        <v>7.1428571428571397E-2</v>
      </c>
      <c r="H859">
        <v>1</v>
      </c>
      <c r="I859">
        <v>0</v>
      </c>
      <c r="J859">
        <v>0.65248519636380098</v>
      </c>
      <c r="K859">
        <v>-0.26858402521067259</v>
      </c>
      <c r="L859">
        <v>446985738.45903271</v>
      </c>
      <c r="M859" t="s">
        <v>922</v>
      </c>
      <c r="N859" t="s">
        <v>935</v>
      </c>
      <c r="O859" t="s">
        <v>938</v>
      </c>
      <c r="P859">
        <v>76</v>
      </c>
      <c r="Q859">
        <v>0</v>
      </c>
      <c r="R859">
        <v>76</v>
      </c>
    </row>
    <row r="860" spans="1:18" x14ac:dyDescent="0.3">
      <c r="A860" t="s">
        <v>1880</v>
      </c>
      <c r="B860">
        <v>2022</v>
      </c>
      <c r="C860">
        <v>1.6298508032879231</v>
      </c>
      <c r="D860">
        <v>0</v>
      </c>
      <c r="E860">
        <v>1</v>
      </c>
      <c r="F860">
        <v>33</v>
      </c>
      <c r="G860">
        <v>2.6178010471203999E-3</v>
      </c>
      <c r="H860">
        <v>3</v>
      </c>
      <c r="I860">
        <v>4</v>
      </c>
      <c r="J860">
        <v>0.63463094744745308</v>
      </c>
      <c r="K860">
        <v>-0.26576474654063181</v>
      </c>
      <c r="L860">
        <v>545927302.08133411</v>
      </c>
      <c r="M860" t="s">
        <v>922</v>
      </c>
      <c r="N860" t="s">
        <v>935</v>
      </c>
      <c r="O860" t="s">
        <v>940</v>
      </c>
      <c r="P860">
        <v>1797</v>
      </c>
      <c r="Q860">
        <v>13</v>
      </c>
      <c r="R860">
        <v>1784</v>
      </c>
    </row>
    <row r="861" spans="1:18" x14ac:dyDescent="0.3">
      <c r="A861" t="s">
        <v>1881</v>
      </c>
      <c r="B861">
        <v>2022</v>
      </c>
      <c r="C861">
        <v>7.3282924940597889</v>
      </c>
      <c r="D861">
        <v>0</v>
      </c>
      <c r="E861">
        <v>279</v>
      </c>
      <c r="F861">
        <v>170</v>
      </c>
      <c r="G861">
        <v>1.6254917909477001E-3</v>
      </c>
      <c r="H861">
        <v>18</v>
      </c>
      <c r="I861">
        <v>3</v>
      </c>
      <c r="J861">
        <v>0.61905769549856926</v>
      </c>
      <c r="K861">
        <v>-0.2413536345538087</v>
      </c>
      <c r="L861">
        <v>541839249.43046999</v>
      </c>
      <c r="M861" t="s">
        <v>922</v>
      </c>
      <c r="N861" t="s">
        <v>942</v>
      </c>
      <c r="O861" t="s">
        <v>943</v>
      </c>
      <c r="P861">
        <v>6852</v>
      </c>
      <c r="Q861">
        <v>431</v>
      </c>
      <c r="R861">
        <v>6421</v>
      </c>
    </row>
    <row r="862" spans="1:18" x14ac:dyDescent="0.3">
      <c r="A862" t="s">
        <v>1882</v>
      </c>
      <c r="B862">
        <v>2022</v>
      </c>
      <c r="C862">
        <v>0.81559538149818078</v>
      </c>
      <c r="D862">
        <v>0</v>
      </c>
      <c r="E862">
        <v>32</v>
      </c>
      <c r="F862">
        <v>25</v>
      </c>
      <c r="G862">
        <v>5.8608058608058001E-3</v>
      </c>
      <c r="H862">
        <v>3</v>
      </c>
      <c r="I862">
        <v>1</v>
      </c>
      <c r="J862">
        <v>0.58523011562214222</v>
      </c>
      <c r="K862">
        <v>-0.20293724261525981</v>
      </c>
      <c r="L862">
        <v>609598789.25019407</v>
      </c>
      <c r="M862" t="s">
        <v>922</v>
      </c>
      <c r="N862" t="s">
        <v>942</v>
      </c>
      <c r="O862" t="s">
        <v>944</v>
      </c>
      <c r="P862">
        <v>746</v>
      </c>
      <c r="Q862">
        <v>57</v>
      </c>
      <c r="R862">
        <v>689</v>
      </c>
    </row>
    <row r="863" spans="1:18" x14ac:dyDescent="0.3">
      <c r="A863" t="s">
        <v>1883</v>
      </c>
      <c r="B863">
        <v>2022</v>
      </c>
      <c r="C863">
        <v>1.0395166527247419</v>
      </c>
      <c r="D863">
        <v>0</v>
      </c>
      <c r="E863">
        <v>81</v>
      </c>
      <c r="F863">
        <v>368</v>
      </c>
      <c r="G863">
        <v>4.029679541659E-4</v>
      </c>
      <c r="H863">
        <v>9</v>
      </c>
      <c r="I863">
        <v>1</v>
      </c>
      <c r="J863">
        <v>0.62719063521526242</v>
      </c>
      <c r="K863">
        <v>-0.27242235846930851</v>
      </c>
      <c r="L863">
        <v>672060804.99508429</v>
      </c>
      <c r="M863" t="s">
        <v>922</v>
      </c>
      <c r="N863" t="s">
        <v>942</v>
      </c>
      <c r="O863" t="s">
        <v>324</v>
      </c>
      <c r="P863">
        <v>4469</v>
      </c>
      <c r="Q863">
        <v>777</v>
      </c>
      <c r="R863">
        <v>3692</v>
      </c>
    </row>
    <row r="864" spans="1:18" x14ac:dyDescent="0.3">
      <c r="A864" t="s">
        <v>1884</v>
      </c>
      <c r="B864">
        <v>2022</v>
      </c>
      <c r="C864">
        <v>1.0039888264999239</v>
      </c>
      <c r="D864">
        <v>0</v>
      </c>
      <c r="E864">
        <v>5</v>
      </c>
      <c r="F864">
        <v>146</v>
      </c>
      <c r="G864">
        <v>1.0322185596832001E-3</v>
      </c>
      <c r="H864">
        <v>6</v>
      </c>
      <c r="I864">
        <v>1</v>
      </c>
      <c r="J864">
        <v>0.69754253871776961</v>
      </c>
      <c r="K864">
        <v>-0.28968002778422858</v>
      </c>
      <c r="L864">
        <v>713147778.95061409</v>
      </c>
      <c r="M864" t="s">
        <v>922</v>
      </c>
      <c r="N864" t="s">
        <v>952</v>
      </c>
      <c r="O864" t="s">
        <v>953</v>
      </c>
      <c r="P864">
        <v>3801</v>
      </c>
      <c r="Q864">
        <v>2223</v>
      </c>
      <c r="R864">
        <v>1578</v>
      </c>
    </row>
    <row r="865" spans="1:18" x14ac:dyDescent="0.3">
      <c r="A865" t="s">
        <v>1885</v>
      </c>
      <c r="B865">
        <v>2022</v>
      </c>
      <c r="C865">
        <v>0.72486146366239079</v>
      </c>
      <c r="D865">
        <v>0</v>
      </c>
      <c r="E865">
        <v>1</v>
      </c>
      <c r="F865">
        <v>149</v>
      </c>
      <c r="G865">
        <v>1.1540099469193E-3</v>
      </c>
      <c r="H865">
        <v>6</v>
      </c>
      <c r="I865">
        <v>0</v>
      </c>
      <c r="J865">
        <v>0.67393903785060905</v>
      </c>
      <c r="K865">
        <v>-0.3281338089963699</v>
      </c>
      <c r="L865">
        <v>118040653.9065161</v>
      </c>
      <c r="M865" t="s">
        <v>922</v>
      </c>
      <c r="N865" t="s">
        <v>952</v>
      </c>
      <c r="O865" t="s">
        <v>251</v>
      </c>
      <c r="P865">
        <v>3103</v>
      </c>
      <c r="Q865">
        <v>1271</v>
      </c>
      <c r="R865">
        <v>1832</v>
      </c>
    </row>
    <row r="866" spans="1:18" x14ac:dyDescent="0.3">
      <c r="A866" t="s">
        <v>1886</v>
      </c>
      <c r="B866">
        <v>2022</v>
      </c>
      <c r="C866">
        <v>0.55558102183751268</v>
      </c>
      <c r="D866">
        <v>0</v>
      </c>
      <c r="E866">
        <v>1398</v>
      </c>
      <c r="F866">
        <v>149</v>
      </c>
      <c r="G866">
        <v>9.6419905678790001E-4</v>
      </c>
      <c r="H866">
        <v>1</v>
      </c>
      <c r="I866">
        <v>1</v>
      </c>
      <c r="J866">
        <v>0.68545478472664689</v>
      </c>
      <c r="K866">
        <v>-0.31513083445447271</v>
      </c>
      <c r="L866">
        <v>372194216.44688791</v>
      </c>
      <c r="M866" t="s">
        <v>922</v>
      </c>
      <c r="N866" t="s">
        <v>952</v>
      </c>
      <c r="O866" t="s">
        <v>955</v>
      </c>
      <c r="P866">
        <v>4234</v>
      </c>
      <c r="Q866">
        <v>474</v>
      </c>
      <c r="R866">
        <v>3760</v>
      </c>
    </row>
    <row r="867" spans="1:18" x14ac:dyDescent="0.3">
      <c r="A867" t="s">
        <v>1887</v>
      </c>
      <c r="B867">
        <v>2022</v>
      </c>
      <c r="C867">
        <v>0.48205638429800152</v>
      </c>
      <c r="D867">
        <v>0</v>
      </c>
      <c r="E867">
        <v>90</v>
      </c>
      <c r="F867">
        <v>13</v>
      </c>
      <c r="G867">
        <v>1.46551724137931E-2</v>
      </c>
      <c r="H867">
        <v>2</v>
      </c>
      <c r="I867">
        <v>0</v>
      </c>
      <c r="J867">
        <v>0.57514151126306512</v>
      </c>
      <c r="K867">
        <v>-0.19983348598295589</v>
      </c>
      <c r="L867">
        <v>2267544996.8578529</v>
      </c>
      <c r="M867" t="s">
        <v>922</v>
      </c>
      <c r="N867" t="s">
        <v>956</v>
      </c>
      <c r="O867" t="s">
        <v>956</v>
      </c>
      <c r="P867">
        <v>435</v>
      </c>
      <c r="Q867">
        <v>185</v>
      </c>
      <c r="R867">
        <v>250</v>
      </c>
    </row>
    <row r="868" spans="1:18" x14ac:dyDescent="0.3">
      <c r="A868" t="s">
        <v>1888</v>
      </c>
      <c r="B868">
        <v>2022</v>
      </c>
      <c r="C868">
        <v>5.6393302727095476</v>
      </c>
      <c r="D868">
        <v>0</v>
      </c>
      <c r="E868">
        <v>43</v>
      </c>
      <c r="F868">
        <v>215</v>
      </c>
      <c r="G868">
        <v>3.194281982937E-4</v>
      </c>
      <c r="H868">
        <v>4</v>
      </c>
      <c r="I868">
        <v>7</v>
      </c>
      <c r="J868">
        <v>0.6230662053328212</v>
      </c>
      <c r="K868">
        <v>-0.26747183205570291</v>
      </c>
      <c r="L868">
        <v>1238449566.7895081</v>
      </c>
      <c r="M868" t="s">
        <v>959</v>
      </c>
      <c r="N868" t="s">
        <v>960</v>
      </c>
      <c r="O868" t="s">
        <v>962</v>
      </c>
      <c r="P868">
        <v>7248</v>
      </c>
      <c r="Q868">
        <v>1592</v>
      </c>
      <c r="R868">
        <v>5656</v>
      </c>
    </row>
    <row r="869" spans="1:18" x14ac:dyDescent="0.3">
      <c r="A869" t="s">
        <v>1889</v>
      </c>
      <c r="B869">
        <v>2022</v>
      </c>
      <c r="C869">
        <v>5.9831496355680418</v>
      </c>
      <c r="D869">
        <v>0</v>
      </c>
      <c r="E869">
        <v>32</v>
      </c>
      <c r="F869">
        <v>150</v>
      </c>
      <c r="G869">
        <v>7.328666252538E-4</v>
      </c>
      <c r="H869">
        <v>4</v>
      </c>
      <c r="I869">
        <v>1</v>
      </c>
      <c r="J869">
        <v>0.60787432976087885</v>
      </c>
      <c r="K869">
        <v>-0.25405081178363831</v>
      </c>
      <c r="L869">
        <v>408319512.25487357</v>
      </c>
      <c r="M869" t="s">
        <v>959</v>
      </c>
      <c r="N869" t="s">
        <v>960</v>
      </c>
      <c r="O869" t="s">
        <v>963</v>
      </c>
      <c r="P869">
        <v>3107</v>
      </c>
      <c r="Q869">
        <v>892</v>
      </c>
      <c r="R869">
        <v>2215</v>
      </c>
    </row>
    <row r="870" spans="1:18" x14ac:dyDescent="0.3">
      <c r="A870" t="s">
        <v>1890</v>
      </c>
      <c r="B870">
        <v>2022</v>
      </c>
      <c r="C870">
        <v>0.59728706153514599</v>
      </c>
      <c r="D870">
        <v>0</v>
      </c>
      <c r="E870">
        <v>13</v>
      </c>
      <c r="F870">
        <v>60</v>
      </c>
      <c r="G870">
        <v>9.3670628171629996E-4</v>
      </c>
      <c r="H870">
        <v>4</v>
      </c>
      <c r="I870">
        <v>2</v>
      </c>
      <c r="J870">
        <v>0.61583599026614322</v>
      </c>
      <c r="K870">
        <v>-0.2474725968795938</v>
      </c>
      <c r="L870">
        <v>982094826.70175695</v>
      </c>
      <c r="M870" t="s">
        <v>959</v>
      </c>
      <c r="N870" t="s">
        <v>960</v>
      </c>
      <c r="O870" t="s">
        <v>964</v>
      </c>
      <c r="P870">
        <v>1559</v>
      </c>
      <c r="Q870">
        <v>21</v>
      </c>
      <c r="R870">
        <v>1538</v>
      </c>
    </row>
    <row r="871" spans="1:18" x14ac:dyDescent="0.3">
      <c r="A871" t="s">
        <v>1891</v>
      </c>
      <c r="B871">
        <v>2022</v>
      </c>
      <c r="C871">
        <v>17.27819327855229</v>
      </c>
      <c r="D871">
        <v>0</v>
      </c>
      <c r="E871">
        <v>332</v>
      </c>
      <c r="F871">
        <v>105</v>
      </c>
      <c r="G871">
        <v>8.2939337953659995E-4</v>
      </c>
      <c r="H871">
        <v>3</v>
      </c>
      <c r="I871">
        <v>1</v>
      </c>
      <c r="J871">
        <v>0.6056715047335498</v>
      </c>
      <c r="K871">
        <v>-0.27345317445839562</v>
      </c>
      <c r="L871">
        <v>136803564.21903411</v>
      </c>
      <c r="M871" t="s">
        <v>959</v>
      </c>
      <c r="N871" t="s">
        <v>960</v>
      </c>
      <c r="O871" t="s">
        <v>965</v>
      </c>
      <c r="P871">
        <v>3279</v>
      </c>
      <c r="Q871">
        <v>898</v>
      </c>
      <c r="R871">
        <v>2381</v>
      </c>
    </row>
    <row r="872" spans="1:18" x14ac:dyDescent="0.3">
      <c r="A872" t="s">
        <v>1892</v>
      </c>
      <c r="B872">
        <v>2022</v>
      </c>
      <c r="C872">
        <v>5.53117598043759</v>
      </c>
      <c r="D872">
        <v>0</v>
      </c>
      <c r="E872">
        <v>65</v>
      </c>
      <c r="F872">
        <v>53</v>
      </c>
      <c r="G872">
        <v>2.0261587976780999E-3</v>
      </c>
      <c r="H872">
        <v>3</v>
      </c>
      <c r="I872">
        <v>1</v>
      </c>
      <c r="J872">
        <v>0.6129416879484717</v>
      </c>
      <c r="K872">
        <v>-0.232427191263606</v>
      </c>
      <c r="L872">
        <v>871819078.3671912</v>
      </c>
      <c r="M872" t="s">
        <v>959</v>
      </c>
      <c r="N872" t="s">
        <v>960</v>
      </c>
      <c r="O872" t="s">
        <v>966</v>
      </c>
      <c r="P872">
        <v>1246</v>
      </c>
      <c r="Q872">
        <v>8</v>
      </c>
      <c r="R872">
        <v>1238</v>
      </c>
    </row>
    <row r="873" spans="1:18" x14ac:dyDescent="0.3">
      <c r="A873" t="s">
        <v>1893</v>
      </c>
      <c r="B873">
        <v>2022</v>
      </c>
      <c r="C873">
        <v>1.7769509815786759</v>
      </c>
      <c r="D873">
        <v>0</v>
      </c>
      <c r="E873">
        <v>127</v>
      </c>
      <c r="F873">
        <v>58</v>
      </c>
      <c r="G873">
        <v>1.0729332949519E-3</v>
      </c>
      <c r="H873">
        <v>16</v>
      </c>
      <c r="I873">
        <v>1</v>
      </c>
      <c r="J873">
        <v>0.61999134140540513</v>
      </c>
      <c r="K873">
        <v>-0.27133652621063897</v>
      </c>
      <c r="L873">
        <v>130948424.9244604</v>
      </c>
      <c r="M873" t="s">
        <v>959</v>
      </c>
      <c r="N873" t="s">
        <v>960</v>
      </c>
      <c r="O873" t="s">
        <v>167</v>
      </c>
      <c r="P873">
        <v>1491</v>
      </c>
      <c r="Q873">
        <v>131</v>
      </c>
      <c r="R873">
        <v>1360</v>
      </c>
    </row>
    <row r="874" spans="1:18" x14ac:dyDescent="0.3">
      <c r="A874" t="s">
        <v>1894</v>
      </c>
      <c r="B874">
        <v>2022</v>
      </c>
      <c r="C874">
        <v>1.2667953122292579</v>
      </c>
      <c r="D874">
        <v>0</v>
      </c>
      <c r="E874">
        <v>92</v>
      </c>
      <c r="F874">
        <v>138</v>
      </c>
      <c r="G874">
        <v>5.0798868421979997E-4</v>
      </c>
      <c r="H874">
        <v>4</v>
      </c>
      <c r="I874">
        <v>11</v>
      </c>
      <c r="J874">
        <v>0.59639104987537672</v>
      </c>
      <c r="K874">
        <v>-0.2393029906394771</v>
      </c>
      <c r="L874">
        <v>1478548421.4867339</v>
      </c>
      <c r="M874" t="s">
        <v>959</v>
      </c>
      <c r="N874" t="s">
        <v>960</v>
      </c>
      <c r="O874" t="s">
        <v>967</v>
      </c>
      <c r="P874">
        <v>3639</v>
      </c>
      <c r="Q874">
        <v>246</v>
      </c>
      <c r="R874">
        <v>3393</v>
      </c>
    </row>
    <row r="875" spans="1:18" x14ac:dyDescent="0.3">
      <c r="A875" t="s">
        <v>1895</v>
      </c>
      <c r="B875">
        <v>2022</v>
      </c>
      <c r="C875">
        <v>1.8769811476470291</v>
      </c>
      <c r="D875">
        <v>0</v>
      </c>
      <c r="E875">
        <v>1704</v>
      </c>
      <c r="F875">
        <v>193</v>
      </c>
      <c r="G875">
        <v>8.4097540641930001E-4</v>
      </c>
      <c r="H875">
        <v>20</v>
      </c>
      <c r="I875">
        <v>0</v>
      </c>
      <c r="J875">
        <v>0.64551779027926204</v>
      </c>
      <c r="K875">
        <v>-0.29953878455199701</v>
      </c>
      <c r="L875">
        <v>308387838.13876569</v>
      </c>
      <c r="M875" t="s">
        <v>959</v>
      </c>
      <c r="N875" t="s">
        <v>960</v>
      </c>
      <c r="O875" t="s">
        <v>890</v>
      </c>
      <c r="P875">
        <v>3511</v>
      </c>
      <c r="Q875">
        <v>272</v>
      </c>
      <c r="R875">
        <v>3239</v>
      </c>
    </row>
    <row r="876" spans="1:18" x14ac:dyDescent="0.3">
      <c r="A876" t="s">
        <v>1896</v>
      </c>
      <c r="B876">
        <v>2022</v>
      </c>
      <c r="C876">
        <v>0.59860717409757769</v>
      </c>
      <c r="D876">
        <v>0</v>
      </c>
      <c r="E876">
        <v>1898</v>
      </c>
      <c r="F876">
        <v>83</v>
      </c>
      <c r="G876">
        <v>1.021629867022E-3</v>
      </c>
      <c r="H876">
        <v>10</v>
      </c>
      <c r="I876">
        <v>0</v>
      </c>
      <c r="J876">
        <v>0.65349708365380421</v>
      </c>
      <c r="K876">
        <v>-0.27471105227667741</v>
      </c>
      <c r="L876">
        <v>457599351.78716987</v>
      </c>
      <c r="M876" t="s">
        <v>959</v>
      </c>
      <c r="N876" t="s">
        <v>960</v>
      </c>
      <c r="O876" t="s">
        <v>969</v>
      </c>
      <c r="P876">
        <v>3255</v>
      </c>
      <c r="Q876">
        <v>262</v>
      </c>
      <c r="R876">
        <v>2993</v>
      </c>
    </row>
    <row r="877" spans="1:18" x14ac:dyDescent="0.3">
      <c r="A877" t="s">
        <v>1897</v>
      </c>
      <c r="B877">
        <v>2022</v>
      </c>
      <c r="C877">
        <v>1.1637225223681891</v>
      </c>
      <c r="D877">
        <v>0</v>
      </c>
      <c r="E877">
        <v>22</v>
      </c>
      <c r="F877">
        <v>72</v>
      </c>
      <c r="G877">
        <v>1.5574000740789999E-3</v>
      </c>
      <c r="H877">
        <v>20</v>
      </c>
      <c r="I877">
        <v>0</v>
      </c>
      <c r="J877">
        <v>0.67702399338471442</v>
      </c>
      <c r="K877">
        <v>-0.29430608826731069</v>
      </c>
      <c r="L877">
        <v>313930742.83686417</v>
      </c>
      <c r="M877" t="s">
        <v>959</v>
      </c>
      <c r="N877" t="s">
        <v>960</v>
      </c>
      <c r="O877" t="s">
        <v>970</v>
      </c>
      <c r="P877">
        <v>2496</v>
      </c>
      <c r="Q877">
        <v>0</v>
      </c>
      <c r="R877">
        <v>2496</v>
      </c>
    </row>
    <row r="878" spans="1:18" x14ac:dyDescent="0.3">
      <c r="A878" t="s">
        <v>1898</v>
      </c>
      <c r="B878">
        <v>2022</v>
      </c>
      <c r="C878">
        <v>0.52598693747757319</v>
      </c>
      <c r="D878">
        <v>0</v>
      </c>
      <c r="E878">
        <v>117</v>
      </c>
      <c r="F878">
        <v>18</v>
      </c>
      <c r="G878">
        <v>4.9874686716790996E-3</v>
      </c>
      <c r="H878">
        <v>2</v>
      </c>
      <c r="I878">
        <v>0</v>
      </c>
      <c r="J878">
        <v>0.57501530638721199</v>
      </c>
      <c r="K878">
        <v>-0.18591080125296011</v>
      </c>
      <c r="L878">
        <v>921515864.98987877</v>
      </c>
      <c r="M878" t="s">
        <v>959</v>
      </c>
      <c r="N878" t="s">
        <v>971</v>
      </c>
      <c r="O878" t="s">
        <v>973</v>
      </c>
      <c r="P878">
        <v>1137</v>
      </c>
      <c r="Q878">
        <v>14</v>
      </c>
      <c r="R878">
        <v>1123</v>
      </c>
    </row>
    <row r="879" spans="1:18" x14ac:dyDescent="0.3">
      <c r="A879" t="s">
        <v>1899</v>
      </c>
      <c r="B879">
        <v>2022</v>
      </c>
      <c r="C879">
        <v>0.50920870795834861</v>
      </c>
      <c r="D879">
        <v>0</v>
      </c>
      <c r="E879">
        <v>1</v>
      </c>
      <c r="F879">
        <v>34</v>
      </c>
      <c r="G879">
        <v>7.0771355275199999E-4</v>
      </c>
      <c r="H879">
        <v>2</v>
      </c>
      <c r="I879">
        <v>0</v>
      </c>
      <c r="J879">
        <v>0.6019357702563306</v>
      </c>
      <c r="K879">
        <v>-0.23869858906351391</v>
      </c>
      <c r="L879">
        <v>7124362352.9952555</v>
      </c>
      <c r="M879" t="s">
        <v>959</v>
      </c>
      <c r="N879" t="s">
        <v>971</v>
      </c>
      <c r="O879" t="s">
        <v>974</v>
      </c>
      <c r="P879">
        <v>708</v>
      </c>
      <c r="Q879">
        <v>35</v>
      </c>
      <c r="R879">
        <v>673</v>
      </c>
    </row>
    <row r="880" spans="1:18" x14ac:dyDescent="0.3">
      <c r="A880" t="s">
        <v>1900</v>
      </c>
      <c r="B880">
        <v>2022</v>
      </c>
      <c r="C880">
        <v>0.53150632011650978</v>
      </c>
      <c r="D880">
        <v>0</v>
      </c>
      <c r="E880">
        <v>2</v>
      </c>
      <c r="F880">
        <v>1</v>
      </c>
      <c r="G880">
        <v>4.54545454545454E-2</v>
      </c>
      <c r="H880">
        <v>1</v>
      </c>
      <c r="I880">
        <v>0</v>
      </c>
      <c r="J880">
        <v>0.56484860540036563</v>
      </c>
      <c r="K880">
        <v>-0.17856725063002951</v>
      </c>
      <c r="L880">
        <v>657302441.8760854</v>
      </c>
      <c r="M880" t="s">
        <v>959</v>
      </c>
      <c r="N880" t="s">
        <v>971</v>
      </c>
      <c r="O880" t="s">
        <v>975</v>
      </c>
      <c r="P880">
        <v>938</v>
      </c>
      <c r="Q880">
        <v>78</v>
      </c>
      <c r="R880">
        <v>860</v>
      </c>
    </row>
    <row r="881" spans="1:18" x14ac:dyDescent="0.3">
      <c r="A881" t="s">
        <v>1901</v>
      </c>
      <c r="B881">
        <v>2022</v>
      </c>
      <c r="C881">
        <v>1.4194965369282899</v>
      </c>
      <c r="D881">
        <v>0</v>
      </c>
      <c r="E881">
        <v>7</v>
      </c>
      <c r="F881">
        <v>39</v>
      </c>
      <c r="G881">
        <v>7.5818917924181002E-3</v>
      </c>
      <c r="H881">
        <v>3</v>
      </c>
      <c r="I881">
        <v>1</v>
      </c>
      <c r="J881">
        <v>0.59169232093126067</v>
      </c>
      <c r="K881">
        <v>-0.19653548131586079</v>
      </c>
      <c r="L881">
        <v>97964738.69385384</v>
      </c>
      <c r="M881" t="s">
        <v>959</v>
      </c>
      <c r="N881" t="s">
        <v>977</v>
      </c>
      <c r="O881" t="s">
        <v>979</v>
      </c>
      <c r="P881">
        <v>1652</v>
      </c>
      <c r="Q881">
        <v>13</v>
      </c>
      <c r="R881">
        <v>1639</v>
      </c>
    </row>
    <row r="882" spans="1:18" x14ac:dyDescent="0.3">
      <c r="A882" t="s">
        <v>1902</v>
      </c>
      <c r="B882">
        <v>2022</v>
      </c>
      <c r="C882">
        <v>65.333523134509633</v>
      </c>
      <c r="D882">
        <v>0</v>
      </c>
      <c r="E882">
        <v>141</v>
      </c>
      <c r="F882">
        <v>171</v>
      </c>
      <c r="G882">
        <v>6.8135894266549998E-4</v>
      </c>
      <c r="H882">
        <v>10</v>
      </c>
      <c r="I882">
        <v>1</v>
      </c>
      <c r="J882">
        <v>0.54627480696127861</v>
      </c>
      <c r="K882">
        <v>-0.26399179559172198</v>
      </c>
      <c r="L882">
        <v>133678987.8361751</v>
      </c>
      <c r="M882" t="s">
        <v>959</v>
      </c>
      <c r="N882" t="s">
        <v>977</v>
      </c>
      <c r="O882" t="s">
        <v>431</v>
      </c>
      <c r="P882">
        <v>4243</v>
      </c>
      <c r="Q882">
        <v>493</v>
      </c>
      <c r="R882">
        <v>3750</v>
      </c>
    </row>
    <row r="883" spans="1:18" x14ac:dyDescent="0.3">
      <c r="A883" t="s">
        <v>1903</v>
      </c>
      <c r="B883">
        <v>2022</v>
      </c>
      <c r="C883">
        <v>9.0586049725868687</v>
      </c>
      <c r="D883">
        <v>0</v>
      </c>
      <c r="E883">
        <v>3527</v>
      </c>
      <c r="F883">
        <v>203</v>
      </c>
      <c r="G883">
        <v>1.0609081073848E-3</v>
      </c>
      <c r="H883">
        <v>9</v>
      </c>
      <c r="I883">
        <v>2</v>
      </c>
      <c r="J883">
        <v>0.5898457118780478</v>
      </c>
      <c r="K883">
        <v>-0.25519062943279169</v>
      </c>
      <c r="L883">
        <v>282144379.33992231</v>
      </c>
      <c r="M883" t="s">
        <v>959</v>
      </c>
      <c r="N883" t="s">
        <v>977</v>
      </c>
      <c r="O883" t="s">
        <v>980</v>
      </c>
      <c r="P883">
        <v>5280</v>
      </c>
      <c r="Q883">
        <v>417</v>
      </c>
      <c r="R883">
        <v>4863</v>
      </c>
    </row>
    <row r="884" spans="1:18" x14ac:dyDescent="0.3">
      <c r="A884" t="s">
        <v>1904</v>
      </c>
      <c r="B884">
        <v>2022</v>
      </c>
      <c r="C884">
        <v>2.120264844293549</v>
      </c>
      <c r="D884">
        <v>0</v>
      </c>
      <c r="E884">
        <v>1</v>
      </c>
      <c r="F884">
        <v>109</v>
      </c>
      <c r="G884">
        <v>1.3168351867642999E-3</v>
      </c>
      <c r="H884">
        <v>2</v>
      </c>
      <c r="I884">
        <v>1</v>
      </c>
      <c r="J884">
        <v>0.52616825126455913</v>
      </c>
      <c r="K884">
        <v>-0.26995459830574781</v>
      </c>
      <c r="L884">
        <v>124723771.4622442</v>
      </c>
      <c r="M884" t="s">
        <v>959</v>
      </c>
      <c r="N884" t="s">
        <v>977</v>
      </c>
      <c r="O884" t="s">
        <v>982</v>
      </c>
      <c r="P884">
        <v>3945</v>
      </c>
      <c r="Q884">
        <v>467</v>
      </c>
      <c r="R884">
        <v>3478</v>
      </c>
    </row>
    <row r="885" spans="1:18" x14ac:dyDescent="0.3">
      <c r="A885" t="s">
        <v>1905</v>
      </c>
      <c r="B885">
        <v>2022</v>
      </c>
      <c r="C885">
        <v>2.45541829361524</v>
      </c>
      <c r="D885">
        <v>0</v>
      </c>
      <c r="E885">
        <v>3</v>
      </c>
      <c r="F885">
        <v>96</v>
      </c>
      <c r="G885">
        <v>1.7884973692535999E-3</v>
      </c>
      <c r="H885">
        <v>4</v>
      </c>
      <c r="I885">
        <v>0</v>
      </c>
      <c r="J885">
        <v>0.6126681539609129</v>
      </c>
      <c r="K885">
        <v>-0.2788484289508249</v>
      </c>
      <c r="L885">
        <v>189851663.68595821</v>
      </c>
      <c r="M885" t="s">
        <v>959</v>
      </c>
      <c r="N885" t="s">
        <v>984</v>
      </c>
      <c r="O885" t="s">
        <v>986</v>
      </c>
      <c r="P885">
        <v>3934</v>
      </c>
      <c r="Q885">
        <v>83</v>
      </c>
      <c r="R885">
        <v>3851</v>
      </c>
    </row>
    <row r="886" spans="1:18" x14ac:dyDescent="0.3">
      <c r="A886" t="s">
        <v>1906</v>
      </c>
      <c r="B886">
        <v>2022</v>
      </c>
      <c r="C886">
        <v>0.4603726287138285</v>
      </c>
      <c r="D886">
        <v>0</v>
      </c>
      <c r="E886">
        <v>3</v>
      </c>
      <c r="F886">
        <v>85</v>
      </c>
      <c r="G886">
        <v>8.7144492648830001E-4</v>
      </c>
      <c r="H886">
        <v>6</v>
      </c>
      <c r="I886">
        <v>0</v>
      </c>
      <c r="J886">
        <v>0.68278810063086426</v>
      </c>
      <c r="K886">
        <v>-0.28974754318714713</v>
      </c>
      <c r="L886">
        <v>841107970.33125377</v>
      </c>
      <c r="M886" t="s">
        <v>959</v>
      </c>
      <c r="N886" t="s">
        <v>984</v>
      </c>
      <c r="O886" t="s">
        <v>987</v>
      </c>
      <c r="P886">
        <v>3575</v>
      </c>
      <c r="Q886">
        <v>53</v>
      </c>
      <c r="R886">
        <v>3522</v>
      </c>
    </row>
    <row r="887" spans="1:18" x14ac:dyDescent="0.3">
      <c r="A887" t="s">
        <v>1907</v>
      </c>
      <c r="B887">
        <v>2022</v>
      </c>
      <c r="C887">
        <v>0.92882831561634815</v>
      </c>
      <c r="D887">
        <v>0</v>
      </c>
      <c r="E887">
        <v>178</v>
      </c>
      <c r="F887">
        <v>536</v>
      </c>
      <c r="G887">
        <v>1.222268197227E-4</v>
      </c>
      <c r="H887">
        <v>24</v>
      </c>
      <c r="I887">
        <v>29</v>
      </c>
      <c r="L887">
        <v>678074685.62177205</v>
      </c>
      <c r="M887" t="s">
        <v>990</v>
      </c>
      <c r="N887" t="s">
        <v>991</v>
      </c>
      <c r="O887" t="s">
        <v>993</v>
      </c>
      <c r="P887">
        <v>8600</v>
      </c>
      <c r="Q887">
        <v>1041</v>
      </c>
      <c r="R887">
        <v>7559</v>
      </c>
    </row>
    <row r="888" spans="1:18" x14ac:dyDescent="0.3">
      <c r="A888" t="s">
        <v>1908</v>
      </c>
      <c r="B888">
        <v>2022</v>
      </c>
      <c r="C888">
        <v>1.447581154959249</v>
      </c>
      <c r="D888">
        <v>0</v>
      </c>
      <c r="E888">
        <v>75</v>
      </c>
      <c r="F888">
        <v>358</v>
      </c>
      <c r="G888">
        <v>3.9929244229730001E-4</v>
      </c>
      <c r="H888">
        <v>18</v>
      </c>
      <c r="I888">
        <v>14</v>
      </c>
      <c r="J888">
        <v>0.58075770282116546</v>
      </c>
      <c r="K888">
        <v>-0.29281416834140001</v>
      </c>
      <c r="L888">
        <v>310964368.11171311</v>
      </c>
      <c r="M888" t="s">
        <v>990</v>
      </c>
      <c r="N888" t="s">
        <v>991</v>
      </c>
      <c r="O888" t="s">
        <v>995</v>
      </c>
      <c r="P888">
        <v>11438</v>
      </c>
      <c r="Q888">
        <v>3138</v>
      </c>
      <c r="R888">
        <v>8300</v>
      </c>
    </row>
    <row r="889" spans="1:18" x14ac:dyDescent="0.3">
      <c r="A889" t="s">
        <v>1909</v>
      </c>
      <c r="B889">
        <v>2022</v>
      </c>
      <c r="C889">
        <v>1.388976272130297</v>
      </c>
      <c r="D889">
        <v>0</v>
      </c>
      <c r="E889">
        <v>244</v>
      </c>
      <c r="F889">
        <v>524</v>
      </c>
      <c r="G889">
        <v>3.3235882051949999E-4</v>
      </c>
      <c r="H889">
        <v>8</v>
      </c>
      <c r="I889">
        <v>21</v>
      </c>
      <c r="J889">
        <v>0.43831470335442918</v>
      </c>
      <c r="K889">
        <v>-0.2233135300169205</v>
      </c>
      <c r="L889">
        <v>204159319.6655238</v>
      </c>
      <c r="M889" t="s">
        <v>990</v>
      </c>
      <c r="N889" t="s">
        <v>991</v>
      </c>
      <c r="O889" t="s">
        <v>996</v>
      </c>
      <c r="P889">
        <v>13624</v>
      </c>
      <c r="Q889">
        <v>2543</v>
      </c>
      <c r="R889">
        <v>11081</v>
      </c>
    </row>
    <row r="890" spans="1:18" x14ac:dyDescent="0.3">
      <c r="A890" t="s">
        <v>1910</v>
      </c>
      <c r="B890">
        <v>2022</v>
      </c>
      <c r="C890">
        <v>1.528736259412143</v>
      </c>
      <c r="D890">
        <v>0</v>
      </c>
      <c r="E890">
        <v>830</v>
      </c>
      <c r="F890">
        <v>550</v>
      </c>
      <c r="G890">
        <v>2.5846770707770001E-4</v>
      </c>
      <c r="H890">
        <v>3</v>
      </c>
      <c r="I890">
        <v>27</v>
      </c>
      <c r="J890">
        <v>0.5441000079150764</v>
      </c>
      <c r="K890">
        <v>-0.2485100182080327</v>
      </c>
      <c r="L890">
        <v>310253416.01449829</v>
      </c>
      <c r="M890" t="s">
        <v>990</v>
      </c>
      <c r="N890" t="s">
        <v>991</v>
      </c>
      <c r="O890" t="s">
        <v>997</v>
      </c>
      <c r="P890">
        <v>9865</v>
      </c>
      <c r="Q890">
        <v>2051</v>
      </c>
      <c r="R890">
        <v>7814</v>
      </c>
    </row>
    <row r="891" spans="1:18" x14ac:dyDescent="0.3">
      <c r="A891" t="s">
        <v>1911</v>
      </c>
      <c r="B891">
        <v>2022</v>
      </c>
      <c r="C891">
        <v>0.89562937402625376</v>
      </c>
      <c r="D891">
        <v>0</v>
      </c>
      <c r="E891">
        <v>4</v>
      </c>
      <c r="F891">
        <v>224</v>
      </c>
      <c r="G891">
        <v>4.0423915216950001E-4</v>
      </c>
      <c r="H891">
        <v>3</v>
      </c>
      <c r="I891">
        <v>22</v>
      </c>
      <c r="J891">
        <v>0.54057108662104503</v>
      </c>
      <c r="K891">
        <v>-0.24999127288287221</v>
      </c>
      <c r="L891">
        <v>282755587.33769262</v>
      </c>
      <c r="M891" t="s">
        <v>990</v>
      </c>
      <c r="N891" t="s">
        <v>991</v>
      </c>
      <c r="O891" t="s">
        <v>998</v>
      </c>
      <c r="P891">
        <v>5939</v>
      </c>
      <c r="Q891">
        <v>1532</v>
      </c>
      <c r="R891">
        <v>4407</v>
      </c>
    </row>
    <row r="892" spans="1:18" x14ac:dyDescent="0.3">
      <c r="A892" t="s">
        <v>1912</v>
      </c>
      <c r="B892">
        <v>2022</v>
      </c>
      <c r="C892">
        <v>0.71004517236254805</v>
      </c>
      <c r="D892">
        <v>0</v>
      </c>
      <c r="E892">
        <v>33</v>
      </c>
      <c r="F892">
        <v>212</v>
      </c>
      <c r="G892">
        <v>4.5606579776350003E-4</v>
      </c>
      <c r="H892">
        <v>6</v>
      </c>
      <c r="I892">
        <v>26</v>
      </c>
      <c r="J892">
        <v>0.6274566711802223</v>
      </c>
      <c r="K892">
        <v>-0.31394141585959667</v>
      </c>
      <c r="L892">
        <v>352339824.62275881</v>
      </c>
      <c r="M892" t="s">
        <v>990</v>
      </c>
      <c r="N892" t="s">
        <v>991</v>
      </c>
      <c r="O892" t="s">
        <v>999</v>
      </c>
      <c r="P892">
        <v>7040</v>
      </c>
      <c r="Q892">
        <v>1662</v>
      </c>
      <c r="R892">
        <v>5378</v>
      </c>
    </row>
    <row r="893" spans="1:18" x14ac:dyDescent="0.3">
      <c r="A893" t="s">
        <v>1913</v>
      </c>
      <c r="B893">
        <v>2022</v>
      </c>
      <c r="C893">
        <v>1.3216624137162729</v>
      </c>
      <c r="D893">
        <v>0</v>
      </c>
      <c r="E893">
        <v>207</v>
      </c>
      <c r="F893">
        <v>263</v>
      </c>
      <c r="G893">
        <v>5.2703087371849995E-4</v>
      </c>
      <c r="H893">
        <v>25</v>
      </c>
      <c r="I893">
        <v>10</v>
      </c>
      <c r="J893">
        <v>0.436562365934</v>
      </c>
      <c r="K893">
        <v>-0.1982298887155324</v>
      </c>
      <c r="L893">
        <v>102140525.5603929</v>
      </c>
      <c r="M893" t="s">
        <v>990</v>
      </c>
      <c r="N893" t="s">
        <v>1000</v>
      </c>
      <c r="O893" t="s">
        <v>1001</v>
      </c>
      <c r="P893">
        <v>7386</v>
      </c>
      <c r="Q893">
        <v>1356</v>
      </c>
      <c r="R893">
        <v>6030</v>
      </c>
    </row>
    <row r="894" spans="1:18" x14ac:dyDescent="0.3">
      <c r="A894" t="s">
        <v>1914</v>
      </c>
      <c r="B894">
        <v>2022</v>
      </c>
      <c r="C894">
        <v>1.4695788180136209</v>
      </c>
      <c r="D894">
        <v>0</v>
      </c>
      <c r="E894">
        <v>244</v>
      </c>
      <c r="F894">
        <v>238</v>
      </c>
      <c r="G894">
        <v>1.2108974080376001E-3</v>
      </c>
      <c r="H894">
        <v>13</v>
      </c>
      <c r="I894">
        <v>8</v>
      </c>
      <c r="J894">
        <v>0.40996036351631931</v>
      </c>
      <c r="K894">
        <v>-0.19538461823139719</v>
      </c>
      <c r="L894">
        <v>58505104.55903329</v>
      </c>
      <c r="M894" t="s">
        <v>990</v>
      </c>
      <c r="N894" t="s">
        <v>1000</v>
      </c>
      <c r="O894" t="s">
        <v>1002</v>
      </c>
      <c r="P894">
        <v>4529</v>
      </c>
      <c r="Q894">
        <v>1121</v>
      </c>
      <c r="R894">
        <v>3408</v>
      </c>
    </row>
    <row r="895" spans="1:18" x14ac:dyDescent="0.3">
      <c r="A895" t="s">
        <v>1915</v>
      </c>
      <c r="B895">
        <v>2022</v>
      </c>
      <c r="C895">
        <v>1.844905613388355</v>
      </c>
      <c r="D895">
        <v>0</v>
      </c>
      <c r="E895">
        <v>14</v>
      </c>
      <c r="F895">
        <v>97</v>
      </c>
      <c r="G895">
        <v>1.0388948198664001E-3</v>
      </c>
      <c r="H895">
        <v>9</v>
      </c>
      <c r="I895">
        <v>6</v>
      </c>
      <c r="J895">
        <v>0.5328600504166956</v>
      </c>
      <c r="K895">
        <v>-0.24866006516439479</v>
      </c>
      <c r="L895">
        <v>82791428.481541321</v>
      </c>
      <c r="M895" t="s">
        <v>990</v>
      </c>
      <c r="N895" t="s">
        <v>1000</v>
      </c>
      <c r="O895" t="s">
        <v>1003</v>
      </c>
      <c r="P895">
        <v>2293</v>
      </c>
      <c r="Q895">
        <v>311</v>
      </c>
      <c r="R895">
        <v>1982</v>
      </c>
    </row>
    <row r="896" spans="1:18" x14ac:dyDescent="0.3">
      <c r="A896" t="s">
        <v>1916</v>
      </c>
      <c r="B896">
        <v>2022</v>
      </c>
      <c r="C896">
        <v>0.67879509032127427</v>
      </c>
      <c r="D896">
        <v>0</v>
      </c>
      <c r="E896">
        <v>0</v>
      </c>
      <c r="F896">
        <v>100</v>
      </c>
      <c r="G896">
        <v>2.2967384493089999E-4</v>
      </c>
      <c r="H896">
        <v>12</v>
      </c>
      <c r="I896">
        <v>0</v>
      </c>
      <c r="J896">
        <v>0.47011125275761378</v>
      </c>
      <c r="K896">
        <v>-0.31093132824867431</v>
      </c>
      <c r="L896">
        <v>380002100.73220432</v>
      </c>
      <c r="M896" t="s">
        <v>20</v>
      </c>
      <c r="N896" t="s">
        <v>21</v>
      </c>
      <c r="O896" t="s">
        <v>24</v>
      </c>
      <c r="P896">
        <v>1720</v>
      </c>
      <c r="Q896">
        <v>540</v>
      </c>
      <c r="R896">
        <v>1180</v>
      </c>
    </row>
    <row r="897" spans="1:18" x14ac:dyDescent="0.3">
      <c r="A897" t="s">
        <v>1917</v>
      </c>
      <c r="B897">
        <v>2022</v>
      </c>
      <c r="C897">
        <v>2.331000138616611</v>
      </c>
      <c r="D897">
        <v>0</v>
      </c>
      <c r="E897">
        <v>0</v>
      </c>
      <c r="F897">
        <v>43</v>
      </c>
      <c r="G897">
        <v>1.372444327016E-3</v>
      </c>
      <c r="H897">
        <v>1</v>
      </c>
      <c r="I897">
        <v>0</v>
      </c>
      <c r="J897">
        <v>0.48943174803095119</v>
      </c>
      <c r="K897">
        <v>-0.27858931197051578</v>
      </c>
      <c r="L897">
        <v>20024826.706904691</v>
      </c>
      <c r="M897" t="s">
        <v>20</v>
      </c>
      <c r="N897" t="s">
        <v>46</v>
      </c>
      <c r="O897" t="s">
        <v>47</v>
      </c>
      <c r="P897">
        <v>1552</v>
      </c>
      <c r="Q897">
        <v>600</v>
      </c>
      <c r="R897">
        <v>952</v>
      </c>
    </row>
    <row r="898" spans="1:18" x14ac:dyDescent="0.3">
      <c r="A898" t="s">
        <v>1918</v>
      </c>
      <c r="B898">
        <v>2022</v>
      </c>
      <c r="C898">
        <v>2.1431513008996301</v>
      </c>
      <c r="D898">
        <v>0</v>
      </c>
      <c r="E898">
        <v>0</v>
      </c>
      <c r="F898">
        <v>114</v>
      </c>
      <c r="G898">
        <v>4.6477459872370001E-4</v>
      </c>
      <c r="H898">
        <v>3</v>
      </c>
      <c r="I898">
        <v>0</v>
      </c>
      <c r="J898">
        <v>0.51327135513644229</v>
      </c>
      <c r="K898">
        <v>-0.3512959480920233</v>
      </c>
      <c r="L898">
        <v>37890839.594574757</v>
      </c>
      <c r="M898" t="s">
        <v>20</v>
      </c>
      <c r="N898" t="s">
        <v>46</v>
      </c>
      <c r="O898" t="s">
        <v>49</v>
      </c>
      <c r="P898">
        <v>2511</v>
      </c>
      <c r="Q898">
        <v>720</v>
      </c>
      <c r="R898">
        <v>1791</v>
      </c>
    </row>
    <row r="899" spans="1:18" x14ac:dyDescent="0.3">
      <c r="A899" t="s">
        <v>1919</v>
      </c>
      <c r="B899">
        <v>2022</v>
      </c>
      <c r="C899">
        <v>1.196282050214718</v>
      </c>
      <c r="D899">
        <v>0</v>
      </c>
      <c r="E899">
        <v>0</v>
      </c>
      <c r="F899">
        <v>72</v>
      </c>
      <c r="G899">
        <v>5.4614423520669996E-4</v>
      </c>
      <c r="H899">
        <v>18</v>
      </c>
      <c r="I899">
        <v>0</v>
      </c>
      <c r="J899">
        <v>0.55851367610886893</v>
      </c>
      <c r="K899">
        <v>-0.3368149700568952</v>
      </c>
      <c r="L899">
        <v>38819228.484779269</v>
      </c>
      <c r="M899" t="s">
        <v>20</v>
      </c>
      <c r="N899" t="s">
        <v>59</v>
      </c>
      <c r="O899" t="s">
        <v>65</v>
      </c>
      <c r="P899">
        <v>1315</v>
      </c>
      <c r="Q899">
        <v>710</v>
      </c>
      <c r="R899">
        <v>605</v>
      </c>
    </row>
    <row r="900" spans="1:18" x14ac:dyDescent="0.3">
      <c r="A900" t="s">
        <v>1920</v>
      </c>
      <c r="B900">
        <v>2022</v>
      </c>
      <c r="C900">
        <v>0.79634765929847839</v>
      </c>
      <c r="D900">
        <v>0</v>
      </c>
      <c r="E900">
        <v>0</v>
      </c>
      <c r="F900">
        <v>112</v>
      </c>
      <c r="G900">
        <v>3.0152162448509999E-4</v>
      </c>
      <c r="H900">
        <v>4</v>
      </c>
      <c r="I900">
        <v>1</v>
      </c>
      <c r="J900">
        <v>0.39100774954216921</v>
      </c>
      <c r="K900">
        <v>-0.16375067421183831</v>
      </c>
      <c r="L900">
        <v>197973639.02855709</v>
      </c>
      <c r="M900" t="s">
        <v>20</v>
      </c>
      <c r="N900" t="s">
        <v>71</v>
      </c>
      <c r="O900" t="s">
        <v>73</v>
      </c>
      <c r="P900">
        <v>2646</v>
      </c>
      <c r="Q900">
        <v>914</v>
      </c>
      <c r="R900">
        <v>1732</v>
      </c>
    </row>
    <row r="901" spans="1:18" x14ac:dyDescent="0.3">
      <c r="A901" t="s">
        <v>1921</v>
      </c>
      <c r="B901">
        <v>2022</v>
      </c>
      <c r="C901">
        <v>3.3895745065995331</v>
      </c>
      <c r="D901">
        <v>0</v>
      </c>
      <c r="E901">
        <v>0</v>
      </c>
      <c r="F901">
        <v>39</v>
      </c>
      <c r="G901">
        <v>2.3138800597544999E-3</v>
      </c>
      <c r="H901">
        <v>1</v>
      </c>
      <c r="I901">
        <v>0</v>
      </c>
      <c r="J901">
        <v>0.5120888513882238</v>
      </c>
      <c r="K901">
        <v>-0.32772453684687491</v>
      </c>
      <c r="L901">
        <v>16458595.445361581</v>
      </c>
      <c r="M901" t="s">
        <v>20</v>
      </c>
      <c r="N901" t="s">
        <v>76</v>
      </c>
      <c r="O901" t="s">
        <v>78</v>
      </c>
      <c r="P901">
        <v>1058</v>
      </c>
      <c r="Q901">
        <v>386</v>
      </c>
      <c r="R901">
        <v>672</v>
      </c>
    </row>
    <row r="902" spans="1:18" x14ac:dyDescent="0.3">
      <c r="A902" t="s">
        <v>1922</v>
      </c>
      <c r="B902">
        <v>2022</v>
      </c>
      <c r="C902">
        <v>1.1164821647682011</v>
      </c>
      <c r="D902">
        <v>0</v>
      </c>
      <c r="E902">
        <v>0</v>
      </c>
      <c r="F902">
        <v>127</v>
      </c>
      <c r="G902">
        <v>5.2424531830840004E-4</v>
      </c>
      <c r="H902">
        <v>10</v>
      </c>
      <c r="I902">
        <v>0</v>
      </c>
      <c r="J902">
        <v>0.52426724344555109</v>
      </c>
      <c r="K902">
        <v>-0.3490405769995979</v>
      </c>
      <c r="L902">
        <v>79229823.918953538</v>
      </c>
      <c r="M902" t="s">
        <v>20</v>
      </c>
      <c r="N902" t="s">
        <v>76</v>
      </c>
      <c r="O902" t="s">
        <v>79</v>
      </c>
      <c r="P902">
        <v>3428</v>
      </c>
      <c r="Q902">
        <v>825</v>
      </c>
      <c r="R902">
        <v>2603</v>
      </c>
    </row>
    <row r="903" spans="1:18" x14ac:dyDescent="0.3">
      <c r="A903" t="s">
        <v>1923</v>
      </c>
      <c r="B903">
        <v>2022</v>
      </c>
      <c r="C903">
        <v>1.2512707379923711</v>
      </c>
      <c r="D903">
        <v>0</v>
      </c>
      <c r="E903">
        <v>0</v>
      </c>
      <c r="F903">
        <v>114</v>
      </c>
      <c r="G903">
        <v>7.1940236627329995E-4</v>
      </c>
      <c r="H903">
        <v>9</v>
      </c>
      <c r="I903">
        <v>0</v>
      </c>
      <c r="J903">
        <v>0.58516496332480061</v>
      </c>
      <c r="K903">
        <v>-0.3871661264169543</v>
      </c>
      <c r="L903">
        <v>42986860.922375113</v>
      </c>
      <c r="M903" t="s">
        <v>20</v>
      </c>
      <c r="N903" t="s">
        <v>76</v>
      </c>
      <c r="O903" t="s">
        <v>81</v>
      </c>
      <c r="P903">
        <v>2065</v>
      </c>
      <c r="Q903">
        <v>727</v>
      </c>
      <c r="R903">
        <v>1338</v>
      </c>
    </row>
    <row r="904" spans="1:18" x14ac:dyDescent="0.3">
      <c r="A904" t="s">
        <v>1924</v>
      </c>
      <c r="B904">
        <v>2022</v>
      </c>
      <c r="C904">
        <v>1.6496209290331261</v>
      </c>
      <c r="D904">
        <v>0</v>
      </c>
      <c r="E904">
        <v>0</v>
      </c>
      <c r="F904">
        <v>35</v>
      </c>
      <c r="G904">
        <v>3.2498144396076001E-3</v>
      </c>
      <c r="H904">
        <v>1</v>
      </c>
      <c r="I904">
        <v>0</v>
      </c>
      <c r="J904">
        <v>0.50396516377988476</v>
      </c>
      <c r="K904">
        <v>-0.30214941524510619</v>
      </c>
      <c r="L904">
        <v>30656831.914547201</v>
      </c>
      <c r="M904" t="s">
        <v>20</v>
      </c>
      <c r="N904" t="s">
        <v>85</v>
      </c>
      <c r="O904" t="s">
        <v>86</v>
      </c>
      <c r="P904">
        <v>1158</v>
      </c>
      <c r="Q904">
        <v>733</v>
      </c>
      <c r="R904">
        <v>425</v>
      </c>
    </row>
    <row r="905" spans="1:18" x14ac:dyDescent="0.3">
      <c r="A905" t="s">
        <v>1925</v>
      </c>
      <c r="B905">
        <v>2022</v>
      </c>
      <c r="C905">
        <v>2.210971806104165</v>
      </c>
      <c r="D905">
        <v>0</v>
      </c>
      <c r="E905">
        <v>0</v>
      </c>
      <c r="F905">
        <v>35</v>
      </c>
      <c r="G905">
        <v>2.8464883122043001E-3</v>
      </c>
      <c r="H905">
        <v>1</v>
      </c>
      <c r="I905">
        <v>0</v>
      </c>
      <c r="J905">
        <v>0.41979015848699508</v>
      </c>
      <c r="K905">
        <v>-0.23683688149440171</v>
      </c>
      <c r="L905">
        <v>14010563.931088479</v>
      </c>
      <c r="M905" t="s">
        <v>20</v>
      </c>
      <c r="N905" t="s">
        <v>85</v>
      </c>
      <c r="O905" t="s">
        <v>89</v>
      </c>
      <c r="P905">
        <v>1020</v>
      </c>
      <c r="Q905">
        <v>570</v>
      </c>
      <c r="R905">
        <v>450</v>
      </c>
    </row>
    <row r="906" spans="1:18" x14ac:dyDescent="0.3">
      <c r="A906" t="s">
        <v>1926</v>
      </c>
      <c r="B906">
        <v>2022</v>
      </c>
      <c r="C906">
        <v>3.4428777207105261</v>
      </c>
      <c r="D906">
        <v>0</v>
      </c>
      <c r="E906">
        <v>0</v>
      </c>
      <c r="F906">
        <v>59</v>
      </c>
      <c r="G906">
        <v>1.5549896038849001E-3</v>
      </c>
      <c r="H906">
        <v>9</v>
      </c>
      <c r="I906">
        <v>0</v>
      </c>
      <c r="J906">
        <v>0.57499949319596888</v>
      </c>
      <c r="K906">
        <v>-0.3379534589400906</v>
      </c>
      <c r="L906">
        <v>17713102.856892992</v>
      </c>
      <c r="M906" t="s">
        <v>20</v>
      </c>
      <c r="N906" t="s">
        <v>90</v>
      </c>
      <c r="O906" t="s">
        <v>90</v>
      </c>
      <c r="P906">
        <v>1085</v>
      </c>
      <c r="Q906">
        <v>895</v>
      </c>
      <c r="R906">
        <v>190</v>
      </c>
    </row>
    <row r="907" spans="1:18" x14ac:dyDescent="0.3">
      <c r="A907" t="s">
        <v>1927</v>
      </c>
      <c r="B907">
        <v>2022</v>
      </c>
      <c r="C907">
        <v>1.1142107597827779</v>
      </c>
      <c r="D907">
        <v>0</v>
      </c>
      <c r="E907">
        <v>0</v>
      </c>
      <c r="F907">
        <v>68</v>
      </c>
      <c r="G907">
        <v>4.8777471436769999E-4</v>
      </c>
      <c r="H907">
        <v>1</v>
      </c>
      <c r="I907">
        <v>0</v>
      </c>
      <c r="J907">
        <v>0.4997845626250324</v>
      </c>
      <c r="K907">
        <v>-0.25515077069219361</v>
      </c>
      <c r="L907">
        <v>121604394.17264</v>
      </c>
      <c r="M907" t="s">
        <v>20</v>
      </c>
      <c r="N907" t="s">
        <v>90</v>
      </c>
      <c r="O907" t="s">
        <v>91</v>
      </c>
      <c r="P907">
        <v>1691</v>
      </c>
      <c r="Q907">
        <v>1170</v>
      </c>
      <c r="R907">
        <v>521</v>
      </c>
    </row>
    <row r="908" spans="1:18" x14ac:dyDescent="0.3">
      <c r="A908" t="s">
        <v>1928</v>
      </c>
      <c r="B908">
        <v>2022</v>
      </c>
      <c r="C908">
        <v>1.902208075904237</v>
      </c>
      <c r="D908">
        <v>0</v>
      </c>
      <c r="E908">
        <v>0</v>
      </c>
      <c r="F908">
        <v>73</v>
      </c>
      <c r="G908">
        <v>7.4926070287030001E-4</v>
      </c>
      <c r="H908">
        <v>4</v>
      </c>
      <c r="I908">
        <v>1</v>
      </c>
      <c r="J908">
        <v>0.50417702625830874</v>
      </c>
      <c r="K908">
        <v>-0.22997739191433639</v>
      </c>
      <c r="L908">
        <v>65398488.14263054</v>
      </c>
      <c r="M908" t="s">
        <v>20</v>
      </c>
      <c r="N908" t="s">
        <v>92</v>
      </c>
      <c r="O908" t="s">
        <v>92</v>
      </c>
      <c r="P908">
        <v>2026</v>
      </c>
      <c r="Q908">
        <v>1548</v>
      </c>
      <c r="R908">
        <v>478</v>
      </c>
    </row>
    <row r="909" spans="1:18" x14ac:dyDescent="0.3">
      <c r="A909" t="s">
        <v>1929</v>
      </c>
      <c r="B909">
        <v>2022</v>
      </c>
      <c r="C909">
        <v>1.691445833603074</v>
      </c>
      <c r="D909">
        <v>0</v>
      </c>
      <c r="E909">
        <v>0</v>
      </c>
      <c r="F909">
        <v>88</v>
      </c>
      <c r="G909">
        <v>7.428661056184E-4</v>
      </c>
      <c r="H909">
        <v>1</v>
      </c>
      <c r="I909">
        <v>1</v>
      </c>
      <c r="J909">
        <v>0.49800087782233599</v>
      </c>
      <c r="K909">
        <v>-0.2367077704945435</v>
      </c>
      <c r="L909">
        <v>70129985.711157143</v>
      </c>
      <c r="M909" t="s">
        <v>20</v>
      </c>
      <c r="N909" t="s">
        <v>92</v>
      </c>
      <c r="O909" t="s">
        <v>94</v>
      </c>
      <c r="P909">
        <v>1690</v>
      </c>
      <c r="Q909">
        <v>1336</v>
      </c>
      <c r="R909">
        <v>354</v>
      </c>
    </row>
    <row r="910" spans="1:18" x14ac:dyDescent="0.3">
      <c r="A910" t="s">
        <v>1930</v>
      </c>
      <c r="B910">
        <v>2022</v>
      </c>
      <c r="C910">
        <v>0.75574304503746836</v>
      </c>
      <c r="D910">
        <v>0</v>
      </c>
      <c r="E910">
        <v>0</v>
      </c>
      <c r="F910">
        <v>68</v>
      </c>
      <c r="G910">
        <v>1.6474430472839999E-4</v>
      </c>
      <c r="H910">
        <v>2</v>
      </c>
      <c r="I910">
        <v>11</v>
      </c>
      <c r="J910">
        <v>0.37840218603464948</v>
      </c>
      <c r="K910">
        <v>-0.18784092247775</v>
      </c>
      <c r="L910">
        <v>117759129.1017286</v>
      </c>
      <c r="M910" t="s">
        <v>97</v>
      </c>
      <c r="N910" t="s">
        <v>98</v>
      </c>
      <c r="O910" t="s">
        <v>99</v>
      </c>
      <c r="P910">
        <v>1859</v>
      </c>
      <c r="Q910">
        <v>240</v>
      </c>
      <c r="R910">
        <v>1619</v>
      </c>
    </row>
    <row r="911" spans="1:18" x14ac:dyDescent="0.3">
      <c r="A911" t="s">
        <v>1931</v>
      </c>
      <c r="B911">
        <v>2022</v>
      </c>
      <c r="C911">
        <v>0.8764552350516388</v>
      </c>
      <c r="D911">
        <v>0</v>
      </c>
      <c r="E911">
        <v>0</v>
      </c>
      <c r="F911">
        <v>106</v>
      </c>
      <c r="G911">
        <v>2.506891748586E-4</v>
      </c>
      <c r="H911">
        <v>17</v>
      </c>
      <c r="I911">
        <v>1</v>
      </c>
      <c r="J911">
        <v>0.39553964174088069</v>
      </c>
      <c r="K911">
        <v>-0.2137323668005405</v>
      </c>
      <c r="L911">
        <v>217778200.36489359</v>
      </c>
      <c r="M911" t="s">
        <v>124</v>
      </c>
      <c r="N911" t="s">
        <v>124</v>
      </c>
      <c r="O911" t="s">
        <v>138</v>
      </c>
      <c r="P911">
        <v>3191</v>
      </c>
      <c r="Q911">
        <v>871</v>
      </c>
      <c r="R911">
        <v>2320</v>
      </c>
    </row>
    <row r="912" spans="1:18" x14ac:dyDescent="0.3">
      <c r="A912" t="s">
        <v>1932</v>
      </c>
      <c r="B912">
        <v>2022</v>
      </c>
      <c r="C912">
        <v>0.78781994349914941</v>
      </c>
      <c r="D912">
        <v>0</v>
      </c>
      <c r="E912">
        <v>0</v>
      </c>
      <c r="F912">
        <v>43</v>
      </c>
      <c r="G912">
        <v>8.9313374210170003E-4</v>
      </c>
      <c r="H912">
        <v>1</v>
      </c>
      <c r="I912">
        <v>0</v>
      </c>
      <c r="J912">
        <v>0.26736674887753192</v>
      </c>
      <c r="K912">
        <v>-0.126051354513216</v>
      </c>
      <c r="L912">
        <v>68036862.187057689</v>
      </c>
      <c r="M912" t="s">
        <v>124</v>
      </c>
      <c r="N912" t="s">
        <v>124</v>
      </c>
      <c r="O912" t="s">
        <v>147</v>
      </c>
      <c r="P912">
        <v>1356</v>
      </c>
      <c r="Q912">
        <v>581</v>
      </c>
      <c r="R912">
        <v>775</v>
      </c>
    </row>
    <row r="913" spans="1:18" x14ac:dyDescent="0.3">
      <c r="A913" t="s">
        <v>1933</v>
      </c>
      <c r="B913">
        <v>2022</v>
      </c>
      <c r="C913">
        <v>1.613393549207605</v>
      </c>
      <c r="D913">
        <v>0</v>
      </c>
      <c r="E913">
        <v>0</v>
      </c>
      <c r="F913">
        <v>282</v>
      </c>
      <c r="G913">
        <v>8.2584652248869996E-4</v>
      </c>
      <c r="H913">
        <v>4</v>
      </c>
      <c r="I913">
        <v>0</v>
      </c>
      <c r="J913">
        <v>0.42475535256018421</v>
      </c>
      <c r="K913">
        <v>-0.31599571410940208</v>
      </c>
      <c r="L913">
        <v>151420475.41930261</v>
      </c>
      <c r="M913" t="s">
        <v>124</v>
      </c>
      <c r="N913" t="s">
        <v>149</v>
      </c>
      <c r="O913" t="s">
        <v>151</v>
      </c>
      <c r="P913">
        <v>10864</v>
      </c>
      <c r="Q913">
        <v>3942</v>
      </c>
      <c r="R913">
        <v>6922</v>
      </c>
    </row>
    <row r="914" spans="1:18" x14ac:dyDescent="0.3">
      <c r="A914" t="s">
        <v>1934</v>
      </c>
      <c r="B914">
        <v>2022</v>
      </c>
      <c r="C914">
        <v>0.97937460475310656</v>
      </c>
      <c r="D914">
        <v>0</v>
      </c>
      <c r="E914">
        <v>0</v>
      </c>
      <c r="F914">
        <v>38</v>
      </c>
      <c r="G914">
        <v>1.4836697778108001E-3</v>
      </c>
      <c r="H914">
        <v>6</v>
      </c>
      <c r="I914">
        <v>1</v>
      </c>
      <c r="J914">
        <v>0.39949154178948321</v>
      </c>
      <c r="K914">
        <v>-0.27280771652771568</v>
      </c>
      <c r="L914">
        <v>39427389.115394592</v>
      </c>
      <c r="M914" t="s">
        <v>156</v>
      </c>
      <c r="N914" t="s">
        <v>181</v>
      </c>
      <c r="O914" t="s">
        <v>184</v>
      </c>
      <c r="P914">
        <v>641</v>
      </c>
      <c r="Q914">
        <v>305</v>
      </c>
      <c r="R914">
        <v>336</v>
      </c>
    </row>
    <row r="915" spans="1:18" x14ac:dyDescent="0.3">
      <c r="A915" t="s">
        <v>1935</v>
      </c>
      <c r="B915">
        <v>2022</v>
      </c>
      <c r="C915">
        <v>1.7907285725864179</v>
      </c>
      <c r="D915">
        <v>0</v>
      </c>
      <c r="E915">
        <v>0</v>
      </c>
      <c r="F915">
        <v>147</v>
      </c>
      <c r="G915">
        <v>5.4166823922900003E-4</v>
      </c>
      <c r="H915">
        <v>2</v>
      </c>
      <c r="I915">
        <v>1</v>
      </c>
      <c r="J915">
        <v>0.44259831734808841</v>
      </c>
      <c r="K915">
        <v>-0.29616846142093661</v>
      </c>
      <c r="L915">
        <v>112034428.8035332</v>
      </c>
      <c r="M915" t="s">
        <v>156</v>
      </c>
      <c r="N915" t="s">
        <v>181</v>
      </c>
      <c r="O915" t="s">
        <v>186</v>
      </c>
      <c r="P915">
        <v>3386</v>
      </c>
      <c r="Q915">
        <v>2006</v>
      </c>
      <c r="R915">
        <v>1380</v>
      </c>
    </row>
    <row r="916" spans="1:18" x14ac:dyDescent="0.3">
      <c r="A916" t="s">
        <v>1936</v>
      </c>
      <c r="B916">
        <v>2022</v>
      </c>
      <c r="C916">
        <v>1.6450034122128629</v>
      </c>
      <c r="D916">
        <v>0</v>
      </c>
      <c r="E916">
        <v>0</v>
      </c>
      <c r="F916">
        <v>44</v>
      </c>
      <c r="G916">
        <v>1.2345417999996E-3</v>
      </c>
      <c r="H916">
        <v>4</v>
      </c>
      <c r="I916">
        <v>3</v>
      </c>
      <c r="J916">
        <v>0.4740577739981362</v>
      </c>
      <c r="K916">
        <v>-0.2496101933592875</v>
      </c>
      <c r="L916">
        <v>18618360.87754301</v>
      </c>
      <c r="M916" t="s">
        <v>156</v>
      </c>
      <c r="N916" t="s">
        <v>181</v>
      </c>
      <c r="O916" t="s">
        <v>187</v>
      </c>
      <c r="P916">
        <v>929</v>
      </c>
      <c r="Q916">
        <v>366</v>
      </c>
      <c r="R916">
        <v>563</v>
      </c>
    </row>
    <row r="917" spans="1:18" x14ac:dyDescent="0.3">
      <c r="A917" t="s">
        <v>1937</v>
      </c>
      <c r="B917">
        <v>2022</v>
      </c>
      <c r="C917">
        <v>1.616261806335848</v>
      </c>
      <c r="D917">
        <v>0</v>
      </c>
      <c r="E917">
        <v>0</v>
      </c>
      <c r="F917">
        <v>54</v>
      </c>
      <c r="G917">
        <v>2.1692860060627999E-3</v>
      </c>
      <c r="H917">
        <v>4</v>
      </c>
      <c r="I917">
        <v>2</v>
      </c>
      <c r="J917">
        <v>0.4184620343080831</v>
      </c>
      <c r="K917">
        <v>-0.24189248723624429</v>
      </c>
      <c r="L917">
        <v>33210375.741317101</v>
      </c>
      <c r="M917" t="s">
        <v>156</v>
      </c>
      <c r="N917" t="s">
        <v>188</v>
      </c>
      <c r="O917" t="s">
        <v>190</v>
      </c>
      <c r="P917">
        <v>1482</v>
      </c>
      <c r="Q917">
        <v>809</v>
      </c>
      <c r="R917">
        <v>673</v>
      </c>
    </row>
    <row r="918" spans="1:18" x14ac:dyDescent="0.3">
      <c r="A918" t="s">
        <v>1938</v>
      </c>
      <c r="B918">
        <v>2022</v>
      </c>
      <c r="C918">
        <v>0.61712242153411145</v>
      </c>
      <c r="D918">
        <v>0</v>
      </c>
      <c r="E918">
        <v>0</v>
      </c>
      <c r="F918">
        <v>29</v>
      </c>
      <c r="G918">
        <v>3.4934497816590003E-4</v>
      </c>
      <c r="H918">
        <v>3</v>
      </c>
      <c r="I918">
        <v>8</v>
      </c>
      <c r="J918">
        <v>0.415616732665408</v>
      </c>
      <c r="K918">
        <v>-0.18885819391713299</v>
      </c>
      <c r="L918">
        <v>117963625.61211181</v>
      </c>
      <c r="M918" t="s">
        <v>191</v>
      </c>
      <c r="N918" t="s">
        <v>206</v>
      </c>
      <c r="O918" t="s">
        <v>210</v>
      </c>
      <c r="P918">
        <v>1762</v>
      </c>
      <c r="Q918">
        <v>39</v>
      </c>
      <c r="R918">
        <v>1723</v>
      </c>
    </row>
    <row r="919" spans="1:18" x14ac:dyDescent="0.3">
      <c r="A919" t="s">
        <v>1939</v>
      </c>
      <c r="B919">
        <v>2022</v>
      </c>
      <c r="C919">
        <v>1.3908473066818461</v>
      </c>
      <c r="D919">
        <v>0</v>
      </c>
      <c r="E919">
        <v>0</v>
      </c>
      <c r="F919">
        <v>38</v>
      </c>
      <c r="G919">
        <v>2.1344235589819999E-3</v>
      </c>
      <c r="H919">
        <v>4</v>
      </c>
      <c r="I919">
        <v>0</v>
      </c>
      <c r="J919">
        <v>0.47269114081062369</v>
      </c>
      <c r="K919">
        <v>-0.36471230647965069</v>
      </c>
      <c r="L919">
        <v>20635779.295242049</v>
      </c>
      <c r="M919" t="s">
        <v>232</v>
      </c>
      <c r="N919" t="s">
        <v>244</v>
      </c>
      <c r="O919" t="s">
        <v>250</v>
      </c>
      <c r="P919">
        <v>588</v>
      </c>
      <c r="Q919">
        <v>123</v>
      </c>
      <c r="R919">
        <v>465</v>
      </c>
    </row>
    <row r="920" spans="1:18" x14ac:dyDescent="0.3">
      <c r="A920" t="s">
        <v>1940</v>
      </c>
      <c r="B920">
        <v>2022</v>
      </c>
      <c r="C920">
        <v>1.31108893252881</v>
      </c>
      <c r="D920">
        <v>0</v>
      </c>
      <c r="E920">
        <v>0</v>
      </c>
      <c r="F920">
        <v>54</v>
      </c>
      <c r="G920">
        <v>1.8992843767794E-3</v>
      </c>
      <c r="H920">
        <v>3</v>
      </c>
      <c r="I920">
        <v>1</v>
      </c>
      <c r="J920">
        <v>0.47254453712073707</v>
      </c>
      <c r="K920">
        <v>-0.36574042784238608</v>
      </c>
      <c r="L920">
        <v>20844794.42192452</v>
      </c>
      <c r="M920" t="s">
        <v>232</v>
      </c>
      <c r="N920" t="s">
        <v>244</v>
      </c>
      <c r="O920" t="s">
        <v>251</v>
      </c>
      <c r="P920">
        <v>630</v>
      </c>
      <c r="Q920">
        <v>265</v>
      </c>
      <c r="R920">
        <v>365</v>
      </c>
    </row>
    <row r="921" spans="1:18" x14ac:dyDescent="0.3">
      <c r="A921" t="s">
        <v>1941</v>
      </c>
      <c r="B921">
        <v>2022</v>
      </c>
      <c r="C921">
        <v>1.0897557558764841</v>
      </c>
      <c r="D921">
        <v>0</v>
      </c>
      <c r="E921">
        <v>0</v>
      </c>
      <c r="F921">
        <v>136</v>
      </c>
      <c r="G921">
        <v>1.9864836578550001E-4</v>
      </c>
      <c r="H921">
        <v>13</v>
      </c>
      <c r="I921">
        <v>1</v>
      </c>
      <c r="J921">
        <v>0.44683957942289559</v>
      </c>
      <c r="K921">
        <v>-0.29178478163496568</v>
      </c>
      <c r="L921">
        <v>142032173.86255279</v>
      </c>
      <c r="M921" t="s">
        <v>232</v>
      </c>
      <c r="N921" t="s">
        <v>244</v>
      </c>
      <c r="O921" t="s">
        <v>252</v>
      </c>
      <c r="P921">
        <v>3383</v>
      </c>
      <c r="Q921">
        <v>604</v>
      </c>
      <c r="R921">
        <v>2779</v>
      </c>
    </row>
    <row r="922" spans="1:18" x14ac:dyDescent="0.3">
      <c r="A922" t="s">
        <v>1942</v>
      </c>
      <c r="B922">
        <v>2022</v>
      </c>
      <c r="C922">
        <v>1.541713863812177</v>
      </c>
      <c r="D922">
        <v>0</v>
      </c>
      <c r="E922">
        <v>0</v>
      </c>
      <c r="F922">
        <v>46</v>
      </c>
      <c r="G922">
        <v>7.0274068868579999E-4</v>
      </c>
      <c r="H922">
        <v>3</v>
      </c>
      <c r="I922">
        <v>0</v>
      </c>
      <c r="J922">
        <v>0.4967829629702209</v>
      </c>
      <c r="K922">
        <v>-0.36998176064286059</v>
      </c>
      <c r="L922">
        <v>25276717.458457969</v>
      </c>
      <c r="M922" t="s">
        <v>232</v>
      </c>
      <c r="N922" t="s">
        <v>261</v>
      </c>
      <c r="O922" t="s">
        <v>262</v>
      </c>
      <c r="P922">
        <v>684</v>
      </c>
      <c r="Q922">
        <v>201</v>
      </c>
      <c r="R922">
        <v>483</v>
      </c>
    </row>
    <row r="923" spans="1:18" x14ac:dyDescent="0.3">
      <c r="A923" t="s">
        <v>1943</v>
      </c>
      <c r="B923">
        <v>2022</v>
      </c>
      <c r="C923">
        <v>0.93772937331128037</v>
      </c>
      <c r="D923">
        <v>0</v>
      </c>
      <c r="E923">
        <v>0</v>
      </c>
      <c r="F923">
        <v>45</v>
      </c>
      <c r="G923">
        <v>1.2209957832966E-3</v>
      </c>
      <c r="H923">
        <v>2</v>
      </c>
      <c r="I923">
        <v>0</v>
      </c>
      <c r="J923">
        <v>0.55054491856159726</v>
      </c>
      <c r="K923">
        <v>-0.35442023197921069</v>
      </c>
      <c r="L923">
        <v>28853602.734274291</v>
      </c>
      <c r="M923" t="s">
        <v>232</v>
      </c>
      <c r="N923" t="s">
        <v>261</v>
      </c>
      <c r="O923" t="s">
        <v>263</v>
      </c>
      <c r="P923">
        <v>724</v>
      </c>
      <c r="Q923">
        <v>94</v>
      </c>
      <c r="R923">
        <v>630</v>
      </c>
    </row>
    <row r="924" spans="1:18" x14ac:dyDescent="0.3">
      <c r="A924" t="s">
        <v>1944</v>
      </c>
      <c r="B924">
        <v>2022</v>
      </c>
      <c r="C924">
        <v>1.0700512206572901</v>
      </c>
      <c r="D924">
        <v>0</v>
      </c>
      <c r="E924">
        <v>0</v>
      </c>
      <c r="F924">
        <v>71</v>
      </c>
      <c r="G924">
        <v>4.2060854970610002E-4</v>
      </c>
      <c r="H924">
        <v>4</v>
      </c>
      <c r="I924">
        <v>0</v>
      </c>
      <c r="J924">
        <v>0.53737158507281468</v>
      </c>
      <c r="K924">
        <v>-0.34800607765619151</v>
      </c>
      <c r="L924">
        <v>66557209.259205602</v>
      </c>
      <c r="M924" t="s">
        <v>232</v>
      </c>
      <c r="N924" t="s">
        <v>261</v>
      </c>
      <c r="O924" t="s">
        <v>265</v>
      </c>
      <c r="P924">
        <v>1312</v>
      </c>
      <c r="Q924">
        <v>567</v>
      </c>
      <c r="R924">
        <v>745</v>
      </c>
    </row>
    <row r="925" spans="1:18" x14ac:dyDescent="0.3">
      <c r="A925" t="s">
        <v>1945</v>
      </c>
      <c r="B925">
        <v>2022</v>
      </c>
      <c r="C925">
        <v>2.1385475952699999</v>
      </c>
      <c r="D925">
        <v>0</v>
      </c>
      <c r="E925">
        <v>0</v>
      </c>
      <c r="F925">
        <v>23</v>
      </c>
      <c r="G925">
        <v>4.8869189680644997E-3</v>
      </c>
      <c r="H925">
        <v>1</v>
      </c>
      <c r="I925">
        <v>0</v>
      </c>
      <c r="J925">
        <v>0.34496960685093708</v>
      </c>
      <c r="K925">
        <v>-0.22149278521214599</v>
      </c>
      <c r="L925">
        <v>10184544.229289589</v>
      </c>
      <c r="M925" t="s">
        <v>232</v>
      </c>
      <c r="N925" t="s">
        <v>269</v>
      </c>
      <c r="O925" t="s">
        <v>272</v>
      </c>
      <c r="P925">
        <v>659</v>
      </c>
      <c r="Q925">
        <v>434</v>
      </c>
      <c r="R925">
        <v>225</v>
      </c>
    </row>
    <row r="926" spans="1:18" x14ac:dyDescent="0.3">
      <c r="A926" t="s">
        <v>1946</v>
      </c>
      <c r="B926">
        <v>2022</v>
      </c>
      <c r="C926">
        <v>1.460403757957071</v>
      </c>
      <c r="D926">
        <v>0</v>
      </c>
      <c r="E926">
        <v>0</v>
      </c>
      <c r="F926">
        <v>30</v>
      </c>
      <c r="G926">
        <v>4.6240811760944996E-3</v>
      </c>
      <c r="H926">
        <v>3</v>
      </c>
      <c r="I926">
        <v>0</v>
      </c>
      <c r="J926">
        <v>0.30304957255397091</v>
      </c>
      <c r="K926">
        <v>-0.18688559775823679</v>
      </c>
      <c r="L926">
        <v>14529066.327125899</v>
      </c>
      <c r="M926" t="s">
        <v>232</v>
      </c>
      <c r="N926" t="s">
        <v>269</v>
      </c>
      <c r="O926" t="s">
        <v>275</v>
      </c>
      <c r="P926">
        <v>872</v>
      </c>
      <c r="Q926">
        <v>233</v>
      </c>
      <c r="R926">
        <v>639</v>
      </c>
    </row>
    <row r="927" spans="1:18" x14ac:dyDescent="0.3">
      <c r="A927" t="s">
        <v>1947</v>
      </c>
      <c r="B927">
        <v>2022</v>
      </c>
      <c r="C927">
        <v>1.153980736674042</v>
      </c>
      <c r="D927">
        <v>0</v>
      </c>
      <c r="E927">
        <v>0</v>
      </c>
      <c r="F927">
        <v>22</v>
      </c>
      <c r="G927">
        <v>1.4194377932905001E-3</v>
      </c>
      <c r="H927">
        <v>4</v>
      </c>
      <c r="I927">
        <v>0</v>
      </c>
      <c r="J927">
        <v>0.33204475266712008</v>
      </c>
      <c r="K927">
        <v>-0.18734777028494859</v>
      </c>
      <c r="L927">
        <v>29165410.919427998</v>
      </c>
      <c r="M927" t="s">
        <v>232</v>
      </c>
      <c r="N927" t="s">
        <v>269</v>
      </c>
      <c r="O927" t="s">
        <v>276</v>
      </c>
      <c r="P927">
        <v>1471</v>
      </c>
      <c r="Q927">
        <v>260</v>
      </c>
      <c r="R927">
        <v>1211</v>
      </c>
    </row>
    <row r="928" spans="1:18" x14ac:dyDescent="0.3">
      <c r="A928" t="s">
        <v>1948</v>
      </c>
      <c r="B928">
        <v>2022</v>
      </c>
      <c r="C928">
        <v>0.73147741239589159</v>
      </c>
      <c r="D928">
        <v>0</v>
      </c>
      <c r="E928">
        <v>0</v>
      </c>
      <c r="F928">
        <v>34</v>
      </c>
      <c r="G928">
        <v>4.1065713454424002E-3</v>
      </c>
      <c r="H928">
        <v>3</v>
      </c>
      <c r="I928">
        <v>0</v>
      </c>
      <c r="J928">
        <v>0.39603095112898118</v>
      </c>
      <c r="K928">
        <v>-0.21629420528518481</v>
      </c>
      <c r="L928">
        <v>73937519.042771757</v>
      </c>
      <c r="M928" t="s">
        <v>232</v>
      </c>
      <c r="N928" t="s">
        <v>279</v>
      </c>
      <c r="O928" t="s">
        <v>281</v>
      </c>
      <c r="P928">
        <v>786</v>
      </c>
      <c r="Q928">
        <v>294</v>
      </c>
      <c r="R928">
        <v>492</v>
      </c>
    </row>
    <row r="929" spans="1:18" x14ac:dyDescent="0.3">
      <c r="A929" t="s">
        <v>1949</v>
      </c>
      <c r="B929">
        <v>2022</v>
      </c>
      <c r="C929">
        <v>0.62547179802142006</v>
      </c>
      <c r="D929">
        <v>0</v>
      </c>
      <c r="E929">
        <v>0</v>
      </c>
      <c r="F929">
        <v>16</v>
      </c>
      <c r="G929">
        <v>2.7210884353741E-3</v>
      </c>
      <c r="H929">
        <v>2</v>
      </c>
      <c r="I929">
        <v>0</v>
      </c>
      <c r="J929">
        <v>0.27266636224995111</v>
      </c>
      <c r="K929">
        <v>-0.13813330996725581</v>
      </c>
      <c r="L929">
        <v>89194304.464892507</v>
      </c>
      <c r="M929" t="s">
        <v>232</v>
      </c>
      <c r="N929" t="s">
        <v>279</v>
      </c>
      <c r="O929" t="s">
        <v>284</v>
      </c>
      <c r="P929">
        <v>389</v>
      </c>
      <c r="Q929">
        <v>87</v>
      </c>
      <c r="R929">
        <v>302</v>
      </c>
    </row>
    <row r="930" spans="1:18" x14ac:dyDescent="0.3">
      <c r="A930" t="s">
        <v>1950</v>
      </c>
      <c r="B930">
        <v>2022</v>
      </c>
      <c r="C930">
        <v>1.453420131411064</v>
      </c>
      <c r="D930">
        <v>0</v>
      </c>
      <c r="E930">
        <v>0</v>
      </c>
      <c r="F930">
        <v>177</v>
      </c>
      <c r="G930">
        <v>8.3093067223050001E-4</v>
      </c>
      <c r="H930">
        <v>5</v>
      </c>
      <c r="I930">
        <v>1</v>
      </c>
      <c r="J930">
        <v>0.2930099572865103</v>
      </c>
      <c r="K930">
        <v>-4.7830364399231898E-2</v>
      </c>
      <c r="L930">
        <v>140647076.0288702</v>
      </c>
      <c r="M930" t="s">
        <v>287</v>
      </c>
      <c r="N930" t="s">
        <v>290</v>
      </c>
      <c r="O930" t="s">
        <v>294</v>
      </c>
      <c r="P930">
        <v>2243</v>
      </c>
      <c r="Q930">
        <v>1079</v>
      </c>
      <c r="R930">
        <v>1164</v>
      </c>
    </row>
    <row r="931" spans="1:18" x14ac:dyDescent="0.3">
      <c r="A931" t="s">
        <v>1951</v>
      </c>
      <c r="B931">
        <v>2022</v>
      </c>
      <c r="C931">
        <v>1.8713572880034539</v>
      </c>
      <c r="D931">
        <v>0</v>
      </c>
      <c r="E931">
        <v>0</v>
      </c>
      <c r="F931">
        <v>73</v>
      </c>
      <c r="G931">
        <v>4.0452091210270002E-4</v>
      </c>
      <c r="H931">
        <v>2</v>
      </c>
      <c r="I931">
        <v>2</v>
      </c>
      <c r="J931">
        <v>0.64917815773865561</v>
      </c>
      <c r="K931">
        <v>-0.3429101456376959</v>
      </c>
      <c r="L931">
        <v>49329009.940239184</v>
      </c>
      <c r="M931" t="s">
        <v>287</v>
      </c>
      <c r="N931" t="s">
        <v>295</v>
      </c>
      <c r="O931" t="s">
        <v>31</v>
      </c>
      <c r="P931">
        <v>2507</v>
      </c>
      <c r="Q931">
        <v>1744</v>
      </c>
      <c r="R931">
        <v>763</v>
      </c>
    </row>
    <row r="932" spans="1:18" x14ac:dyDescent="0.3">
      <c r="A932" t="s">
        <v>1952</v>
      </c>
      <c r="B932">
        <v>2022</v>
      </c>
      <c r="C932">
        <v>0.96931784983522962</v>
      </c>
      <c r="D932">
        <v>0</v>
      </c>
      <c r="E932">
        <v>0</v>
      </c>
      <c r="F932">
        <v>66</v>
      </c>
      <c r="G932">
        <v>5.4524769213680003E-4</v>
      </c>
      <c r="H932">
        <v>19</v>
      </c>
      <c r="I932">
        <v>0</v>
      </c>
      <c r="J932">
        <v>0.52888706491033344</v>
      </c>
      <c r="K932">
        <v>-0.27022932427620511</v>
      </c>
      <c r="L932">
        <v>100293053.3195058</v>
      </c>
      <c r="M932" t="s">
        <v>287</v>
      </c>
      <c r="N932" t="s">
        <v>295</v>
      </c>
      <c r="O932" t="s">
        <v>296</v>
      </c>
      <c r="P932">
        <v>1413</v>
      </c>
      <c r="Q932">
        <v>794</v>
      </c>
      <c r="R932">
        <v>619</v>
      </c>
    </row>
    <row r="933" spans="1:18" x14ac:dyDescent="0.3">
      <c r="A933" t="s">
        <v>1953</v>
      </c>
      <c r="B933">
        <v>2022</v>
      </c>
      <c r="C933">
        <v>1.2709346134373321</v>
      </c>
      <c r="D933">
        <v>0</v>
      </c>
      <c r="E933">
        <v>0</v>
      </c>
      <c r="F933">
        <v>26</v>
      </c>
      <c r="G933">
        <v>1.5885068908032E-3</v>
      </c>
      <c r="H933">
        <v>1</v>
      </c>
      <c r="I933">
        <v>0</v>
      </c>
      <c r="J933">
        <v>0.66002804755616762</v>
      </c>
      <c r="K933">
        <v>-0.3657725256742192</v>
      </c>
      <c r="L933">
        <v>30533261.747789301</v>
      </c>
      <c r="M933" t="s">
        <v>287</v>
      </c>
      <c r="N933" t="s">
        <v>295</v>
      </c>
      <c r="O933" t="s">
        <v>297</v>
      </c>
      <c r="P933">
        <v>985</v>
      </c>
      <c r="Q933">
        <v>466</v>
      </c>
      <c r="R933">
        <v>519</v>
      </c>
    </row>
    <row r="934" spans="1:18" x14ac:dyDescent="0.3">
      <c r="A934" t="s">
        <v>1954</v>
      </c>
      <c r="B934">
        <v>2022</v>
      </c>
      <c r="C934">
        <v>4.3982720809145013</v>
      </c>
      <c r="D934">
        <v>0</v>
      </c>
      <c r="E934">
        <v>0</v>
      </c>
      <c r="F934">
        <v>8</v>
      </c>
      <c r="G934">
        <v>2.2909507445589001E-3</v>
      </c>
      <c r="H934">
        <v>2</v>
      </c>
      <c r="I934">
        <v>0</v>
      </c>
      <c r="J934">
        <v>0.54849380400058823</v>
      </c>
      <c r="K934">
        <v>-0.33517731678026991</v>
      </c>
      <c r="L934">
        <v>2817837.484634256</v>
      </c>
      <c r="M934" t="s">
        <v>287</v>
      </c>
      <c r="N934" t="s">
        <v>295</v>
      </c>
      <c r="O934" t="s">
        <v>298</v>
      </c>
      <c r="P934">
        <v>435</v>
      </c>
      <c r="Q934">
        <v>297</v>
      </c>
      <c r="R934">
        <v>138</v>
      </c>
    </row>
    <row r="935" spans="1:18" x14ac:dyDescent="0.3">
      <c r="A935" t="s">
        <v>1955</v>
      </c>
      <c r="B935">
        <v>2022</v>
      </c>
      <c r="C935">
        <v>3.3631023582069579</v>
      </c>
      <c r="D935">
        <v>0</v>
      </c>
      <c r="E935">
        <v>0</v>
      </c>
      <c r="F935">
        <v>11</v>
      </c>
      <c r="G935">
        <v>2.5031210986267002E-3</v>
      </c>
      <c r="H935">
        <v>1</v>
      </c>
      <c r="I935">
        <v>0</v>
      </c>
      <c r="J935">
        <v>0.51846440449415321</v>
      </c>
      <c r="K935">
        <v>-0.38035632054982788</v>
      </c>
      <c r="L935">
        <v>2443030.8031301619</v>
      </c>
      <c r="M935" t="s">
        <v>287</v>
      </c>
      <c r="N935" t="s">
        <v>295</v>
      </c>
      <c r="O935" t="s">
        <v>299</v>
      </c>
      <c r="P935">
        <v>468</v>
      </c>
      <c r="Q935">
        <v>248</v>
      </c>
      <c r="R935">
        <v>220</v>
      </c>
    </row>
    <row r="936" spans="1:18" x14ac:dyDescent="0.3">
      <c r="A936" t="s">
        <v>1956</v>
      </c>
      <c r="B936">
        <v>2022</v>
      </c>
      <c r="C936">
        <v>0.97542646532897637</v>
      </c>
      <c r="D936">
        <v>0</v>
      </c>
      <c r="E936">
        <v>0</v>
      </c>
      <c r="F936">
        <v>17</v>
      </c>
      <c r="G936">
        <v>3.9215382949429004E-3</v>
      </c>
      <c r="H936">
        <v>4</v>
      </c>
      <c r="I936">
        <v>1</v>
      </c>
      <c r="J936">
        <v>0.28221260007474541</v>
      </c>
      <c r="K936">
        <v>-0.13941885821291941</v>
      </c>
      <c r="L936">
        <v>18608313.96193051</v>
      </c>
      <c r="M936" t="s">
        <v>287</v>
      </c>
      <c r="N936" t="s">
        <v>310</v>
      </c>
      <c r="O936" t="s">
        <v>311</v>
      </c>
      <c r="P936">
        <v>256</v>
      </c>
      <c r="Q936">
        <v>139</v>
      </c>
      <c r="R936">
        <v>117</v>
      </c>
    </row>
    <row r="937" spans="1:18" x14ac:dyDescent="0.3">
      <c r="A937" t="s">
        <v>1957</v>
      </c>
      <c r="B937">
        <v>2022</v>
      </c>
      <c r="C937">
        <v>1.2582735130012439</v>
      </c>
      <c r="D937">
        <v>0</v>
      </c>
      <c r="E937">
        <v>0</v>
      </c>
      <c r="F937">
        <v>216</v>
      </c>
      <c r="G937">
        <v>3.8608348862359998E-4</v>
      </c>
      <c r="H937">
        <v>18</v>
      </c>
      <c r="I937">
        <v>0</v>
      </c>
      <c r="J937">
        <v>0.56078113812094499</v>
      </c>
      <c r="K937">
        <v>-0.273699700101798</v>
      </c>
      <c r="L937">
        <v>148901053.9082163</v>
      </c>
      <c r="M937" t="s">
        <v>287</v>
      </c>
      <c r="N937" t="s">
        <v>312</v>
      </c>
      <c r="O937" t="s">
        <v>316</v>
      </c>
      <c r="P937">
        <v>4906</v>
      </c>
      <c r="Q937">
        <v>2659</v>
      </c>
      <c r="R937">
        <v>2247</v>
      </c>
    </row>
    <row r="938" spans="1:18" x14ac:dyDescent="0.3">
      <c r="A938" t="s">
        <v>1958</v>
      </c>
      <c r="B938">
        <v>2022</v>
      </c>
      <c r="C938">
        <v>3.7164063005254762</v>
      </c>
      <c r="D938">
        <v>0</v>
      </c>
      <c r="E938">
        <v>0</v>
      </c>
      <c r="F938">
        <v>52</v>
      </c>
      <c r="G938">
        <v>2.5316213840803998E-3</v>
      </c>
      <c r="H938">
        <v>7</v>
      </c>
      <c r="I938">
        <v>0</v>
      </c>
      <c r="J938">
        <v>0.55142094480211634</v>
      </c>
      <c r="K938">
        <v>-0.21928137469669409</v>
      </c>
      <c r="L938">
        <v>27119803.726722721</v>
      </c>
      <c r="M938" t="s">
        <v>287</v>
      </c>
      <c r="N938" t="s">
        <v>312</v>
      </c>
      <c r="O938" t="s">
        <v>318</v>
      </c>
      <c r="P938">
        <v>2165</v>
      </c>
      <c r="Q938">
        <v>1109</v>
      </c>
      <c r="R938">
        <v>1056</v>
      </c>
    </row>
    <row r="939" spans="1:18" x14ac:dyDescent="0.3">
      <c r="A939" t="s">
        <v>1959</v>
      </c>
      <c r="B939">
        <v>2022</v>
      </c>
      <c r="C939">
        <v>0.85994203596324204</v>
      </c>
      <c r="D939">
        <v>0</v>
      </c>
      <c r="E939">
        <v>0</v>
      </c>
      <c r="F939">
        <v>100</v>
      </c>
      <c r="G939">
        <v>3.1610534277870002E-4</v>
      </c>
      <c r="H939">
        <v>8</v>
      </c>
      <c r="I939">
        <v>2</v>
      </c>
      <c r="J939">
        <v>0.38848489327862129</v>
      </c>
      <c r="K939">
        <v>-0.32876747581973931</v>
      </c>
      <c r="L939">
        <v>145177015.58348289</v>
      </c>
      <c r="M939" t="s">
        <v>287</v>
      </c>
      <c r="N939" t="s">
        <v>319</v>
      </c>
      <c r="O939" t="s">
        <v>320</v>
      </c>
      <c r="P939">
        <v>1820</v>
      </c>
      <c r="Q939">
        <v>540</v>
      </c>
      <c r="R939">
        <v>1280</v>
      </c>
    </row>
    <row r="940" spans="1:18" x14ac:dyDescent="0.3">
      <c r="A940" t="s">
        <v>1960</v>
      </c>
      <c r="B940">
        <v>2022</v>
      </c>
      <c r="C940">
        <v>0.93745313327164281</v>
      </c>
      <c r="D940">
        <v>0</v>
      </c>
      <c r="E940">
        <v>0</v>
      </c>
      <c r="F940">
        <v>52</v>
      </c>
      <c r="G940">
        <v>9.4876660341550005E-4</v>
      </c>
      <c r="H940">
        <v>5</v>
      </c>
      <c r="I940">
        <v>0</v>
      </c>
      <c r="J940">
        <v>0.21432256267663111</v>
      </c>
      <c r="K940">
        <v>-9.3969864636810493E-2</v>
      </c>
      <c r="L940">
        <v>60438593.771347947</v>
      </c>
      <c r="M940" t="s">
        <v>287</v>
      </c>
      <c r="N940" t="s">
        <v>319</v>
      </c>
      <c r="O940" t="s">
        <v>321</v>
      </c>
      <c r="P940">
        <v>1357</v>
      </c>
      <c r="Q940">
        <v>534</v>
      </c>
      <c r="R940">
        <v>823</v>
      </c>
    </row>
    <row r="941" spans="1:18" x14ac:dyDescent="0.3">
      <c r="A941" t="s">
        <v>1961</v>
      </c>
      <c r="B941">
        <v>2022</v>
      </c>
      <c r="C941">
        <v>1.0227378993045511</v>
      </c>
      <c r="D941">
        <v>0</v>
      </c>
      <c r="E941">
        <v>0</v>
      </c>
      <c r="F941">
        <v>32</v>
      </c>
      <c r="G941">
        <v>1.4836697778108001E-3</v>
      </c>
      <c r="H941">
        <v>7</v>
      </c>
      <c r="I941">
        <v>0</v>
      </c>
      <c r="J941">
        <v>0.33479397193950389</v>
      </c>
      <c r="K941">
        <v>-0.18846414910343359</v>
      </c>
      <c r="L941">
        <v>40347817.873863533</v>
      </c>
      <c r="M941" t="s">
        <v>287</v>
      </c>
      <c r="N941" t="s">
        <v>319</v>
      </c>
      <c r="O941" t="s">
        <v>323</v>
      </c>
      <c r="P941">
        <v>517</v>
      </c>
      <c r="Q941">
        <v>370</v>
      </c>
      <c r="R941">
        <v>147</v>
      </c>
    </row>
    <row r="942" spans="1:18" x14ac:dyDescent="0.3">
      <c r="A942" t="s">
        <v>1962</v>
      </c>
      <c r="B942">
        <v>2022</v>
      </c>
      <c r="C942">
        <v>1.5710452029938531</v>
      </c>
      <c r="D942">
        <v>0</v>
      </c>
      <c r="E942">
        <v>0</v>
      </c>
      <c r="F942">
        <v>66</v>
      </c>
      <c r="G942">
        <v>5.0709841074349997E-4</v>
      </c>
      <c r="H942">
        <v>14</v>
      </c>
      <c r="I942">
        <v>0</v>
      </c>
      <c r="J942">
        <v>0.42627149321177749</v>
      </c>
      <c r="K942">
        <v>-0.34190697014070298</v>
      </c>
      <c r="L942">
        <v>47599690.675527729</v>
      </c>
      <c r="M942" t="s">
        <v>287</v>
      </c>
      <c r="N942" t="s">
        <v>319</v>
      </c>
      <c r="O942" t="s">
        <v>324</v>
      </c>
      <c r="P942">
        <v>1193</v>
      </c>
      <c r="Q942">
        <v>507</v>
      </c>
      <c r="R942">
        <v>686</v>
      </c>
    </row>
    <row r="943" spans="1:18" x14ac:dyDescent="0.3">
      <c r="A943" t="s">
        <v>1963</v>
      </c>
      <c r="B943">
        <v>2022</v>
      </c>
      <c r="C943">
        <v>0.7799452111752464</v>
      </c>
      <c r="D943">
        <v>0</v>
      </c>
      <c r="E943">
        <v>0</v>
      </c>
      <c r="F943">
        <v>25</v>
      </c>
      <c r="G943">
        <v>1.8831885553738999E-3</v>
      </c>
      <c r="H943">
        <v>8</v>
      </c>
      <c r="I943">
        <v>1</v>
      </c>
      <c r="J943">
        <v>0.50304297643238172</v>
      </c>
      <c r="K943">
        <v>-0.28336228508744732</v>
      </c>
      <c r="L943">
        <v>77889224.575242832</v>
      </c>
      <c r="M943" t="s">
        <v>287</v>
      </c>
      <c r="N943" t="s">
        <v>326</v>
      </c>
      <c r="O943" t="s">
        <v>328</v>
      </c>
      <c r="P943">
        <v>692</v>
      </c>
      <c r="Q943">
        <v>153</v>
      </c>
      <c r="R943">
        <v>539</v>
      </c>
    </row>
    <row r="944" spans="1:18" x14ac:dyDescent="0.3">
      <c r="A944" t="s">
        <v>1964</v>
      </c>
      <c r="B944">
        <v>2022</v>
      </c>
      <c r="C944">
        <v>1.5244077990888869</v>
      </c>
      <c r="D944">
        <v>0</v>
      </c>
      <c r="E944">
        <v>0</v>
      </c>
      <c r="F944">
        <v>92</v>
      </c>
      <c r="G944">
        <v>1.0519339692506E-3</v>
      </c>
      <c r="H944">
        <v>9</v>
      </c>
      <c r="I944">
        <v>0</v>
      </c>
      <c r="J944">
        <v>0.62148017961514124</v>
      </c>
      <c r="K944">
        <v>-0.33505749323866491</v>
      </c>
      <c r="L944">
        <v>65927978.076058611</v>
      </c>
      <c r="M944" t="s">
        <v>287</v>
      </c>
      <c r="N944" t="s">
        <v>330</v>
      </c>
      <c r="O944" t="s">
        <v>333</v>
      </c>
      <c r="P944">
        <v>2435</v>
      </c>
      <c r="Q944">
        <v>1621</v>
      </c>
      <c r="R944">
        <v>814</v>
      </c>
    </row>
    <row r="945" spans="1:18" x14ac:dyDescent="0.3">
      <c r="A945" t="s">
        <v>1965</v>
      </c>
      <c r="B945">
        <v>2022</v>
      </c>
      <c r="C945">
        <v>3.1329064700110192</v>
      </c>
      <c r="D945">
        <v>0</v>
      </c>
      <c r="E945">
        <v>0</v>
      </c>
      <c r="F945">
        <v>78</v>
      </c>
      <c r="G945">
        <v>3.6893700026797002E-3</v>
      </c>
      <c r="H945">
        <v>13</v>
      </c>
      <c r="I945">
        <v>0</v>
      </c>
      <c r="J945">
        <v>0.55681173271489093</v>
      </c>
      <c r="K945">
        <v>-0.34830629346278091</v>
      </c>
      <c r="L945">
        <v>22550489.917779699</v>
      </c>
      <c r="M945" t="s">
        <v>287</v>
      </c>
      <c r="N945" t="s">
        <v>330</v>
      </c>
      <c r="O945" t="s">
        <v>145</v>
      </c>
      <c r="P945">
        <v>1446</v>
      </c>
      <c r="Q945">
        <v>951</v>
      </c>
      <c r="R945">
        <v>495</v>
      </c>
    </row>
    <row r="946" spans="1:18" x14ac:dyDescent="0.3">
      <c r="A946" t="s">
        <v>1966</v>
      </c>
      <c r="B946">
        <v>2022</v>
      </c>
      <c r="C946">
        <v>0.9798482136275064</v>
      </c>
      <c r="D946">
        <v>0</v>
      </c>
      <c r="E946">
        <v>0</v>
      </c>
      <c r="F946">
        <v>66</v>
      </c>
      <c r="G946">
        <v>1.2761686263262999E-3</v>
      </c>
      <c r="H946">
        <v>2</v>
      </c>
      <c r="I946">
        <v>2</v>
      </c>
      <c r="J946">
        <v>0.4941179625048312</v>
      </c>
      <c r="K946">
        <v>-0.2412610098130519</v>
      </c>
      <c r="L946">
        <v>66463810.690266088</v>
      </c>
      <c r="M946" t="s">
        <v>287</v>
      </c>
      <c r="N946" t="s">
        <v>330</v>
      </c>
      <c r="O946" t="s">
        <v>334</v>
      </c>
      <c r="P946">
        <v>2172</v>
      </c>
      <c r="Q946">
        <v>1417</v>
      </c>
      <c r="R946">
        <v>755</v>
      </c>
    </row>
    <row r="947" spans="1:18" x14ac:dyDescent="0.3">
      <c r="A947" t="s">
        <v>1967</v>
      </c>
      <c r="B947">
        <v>2022</v>
      </c>
      <c r="C947">
        <v>1.270035704378579</v>
      </c>
      <c r="D947">
        <v>0</v>
      </c>
      <c r="E947">
        <v>0</v>
      </c>
      <c r="F947">
        <v>85</v>
      </c>
      <c r="G947">
        <v>1.0187692166490001E-3</v>
      </c>
      <c r="H947">
        <v>4</v>
      </c>
      <c r="I947">
        <v>0</v>
      </c>
      <c r="J947">
        <v>0.4019087087443235</v>
      </c>
      <c r="K947">
        <v>-0.18700876709229311</v>
      </c>
      <c r="L947">
        <v>113230798.3465877</v>
      </c>
      <c r="M947" t="s">
        <v>287</v>
      </c>
      <c r="N947" t="s">
        <v>330</v>
      </c>
      <c r="O947" t="s">
        <v>335</v>
      </c>
      <c r="P947">
        <v>3701</v>
      </c>
      <c r="Q947">
        <v>1768</v>
      </c>
      <c r="R947">
        <v>1933</v>
      </c>
    </row>
    <row r="948" spans="1:18" x14ac:dyDescent="0.3">
      <c r="A948" t="s">
        <v>1968</v>
      </c>
      <c r="B948">
        <v>2022</v>
      </c>
      <c r="C948">
        <v>0.97063139381600161</v>
      </c>
      <c r="D948">
        <v>0</v>
      </c>
      <c r="E948">
        <v>0</v>
      </c>
      <c r="F948">
        <v>113</v>
      </c>
      <c r="G948">
        <v>5.9681878675609998E-4</v>
      </c>
      <c r="H948">
        <v>3</v>
      </c>
      <c r="I948">
        <v>0</v>
      </c>
      <c r="J948">
        <v>0.53268683696847585</v>
      </c>
      <c r="K948">
        <v>-0.3631500895531945</v>
      </c>
      <c r="L948">
        <v>75836396.468999714</v>
      </c>
      <c r="M948" t="s">
        <v>287</v>
      </c>
      <c r="N948" t="s">
        <v>336</v>
      </c>
      <c r="O948" t="s">
        <v>337</v>
      </c>
      <c r="P948">
        <v>1333</v>
      </c>
      <c r="Q948">
        <v>40</v>
      </c>
      <c r="R948">
        <v>1293</v>
      </c>
    </row>
    <row r="949" spans="1:18" x14ac:dyDescent="0.3">
      <c r="A949" t="s">
        <v>1969</v>
      </c>
      <c r="B949">
        <v>2022</v>
      </c>
      <c r="C949">
        <v>0.7465488056061893</v>
      </c>
      <c r="D949">
        <v>0</v>
      </c>
      <c r="E949">
        <v>0</v>
      </c>
      <c r="F949">
        <v>132</v>
      </c>
      <c r="G949">
        <v>4.4188142258539997E-4</v>
      </c>
      <c r="H949">
        <v>7</v>
      </c>
      <c r="I949">
        <v>0</v>
      </c>
      <c r="J949">
        <v>0.54673213587741631</v>
      </c>
      <c r="K949">
        <v>-0.39467489634772418</v>
      </c>
      <c r="L949">
        <v>180620157.42646199</v>
      </c>
      <c r="M949" t="s">
        <v>287</v>
      </c>
      <c r="N949" t="s">
        <v>336</v>
      </c>
      <c r="O949" t="s">
        <v>339</v>
      </c>
      <c r="P949">
        <v>2195</v>
      </c>
      <c r="Q949">
        <v>192</v>
      </c>
      <c r="R949">
        <v>2003</v>
      </c>
    </row>
    <row r="950" spans="1:18" x14ac:dyDescent="0.3">
      <c r="A950" t="s">
        <v>1970</v>
      </c>
      <c r="B950">
        <v>2022</v>
      </c>
      <c r="C950">
        <v>1.304139286678007</v>
      </c>
      <c r="D950">
        <v>0</v>
      </c>
      <c r="E950">
        <v>0</v>
      </c>
      <c r="F950">
        <v>37</v>
      </c>
      <c r="G950">
        <v>1.7527719793090999E-3</v>
      </c>
      <c r="H950">
        <v>9</v>
      </c>
      <c r="I950">
        <v>0</v>
      </c>
      <c r="J950">
        <v>0.60358609696126153</v>
      </c>
      <c r="K950">
        <v>-0.32318303794251202</v>
      </c>
      <c r="L950">
        <v>45254526.785903648</v>
      </c>
      <c r="M950" t="s">
        <v>287</v>
      </c>
      <c r="N950" t="s">
        <v>336</v>
      </c>
      <c r="O950" t="s">
        <v>344</v>
      </c>
      <c r="P950">
        <v>1594</v>
      </c>
      <c r="Q950">
        <v>520</v>
      </c>
      <c r="R950">
        <v>1074</v>
      </c>
    </row>
    <row r="951" spans="1:18" x14ac:dyDescent="0.3">
      <c r="A951" t="s">
        <v>1971</v>
      </c>
      <c r="B951">
        <v>2022</v>
      </c>
      <c r="C951">
        <v>0.97778957565947044</v>
      </c>
      <c r="D951">
        <v>0</v>
      </c>
      <c r="E951">
        <v>0</v>
      </c>
      <c r="F951">
        <v>39</v>
      </c>
      <c r="G951">
        <v>3.7641662169453998E-3</v>
      </c>
      <c r="H951">
        <v>2</v>
      </c>
      <c r="I951">
        <v>0</v>
      </c>
      <c r="J951">
        <v>0.23280393083524509</v>
      </c>
      <c r="K951">
        <v>-7.5682654096654103E-2</v>
      </c>
      <c r="L951">
        <v>28853870.309515242</v>
      </c>
      <c r="M951" t="s">
        <v>287</v>
      </c>
      <c r="N951" t="s">
        <v>346</v>
      </c>
      <c r="O951" t="s">
        <v>176</v>
      </c>
      <c r="P951">
        <v>700</v>
      </c>
      <c r="Q951">
        <v>350</v>
      </c>
      <c r="R951">
        <v>350</v>
      </c>
    </row>
    <row r="952" spans="1:18" x14ac:dyDescent="0.3">
      <c r="A952" t="s">
        <v>1972</v>
      </c>
      <c r="B952">
        <v>2022</v>
      </c>
      <c r="C952">
        <v>0.64883190745969044</v>
      </c>
      <c r="D952">
        <v>0</v>
      </c>
      <c r="E952">
        <v>0</v>
      </c>
      <c r="F952">
        <v>39</v>
      </c>
      <c r="G952">
        <v>9.0292904340630005E-4</v>
      </c>
      <c r="H952">
        <v>3</v>
      </c>
      <c r="I952">
        <v>0</v>
      </c>
      <c r="L952">
        <v>289336121.58748162</v>
      </c>
      <c r="M952" t="s">
        <v>348</v>
      </c>
      <c r="N952" t="s">
        <v>348</v>
      </c>
      <c r="O952" t="s">
        <v>350</v>
      </c>
      <c r="P952">
        <v>2760</v>
      </c>
      <c r="Q952">
        <v>106</v>
      </c>
      <c r="R952">
        <v>2654</v>
      </c>
    </row>
    <row r="953" spans="1:18" x14ac:dyDescent="0.3">
      <c r="A953" t="s">
        <v>1973</v>
      </c>
      <c r="B953">
        <v>2022</v>
      </c>
      <c r="C953">
        <v>1.358908736329997</v>
      </c>
      <c r="D953">
        <v>0</v>
      </c>
      <c r="E953">
        <v>0</v>
      </c>
      <c r="F953">
        <v>78</v>
      </c>
      <c r="G953">
        <v>1.00143061516452E-2</v>
      </c>
      <c r="H953">
        <v>4</v>
      </c>
      <c r="I953">
        <v>1</v>
      </c>
      <c r="J953">
        <v>0.39678220641484652</v>
      </c>
      <c r="K953">
        <v>3.48832651504557E-2</v>
      </c>
      <c r="L953">
        <v>97176027.729120359</v>
      </c>
      <c r="M953" t="s">
        <v>348</v>
      </c>
      <c r="N953" t="s">
        <v>357</v>
      </c>
      <c r="O953" t="s">
        <v>358</v>
      </c>
      <c r="P953">
        <v>5779</v>
      </c>
      <c r="Q953">
        <v>1503</v>
      </c>
      <c r="R953">
        <v>4276</v>
      </c>
    </row>
    <row r="954" spans="1:18" x14ac:dyDescent="0.3">
      <c r="A954" t="s">
        <v>1974</v>
      </c>
      <c r="B954">
        <v>2022</v>
      </c>
      <c r="C954">
        <v>0.66057988269743884</v>
      </c>
      <c r="D954">
        <v>0</v>
      </c>
      <c r="E954">
        <v>0</v>
      </c>
      <c r="F954">
        <v>62</v>
      </c>
      <c r="G954">
        <v>7.9808434249710003E-4</v>
      </c>
      <c r="H954">
        <v>10</v>
      </c>
      <c r="I954">
        <v>0</v>
      </c>
      <c r="J954">
        <v>0.40071379635830018</v>
      </c>
      <c r="K954">
        <v>-0.18439351934564249</v>
      </c>
      <c r="L954">
        <v>218743928.82419151</v>
      </c>
      <c r="M954" t="s">
        <v>348</v>
      </c>
      <c r="N954" t="s">
        <v>357</v>
      </c>
      <c r="O954" t="s">
        <v>359</v>
      </c>
      <c r="P954">
        <v>3075</v>
      </c>
      <c r="Q954">
        <v>64</v>
      </c>
      <c r="R954">
        <v>3011</v>
      </c>
    </row>
    <row r="955" spans="1:18" x14ac:dyDescent="0.3">
      <c r="A955" t="s">
        <v>1975</v>
      </c>
      <c r="B955">
        <v>2022</v>
      </c>
      <c r="C955">
        <v>0.57242533570148635</v>
      </c>
      <c r="D955">
        <v>0</v>
      </c>
      <c r="E955">
        <v>0</v>
      </c>
      <c r="F955">
        <v>10</v>
      </c>
      <c r="G955">
        <v>1.6122476629183001E-2</v>
      </c>
      <c r="H955">
        <v>3</v>
      </c>
      <c r="I955">
        <v>0</v>
      </c>
      <c r="J955">
        <v>0.54595348160724722</v>
      </c>
      <c r="K955">
        <v>-0.20690196377278941</v>
      </c>
      <c r="L955">
        <v>765238654.66826546</v>
      </c>
      <c r="M955" t="s">
        <v>348</v>
      </c>
      <c r="N955" t="s">
        <v>357</v>
      </c>
      <c r="O955" t="s">
        <v>362</v>
      </c>
      <c r="P955">
        <v>534</v>
      </c>
      <c r="Q955">
        <v>26</v>
      </c>
      <c r="R955">
        <v>508</v>
      </c>
    </row>
    <row r="956" spans="1:18" x14ac:dyDescent="0.3">
      <c r="A956" t="s">
        <v>1976</v>
      </c>
      <c r="B956">
        <v>2022</v>
      </c>
      <c r="C956">
        <v>0.66535429825992409</v>
      </c>
      <c r="D956">
        <v>0</v>
      </c>
      <c r="E956">
        <v>0</v>
      </c>
      <c r="F956">
        <v>32</v>
      </c>
      <c r="G956">
        <v>3.0486963719133001E-3</v>
      </c>
      <c r="H956">
        <v>4</v>
      </c>
      <c r="I956">
        <v>0</v>
      </c>
      <c r="J956">
        <v>0.53582473001653708</v>
      </c>
      <c r="K956">
        <v>-0.2433012478280554</v>
      </c>
      <c r="L956">
        <v>181207924.6181117</v>
      </c>
      <c r="M956" t="s">
        <v>348</v>
      </c>
      <c r="N956" t="s">
        <v>357</v>
      </c>
      <c r="O956" t="s">
        <v>364</v>
      </c>
      <c r="P956">
        <v>1838</v>
      </c>
      <c r="Q956">
        <v>0</v>
      </c>
      <c r="R956">
        <v>1838</v>
      </c>
    </row>
    <row r="957" spans="1:18" x14ac:dyDescent="0.3">
      <c r="A957" t="s">
        <v>1977</v>
      </c>
      <c r="B957">
        <v>2022</v>
      </c>
      <c r="C957">
        <v>0.57120354826072561</v>
      </c>
      <c r="D957">
        <v>0</v>
      </c>
      <c r="E957">
        <v>0</v>
      </c>
      <c r="F957">
        <v>43</v>
      </c>
      <c r="G957">
        <v>3.0766232319856999E-3</v>
      </c>
      <c r="H957">
        <v>5</v>
      </c>
      <c r="I957">
        <v>0</v>
      </c>
      <c r="J957">
        <v>0.62101738880412516</v>
      </c>
      <c r="K957">
        <v>-0.30644039944244089</v>
      </c>
      <c r="L957">
        <v>49668353.162611783</v>
      </c>
      <c r="M957" t="s">
        <v>348</v>
      </c>
      <c r="N957" t="s">
        <v>357</v>
      </c>
      <c r="O957" t="s">
        <v>366</v>
      </c>
      <c r="P957">
        <v>1466</v>
      </c>
      <c r="Q957">
        <v>199</v>
      </c>
      <c r="R957">
        <v>1267</v>
      </c>
    </row>
    <row r="958" spans="1:18" x14ac:dyDescent="0.3">
      <c r="A958" t="s">
        <v>1978</v>
      </c>
      <c r="B958">
        <v>2022</v>
      </c>
      <c r="C958">
        <v>0.67030489853391406</v>
      </c>
      <c r="D958">
        <v>0</v>
      </c>
      <c r="E958">
        <v>0</v>
      </c>
      <c r="F958">
        <v>34</v>
      </c>
      <c r="G958">
        <v>1.458650695937E-3</v>
      </c>
      <c r="H958">
        <v>3</v>
      </c>
      <c r="I958">
        <v>1</v>
      </c>
      <c r="J958">
        <v>0.42411127506859181</v>
      </c>
      <c r="K958">
        <v>-0.21995352964098591</v>
      </c>
      <c r="L958">
        <v>71897297.233913884</v>
      </c>
      <c r="M958" t="s">
        <v>348</v>
      </c>
      <c r="N958" t="s">
        <v>357</v>
      </c>
      <c r="O958" t="s">
        <v>368</v>
      </c>
      <c r="P958">
        <v>2200</v>
      </c>
      <c r="Q958">
        <v>206</v>
      </c>
      <c r="R958">
        <v>1994</v>
      </c>
    </row>
    <row r="959" spans="1:18" x14ac:dyDescent="0.3">
      <c r="A959" t="s">
        <v>1979</v>
      </c>
      <c r="B959">
        <v>2022</v>
      </c>
      <c r="C959">
        <v>0.68372641962730407</v>
      </c>
      <c r="D959">
        <v>0</v>
      </c>
      <c r="E959">
        <v>0</v>
      </c>
      <c r="F959">
        <v>37</v>
      </c>
      <c r="G959">
        <v>3.5226314634512002E-3</v>
      </c>
      <c r="H959">
        <v>1</v>
      </c>
      <c r="I959">
        <v>0</v>
      </c>
      <c r="J959">
        <v>0.57699373547325283</v>
      </c>
      <c r="K959">
        <v>-0.28832469257468729</v>
      </c>
      <c r="L959">
        <v>21948291.39352686</v>
      </c>
      <c r="M959" t="s">
        <v>348</v>
      </c>
      <c r="N959" t="s">
        <v>357</v>
      </c>
      <c r="O959" t="s">
        <v>370</v>
      </c>
      <c r="P959">
        <v>1153</v>
      </c>
      <c r="Q959">
        <v>490</v>
      </c>
      <c r="R959">
        <v>663</v>
      </c>
    </row>
    <row r="960" spans="1:18" x14ac:dyDescent="0.3">
      <c r="A960" t="s">
        <v>1980</v>
      </c>
      <c r="B960">
        <v>2022</v>
      </c>
      <c r="C960">
        <v>0.60877187445529957</v>
      </c>
      <c r="D960">
        <v>0</v>
      </c>
      <c r="E960">
        <v>0</v>
      </c>
      <c r="F960">
        <v>74</v>
      </c>
      <c r="G960">
        <v>5.8478867730679999E-4</v>
      </c>
      <c r="H960">
        <v>17</v>
      </c>
      <c r="I960">
        <v>0</v>
      </c>
      <c r="J960">
        <v>0.62239053327348703</v>
      </c>
      <c r="K960">
        <v>-0.30435676715205662</v>
      </c>
      <c r="L960">
        <v>183621271.44426239</v>
      </c>
      <c r="M960" t="s">
        <v>348</v>
      </c>
      <c r="N960" t="s">
        <v>380</v>
      </c>
      <c r="O960" t="s">
        <v>383</v>
      </c>
      <c r="P960">
        <v>3241</v>
      </c>
      <c r="Q960">
        <v>184</v>
      </c>
      <c r="R960">
        <v>3057</v>
      </c>
    </row>
    <row r="961" spans="1:18" x14ac:dyDescent="0.3">
      <c r="A961" t="s">
        <v>1981</v>
      </c>
      <c r="B961">
        <v>2022</v>
      </c>
      <c r="C961">
        <v>0.69682098796915137</v>
      </c>
      <c r="D961">
        <v>0</v>
      </c>
      <c r="E961">
        <v>0</v>
      </c>
      <c r="F961">
        <v>357</v>
      </c>
      <c r="G961">
        <v>1.6962455892870001E-4</v>
      </c>
      <c r="H961">
        <v>27</v>
      </c>
      <c r="I961">
        <v>3</v>
      </c>
      <c r="J961">
        <v>0.56391862219427247</v>
      </c>
      <c r="K961">
        <v>-0.25792622322342529</v>
      </c>
      <c r="L961">
        <v>1005162969.782281</v>
      </c>
      <c r="M961" t="s">
        <v>348</v>
      </c>
      <c r="N961" t="s">
        <v>380</v>
      </c>
      <c r="O961" t="s">
        <v>384</v>
      </c>
      <c r="P961">
        <v>19862</v>
      </c>
      <c r="Q961">
        <v>602</v>
      </c>
      <c r="R961">
        <v>19260</v>
      </c>
    </row>
    <row r="962" spans="1:18" x14ac:dyDescent="0.3">
      <c r="A962" t="s">
        <v>1982</v>
      </c>
      <c r="B962">
        <v>2022</v>
      </c>
      <c r="C962">
        <v>0.61159911911747544</v>
      </c>
      <c r="D962">
        <v>0</v>
      </c>
      <c r="E962">
        <v>0</v>
      </c>
      <c r="F962">
        <v>42</v>
      </c>
      <c r="G962">
        <v>1.3377807427173E-3</v>
      </c>
      <c r="H962">
        <v>4</v>
      </c>
      <c r="I962">
        <v>0</v>
      </c>
      <c r="J962">
        <v>0.31802160378858652</v>
      </c>
      <c r="K962">
        <v>-0.1504086311135876</v>
      </c>
      <c r="L962">
        <v>1136258665.6468711</v>
      </c>
      <c r="M962" t="s">
        <v>348</v>
      </c>
      <c r="N962" t="s">
        <v>102</v>
      </c>
      <c r="O962" t="s">
        <v>386</v>
      </c>
      <c r="P962">
        <v>1866</v>
      </c>
      <c r="Q962">
        <v>304</v>
      </c>
      <c r="R962">
        <v>1562</v>
      </c>
    </row>
    <row r="963" spans="1:18" x14ac:dyDescent="0.3">
      <c r="A963" t="s">
        <v>1983</v>
      </c>
      <c r="B963">
        <v>2022</v>
      </c>
      <c r="C963">
        <v>1.3354157933853339</v>
      </c>
      <c r="D963">
        <v>0</v>
      </c>
      <c r="E963">
        <v>0</v>
      </c>
      <c r="F963">
        <v>91</v>
      </c>
      <c r="G963">
        <v>2.0982269981864999E-3</v>
      </c>
      <c r="H963">
        <v>6</v>
      </c>
      <c r="I963">
        <v>2</v>
      </c>
      <c r="J963">
        <v>0.69285463422286675</v>
      </c>
      <c r="K963">
        <v>-0.34380117328988979</v>
      </c>
      <c r="L963">
        <v>31979169.523108281</v>
      </c>
      <c r="M963" t="s">
        <v>348</v>
      </c>
      <c r="N963" t="s">
        <v>102</v>
      </c>
      <c r="O963" t="s">
        <v>388</v>
      </c>
      <c r="P963">
        <v>1164</v>
      </c>
      <c r="Q963">
        <v>32</v>
      </c>
      <c r="R963">
        <v>1132</v>
      </c>
    </row>
    <row r="964" spans="1:18" x14ac:dyDescent="0.3">
      <c r="A964" t="s">
        <v>1984</v>
      </c>
      <c r="B964">
        <v>2022</v>
      </c>
      <c r="C964">
        <v>0.81306742797711462</v>
      </c>
      <c r="D964">
        <v>0</v>
      </c>
      <c r="E964">
        <v>0</v>
      </c>
      <c r="F964">
        <v>64</v>
      </c>
      <c r="G964">
        <v>1.1961594964615999E-3</v>
      </c>
      <c r="H964">
        <v>8</v>
      </c>
      <c r="I964">
        <v>0</v>
      </c>
      <c r="J964">
        <v>0.68787815358326199</v>
      </c>
      <c r="K964">
        <v>-0.33698551275037719</v>
      </c>
      <c r="L964">
        <v>69116135.142892689</v>
      </c>
      <c r="M964" t="s">
        <v>348</v>
      </c>
      <c r="N964" t="s">
        <v>102</v>
      </c>
      <c r="O964" t="s">
        <v>389</v>
      </c>
      <c r="P964">
        <v>1117</v>
      </c>
      <c r="Q964">
        <v>326</v>
      </c>
      <c r="R964">
        <v>791</v>
      </c>
    </row>
    <row r="965" spans="1:18" x14ac:dyDescent="0.3">
      <c r="A965" t="s">
        <v>1985</v>
      </c>
      <c r="B965">
        <v>2022</v>
      </c>
      <c r="C965">
        <v>0.66726879609880463</v>
      </c>
      <c r="D965">
        <v>0</v>
      </c>
      <c r="E965">
        <v>0</v>
      </c>
      <c r="F965">
        <v>21</v>
      </c>
      <c r="G965">
        <v>2.2321097515758002E-3</v>
      </c>
      <c r="H965">
        <v>4</v>
      </c>
      <c r="I965">
        <v>0</v>
      </c>
      <c r="J965">
        <v>0.55008239837998807</v>
      </c>
      <c r="K965">
        <v>-0.2412692903996109</v>
      </c>
      <c r="L965">
        <v>218794192.20440769</v>
      </c>
      <c r="M965" t="s">
        <v>348</v>
      </c>
      <c r="N965" t="s">
        <v>102</v>
      </c>
      <c r="O965" t="s">
        <v>390</v>
      </c>
      <c r="P965">
        <v>247</v>
      </c>
      <c r="Q965">
        <v>95</v>
      </c>
      <c r="R965">
        <v>152</v>
      </c>
    </row>
    <row r="966" spans="1:18" x14ac:dyDescent="0.3">
      <c r="A966" t="s">
        <v>1986</v>
      </c>
      <c r="B966">
        <v>2022</v>
      </c>
      <c r="C966">
        <v>0.92209480936212995</v>
      </c>
      <c r="D966">
        <v>0</v>
      </c>
      <c r="E966">
        <v>0</v>
      </c>
      <c r="F966">
        <v>39</v>
      </c>
      <c r="G966">
        <v>4.2818529718735001E-3</v>
      </c>
      <c r="H966">
        <v>2</v>
      </c>
      <c r="I966">
        <v>0</v>
      </c>
      <c r="J966">
        <v>0.69407863013174853</v>
      </c>
      <c r="K966">
        <v>-0.34705992712508449</v>
      </c>
      <c r="L966">
        <v>45830605.596574172</v>
      </c>
      <c r="M966" t="s">
        <v>348</v>
      </c>
      <c r="N966" t="s">
        <v>102</v>
      </c>
      <c r="O966" t="s">
        <v>392</v>
      </c>
      <c r="P966">
        <v>786</v>
      </c>
      <c r="Q966">
        <v>219</v>
      </c>
      <c r="R966">
        <v>567</v>
      </c>
    </row>
    <row r="967" spans="1:18" x14ac:dyDescent="0.3">
      <c r="A967" t="s">
        <v>1987</v>
      </c>
      <c r="B967">
        <v>2022</v>
      </c>
      <c r="C967">
        <v>0.63237843868602395</v>
      </c>
      <c r="D967">
        <v>0</v>
      </c>
      <c r="E967">
        <v>0</v>
      </c>
      <c r="F967">
        <v>40</v>
      </c>
      <c r="G967">
        <v>5.7276788984106002E-3</v>
      </c>
      <c r="H967">
        <v>5</v>
      </c>
      <c r="I967">
        <v>0</v>
      </c>
      <c r="J967">
        <v>0.63952029057424109</v>
      </c>
      <c r="K967">
        <v>-0.3062651006158566</v>
      </c>
      <c r="L967">
        <v>81137789.007875264</v>
      </c>
      <c r="M967" t="s">
        <v>348</v>
      </c>
      <c r="N967" t="s">
        <v>102</v>
      </c>
      <c r="O967" t="s">
        <v>393</v>
      </c>
      <c r="P967">
        <v>1636</v>
      </c>
      <c r="Q967">
        <v>429</v>
      </c>
      <c r="R967">
        <v>1207</v>
      </c>
    </row>
    <row r="968" spans="1:18" x14ac:dyDescent="0.3">
      <c r="A968" t="s">
        <v>1988</v>
      </c>
      <c r="B968">
        <v>2022</v>
      </c>
      <c r="C968">
        <v>1.0248810942890221</v>
      </c>
      <c r="D968">
        <v>0</v>
      </c>
      <c r="E968">
        <v>0</v>
      </c>
      <c r="F968">
        <v>71</v>
      </c>
      <c r="G968">
        <v>1.0272100607888E-3</v>
      </c>
      <c r="H968">
        <v>10</v>
      </c>
      <c r="I968">
        <v>0</v>
      </c>
      <c r="J968">
        <v>0.58737585142902471</v>
      </c>
      <c r="K968">
        <v>-0.16943882729679949</v>
      </c>
      <c r="L968">
        <v>227148267.35547569</v>
      </c>
      <c r="M968" t="s">
        <v>348</v>
      </c>
      <c r="N968" t="s">
        <v>102</v>
      </c>
      <c r="O968" t="s">
        <v>394</v>
      </c>
      <c r="P968">
        <v>1360</v>
      </c>
      <c r="Q968">
        <v>9</v>
      </c>
      <c r="R968">
        <v>1351</v>
      </c>
    </row>
    <row r="969" spans="1:18" x14ac:dyDescent="0.3">
      <c r="A969" t="s">
        <v>1989</v>
      </c>
      <c r="B969">
        <v>2022</v>
      </c>
      <c r="C969">
        <v>0.676576943624146</v>
      </c>
      <c r="D969">
        <v>0</v>
      </c>
      <c r="E969">
        <v>0</v>
      </c>
      <c r="F969">
        <v>33</v>
      </c>
      <c r="G969">
        <v>2.2521957024992001E-3</v>
      </c>
      <c r="H969">
        <v>3</v>
      </c>
      <c r="I969">
        <v>0</v>
      </c>
      <c r="J969">
        <v>0.52808532057384061</v>
      </c>
      <c r="K969">
        <v>-0.23795641982622581</v>
      </c>
      <c r="L969">
        <v>100300686.3581726</v>
      </c>
      <c r="M969" t="s">
        <v>348</v>
      </c>
      <c r="N969" t="s">
        <v>102</v>
      </c>
      <c r="O969" t="s">
        <v>164</v>
      </c>
      <c r="P969">
        <v>511</v>
      </c>
      <c r="Q969">
        <v>149</v>
      </c>
      <c r="R969">
        <v>362</v>
      </c>
    </row>
    <row r="970" spans="1:18" x14ac:dyDescent="0.3">
      <c r="A970" t="s">
        <v>1990</v>
      </c>
      <c r="B970">
        <v>2022</v>
      </c>
      <c r="C970">
        <v>0.58924699297620986</v>
      </c>
      <c r="D970">
        <v>0</v>
      </c>
      <c r="E970">
        <v>0</v>
      </c>
      <c r="F970">
        <v>75</v>
      </c>
      <c r="G970">
        <v>4.2589181636980001E-4</v>
      </c>
      <c r="H970">
        <v>17</v>
      </c>
      <c r="I970">
        <v>0</v>
      </c>
      <c r="J970">
        <v>0.60089062492252476</v>
      </c>
      <c r="K970">
        <v>-0.28032512129092091</v>
      </c>
      <c r="L970">
        <v>539470235.17225051</v>
      </c>
      <c r="M970" t="s">
        <v>348</v>
      </c>
      <c r="N970" t="s">
        <v>400</v>
      </c>
      <c r="O970" t="s">
        <v>402</v>
      </c>
      <c r="P970">
        <v>4508</v>
      </c>
      <c r="Q970">
        <v>58</v>
      </c>
      <c r="R970">
        <v>4450</v>
      </c>
    </row>
    <row r="971" spans="1:18" x14ac:dyDescent="0.3">
      <c r="A971" t="s">
        <v>1991</v>
      </c>
      <c r="B971">
        <v>2022</v>
      </c>
      <c r="C971">
        <v>0.89000387503566392</v>
      </c>
      <c r="D971">
        <v>0</v>
      </c>
      <c r="E971">
        <v>0</v>
      </c>
      <c r="F971">
        <v>130</v>
      </c>
      <c r="G971">
        <v>5.1612656823830005E-4</v>
      </c>
      <c r="H971">
        <v>15</v>
      </c>
      <c r="I971">
        <v>0</v>
      </c>
      <c r="J971">
        <v>0.29559496308758609</v>
      </c>
      <c r="K971">
        <v>-0.30472031655966447</v>
      </c>
      <c r="L971">
        <v>213264023.9504894</v>
      </c>
      <c r="M971" t="s">
        <v>406</v>
      </c>
      <c r="N971" t="s">
        <v>416</v>
      </c>
      <c r="O971" t="s">
        <v>417</v>
      </c>
      <c r="P971">
        <v>5904</v>
      </c>
      <c r="Q971">
        <v>689</v>
      </c>
      <c r="R971">
        <v>5215</v>
      </c>
    </row>
    <row r="972" spans="1:18" x14ac:dyDescent="0.3">
      <c r="A972" t="s">
        <v>1992</v>
      </c>
      <c r="B972">
        <v>2022</v>
      </c>
      <c r="C972">
        <v>1.1852576088230571</v>
      </c>
      <c r="D972">
        <v>0</v>
      </c>
      <c r="E972">
        <v>0</v>
      </c>
      <c r="F972">
        <v>152</v>
      </c>
      <c r="G972">
        <v>1.2969573410869001E-3</v>
      </c>
      <c r="H972">
        <v>3</v>
      </c>
      <c r="I972">
        <v>0</v>
      </c>
      <c r="J972">
        <v>0.13420836251624851</v>
      </c>
      <c r="K972">
        <v>-5.6474119625740102E-2</v>
      </c>
      <c r="L972">
        <v>131532543.6010212</v>
      </c>
      <c r="M972" t="s">
        <v>406</v>
      </c>
      <c r="N972" t="s">
        <v>429</v>
      </c>
      <c r="O972" t="s">
        <v>432</v>
      </c>
      <c r="P972">
        <v>6182</v>
      </c>
      <c r="Q972">
        <v>2284</v>
      </c>
      <c r="R972">
        <v>3898</v>
      </c>
    </row>
    <row r="973" spans="1:18" x14ac:dyDescent="0.3">
      <c r="A973" t="s">
        <v>1993</v>
      </c>
      <c r="B973">
        <v>2022</v>
      </c>
      <c r="C973">
        <v>1.477878817659356</v>
      </c>
      <c r="D973">
        <v>0</v>
      </c>
      <c r="E973">
        <v>0</v>
      </c>
      <c r="F973">
        <v>121</v>
      </c>
      <c r="G973">
        <v>1.3997596286560001E-3</v>
      </c>
      <c r="H973">
        <v>3</v>
      </c>
      <c r="I973">
        <v>3</v>
      </c>
      <c r="J973">
        <v>0.28086056654246139</v>
      </c>
      <c r="K973">
        <v>-0.36050628877371649</v>
      </c>
      <c r="L973">
        <v>100035165.85415339</v>
      </c>
      <c r="M973" t="s">
        <v>406</v>
      </c>
      <c r="N973" t="s">
        <v>436</v>
      </c>
      <c r="O973" t="s">
        <v>437</v>
      </c>
      <c r="P973">
        <v>5751</v>
      </c>
      <c r="Q973">
        <v>385</v>
      </c>
      <c r="R973">
        <v>5366</v>
      </c>
    </row>
    <row r="974" spans="1:18" x14ac:dyDescent="0.3">
      <c r="A974" t="s">
        <v>1994</v>
      </c>
      <c r="B974">
        <v>2022</v>
      </c>
      <c r="C974">
        <v>3.899582696874373</v>
      </c>
      <c r="D974">
        <v>0</v>
      </c>
      <c r="E974">
        <v>0</v>
      </c>
      <c r="F974">
        <v>249</v>
      </c>
      <c r="G974">
        <v>4.9781314340439995E-4</v>
      </c>
      <c r="H974">
        <v>8</v>
      </c>
      <c r="I974">
        <v>0</v>
      </c>
      <c r="J974">
        <v>0.39185480451097099</v>
      </c>
      <c r="K974">
        <v>-0.24825014453145069</v>
      </c>
      <c r="L974">
        <v>107528482.93559989</v>
      </c>
      <c r="M974" t="s">
        <v>406</v>
      </c>
      <c r="N974" t="s">
        <v>446</v>
      </c>
      <c r="O974" t="s">
        <v>448</v>
      </c>
      <c r="P974">
        <v>13139</v>
      </c>
      <c r="Q974">
        <v>2775</v>
      </c>
      <c r="R974">
        <v>10364</v>
      </c>
    </row>
    <row r="975" spans="1:18" x14ac:dyDescent="0.3">
      <c r="A975" t="s">
        <v>1995</v>
      </c>
      <c r="B975">
        <v>2022</v>
      </c>
      <c r="C975">
        <v>0.84561712041859749</v>
      </c>
      <c r="D975">
        <v>0</v>
      </c>
      <c r="E975">
        <v>0</v>
      </c>
      <c r="F975">
        <v>38</v>
      </c>
      <c r="G975">
        <v>1.5420182086847999E-3</v>
      </c>
      <c r="H975">
        <v>10</v>
      </c>
      <c r="I975">
        <v>0</v>
      </c>
      <c r="L975">
        <v>54906513.331152722</v>
      </c>
      <c r="M975" t="s">
        <v>460</v>
      </c>
      <c r="N975" t="s">
        <v>473</v>
      </c>
      <c r="O975" t="s">
        <v>480</v>
      </c>
      <c r="P975">
        <v>592</v>
      </c>
      <c r="Q975">
        <v>185</v>
      </c>
      <c r="R975">
        <v>407</v>
      </c>
    </row>
    <row r="976" spans="1:18" x14ac:dyDescent="0.3">
      <c r="A976" t="s">
        <v>1996</v>
      </c>
      <c r="B976">
        <v>2022</v>
      </c>
      <c r="C976">
        <v>0.95189448638765639</v>
      </c>
      <c r="D976">
        <v>0</v>
      </c>
      <c r="E976">
        <v>0</v>
      </c>
      <c r="F976">
        <v>19</v>
      </c>
      <c r="G976">
        <v>2.2172624492333998E-3</v>
      </c>
      <c r="H976">
        <v>1</v>
      </c>
      <c r="I976">
        <v>1</v>
      </c>
      <c r="L976">
        <v>9955712.7632541247</v>
      </c>
      <c r="M976" t="s">
        <v>460</v>
      </c>
      <c r="N976" t="s">
        <v>481</v>
      </c>
      <c r="O976" t="s">
        <v>485</v>
      </c>
      <c r="P976">
        <v>221</v>
      </c>
      <c r="Q976">
        <v>86</v>
      </c>
      <c r="R976">
        <v>135</v>
      </c>
    </row>
    <row r="977" spans="1:18" x14ac:dyDescent="0.3">
      <c r="A977" t="s">
        <v>1997</v>
      </c>
      <c r="B977">
        <v>2022</v>
      </c>
      <c r="C977">
        <v>1.096873872729875</v>
      </c>
      <c r="D977">
        <v>0</v>
      </c>
      <c r="E977">
        <v>0</v>
      </c>
      <c r="F977">
        <v>55</v>
      </c>
      <c r="G977">
        <v>4.4792631791879998E-4</v>
      </c>
      <c r="H977">
        <v>1</v>
      </c>
      <c r="I977">
        <v>2</v>
      </c>
      <c r="J977">
        <v>0.43639740951471861</v>
      </c>
      <c r="K977">
        <v>-0.24147982045908861</v>
      </c>
      <c r="L977">
        <v>49488185.804452352</v>
      </c>
      <c r="M977" t="s">
        <v>460</v>
      </c>
      <c r="N977" t="s">
        <v>488</v>
      </c>
      <c r="O977" t="s">
        <v>489</v>
      </c>
      <c r="P977">
        <v>1020</v>
      </c>
      <c r="Q977">
        <v>95</v>
      </c>
      <c r="R977">
        <v>925</v>
      </c>
    </row>
    <row r="978" spans="1:18" x14ac:dyDescent="0.3">
      <c r="A978" t="s">
        <v>1998</v>
      </c>
      <c r="B978">
        <v>2022</v>
      </c>
      <c r="C978">
        <v>0.57594343826105443</v>
      </c>
      <c r="D978">
        <v>0</v>
      </c>
      <c r="E978">
        <v>0</v>
      </c>
      <c r="F978">
        <v>89</v>
      </c>
      <c r="G978">
        <v>4.9613520158250002E-4</v>
      </c>
      <c r="H978">
        <v>3</v>
      </c>
      <c r="I978">
        <v>0</v>
      </c>
      <c r="J978">
        <v>0.4652787402963004</v>
      </c>
      <c r="K978">
        <v>-0.35336813693609609</v>
      </c>
      <c r="L978">
        <v>99931558.129725635</v>
      </c>
      <c r="M978" t="s">
        <v>499</v>
      </c>
      <c r="N978" t="s">
        <v>499</v>
      </c>
      <c r="O978" t="s">
        <v>503</v>
      </c>
      <c r="P978">
        <v>2082</v>
      </c>
      <c r="Q978">
        <v>464</v>
      </c>
      <c r="R978">
        <v>1618</v>
      </c>
    </row>
    <row r="979" spans="1:18" x14ac:dyDescent="0.3">
      <c r="A979" t="s">
        <v>1999</v>
      </c>
      <c r="B979">
        <v>2022</v>
      </c>
      <c r="C979">
        <v>0.65595155484389922</v>
      </c>
      <c r="D979">
        <v>0</v>
      </c>
      <c r="E979">
        <v>0</v>
      </c>
      <c r="F979">
        <v>11</v>
      </c>
      <c r="G979">
        <v>7.2806678940539997E-4</v>
      </c>
      <c r="H979">
        <v>1</v>
      </c>
      <c r="I979">
        <v>2</v>
      </c>
      <c r="J979">
        <v>0.53756987048652838</v>
      </c>
      <c r="K979">
        <v>-0.28741713597223761</v>
      </c>
      <c r="L979">
        <v>102249186.0508755</v>
      </c>
      <c r="M979" t="s">
        <v>499</v>
      </c>
      <c r="N979" t="s">
        <v>499</v>
      </c>
      <c r="O979" t="s">
        <v>504</v>
      </c>
      <c r="P979">
        <v>1010</v>
      </c>
      <c r="Q979">
        <v>123</v>
      </c>
      <c r="R979">
        <v>887</v>
      </c>
    </row>
    <row r="980" spans="1:18" x14ac:dyDescent="0.3">
      <c r="A980" t="s">
        <v>2000</v>
      </c>
      <c r="B980">
        <v>2022</v>
      </c>
      <c r="C980">
        <v>0.56337150480284248</v>
      </c>
      <c r="D980">
        <v>0</v>
      </c>
      <c r="E980">
        <v>0</v>
      </c>
      <c r="F980">
        <v>27</v>
      </c>
      <c r="G980">
        <v>4.7562371770890001E-4</v>
      </c>
      <c r="H980">
        <v>6</v>
      </c>
      <c r="I980">
        <v>1</v>
      </c>
      <c r="J980">
        <v>0.48085973839442259</v>
      </c>
      <c r="K980">
        <v>-0.39482842038693022</v>
      </c>
      <c r="L980">
        <v>116909433.6790434</v>
      </c>
      <c r="M980" t="s">
        <v>499</v>
      </c>
      <c r="N980" t="s">
        <v>512</v>
      </c>
      <c r="O980" t="s">
        <v>516</v>
      </c>
      <c r="P980">
        <v>1016</v>
      </c>
      <c r="Q980">
        <v>136</v>
      </c>
      <c r="R980">
        <v>880</v>
      </c>
    </row>
    <row r="981" spans="1:18" x14ac:dyDescent="0.3">
      <c r="A981" t="s">
        <v>2001</v>
      </c>
      <c r="B981">
        <v>2022</v>
      </c>
      <c r="C981">
        <v>0.66236826384313641</v>
      </c>
      <c r="D981">
        <v>0</v>
      </c>
      <c r="E981">
        <v>0</v>
      </c>
      <c r="F981">
        <v>23</v>
      </c>
      <c r="G981">
        <v>8.706999262439E-4</v>
      </c>
      <c r="H981">
        <v>2</v>
      </c>
      <c r="I981">
        <v>0</v>
      </c>
      <c r="J981">
        <v>0.48235564324026242</v>
      </c>
      <c r="K981">
        <v>-0.31968130612928253</v>
      </c>
      <c r="L981">
        <v>105755160.1507453</v>
      </c>
      <c r="M981" t="s">
        <v>499</v>
      </c>
      <c r="N981" t="s">
        <v>518</v>
      </c>
      <c r="O981" t="s">
        <v>519</v>
      </c>
      <c r="P981">
        <v>293</v>
      </c>
      <c r="Q981">
        <v>106</v>
      </c>
      <c r="R981">
        <v>187</v>
      </c>
    </row>
    <row r="982" spans="1:18" x14ac:dyDescent="0.3">
      <c r="A982" t="s">
        <v>2002</v>
      </c>
      <c r="B982">
        <v>2022</v>
      </c>
      <c r="C982">
        <v>0.7656988478661515</v>
      </c>
      <c r="D982">
        <v>0</v>
      </c>
      <c r="E982">
        <v>0</v>
      </c>
      <c r="F982">
        <v>36</v>
      </c>
      <c r="G982">
        <v>7.3718572324180001E-4</v>
      </c>
      <c r="H982">
        <v>3</v>
      </c>
      <c r="I982">
        <v>0</v>
      </c>
      <c r="J982">
        <v>0.47853415242184227</v>
      </c>
      <c r="K982">
        <v>-0.3402995478498006</v>
      </c>
      <c r="L982">
        <v>44463617.494865216</v>
      </c>
      <c r="M982" t="s">
        <v>499</v>
      </c>
      <c r="N982" t="s">
        <v>526</v>
      </c>
      <c r="O982" t="s">
        <v>313</v>
      </c>
      <c r="P982">
        <v>1193</v>
      </c>
      <c r="Q982">
        <v>538</v>
      </c>
      <c r="R982">
        <v>655</v>
      </c>
    </row>
    <row r="983" spans="1:18" x14ac:dyDescent="0.3">
      <c r="A983" t="s">
        <v>2003</v>
      </c>
      <c r="B983">
        <v>2022</v>
      </c>
      <c r="C983">
        <v>0.80532840415197027</v>
      </c>
      <c r="D983">
        <v>0</v>
      </c>
      <c r="E983">
        <v>0</v>
      </c>
      <c r="F983">
        <v>29</v>
      </c>
      <c r="G983">
        <v>3.1640561617460002E-4</v>
      </c>
      <c r="H983">
        <v>3</v>
      </c>
      <c r="I983">
        <v>0</v>
      </c>
      <c r="J983">
        <v>0.47363410762222857</v>
      </c>
      <c r="K983">
        <v>-0.36631116603184533</v>
      </c>
      <c r="L983">
        <v>91663599.263196275</v>
      </c>
      <c r="M983" t="s">
        <v>499</v>
      </c>
      <c r="N983" t="s">
        <v>526</v>
      </c>
      <c r="O983" t="s">
        <v>425</v>
      </c>
      <c r="P983">
        <v>382</v>
      </c>
      <c r="Q983">
        <v>147</v>
      </c>
      <c r="R983">
        <v>235</v>
      </c>
    </row>
    <row r="984" spans="1:18" x14ac:dyDescent="0.3">
      <c r="A984" t="s">
        <v>2004</v>
      </c>
      <c r="B984">
        <v>2022</v>
      </c>
      <c r="C984">
        <v>0.67342873562057648</v>
      </c>
      <c r="D984">
        <v>0</v>
      </c>
      <c r="E984">
        <v>0</v>
      </c>
      <c r="F984">
        <v>60</v>
      </c>
      <c r="G984">
        <v>5.3219587572879998E-4</v>
      </c>
      <c r="H984">
        <v>1</v>
      </c>
      <c r="I984">
        <v>0</v>
      </c>
      <c r="J984">
        <v>0.4517148967065876</v>
      </c>
      <c r="K984">
        <v>-0.31385778127196229</v>
      </c>
      <c r="L984">
        <v>54348475.498921439</v>
      </c>
      <c r="M984" t="s">
        <v>499</v>
      </c>
      <c r="N984" t="s">
        <v>526</v>
      </c>
      <c r="O984" t="s">
        <v>527</v>
      </c>
      <c r="P984">
        <v>1211</v>
      </c>
      <c r="Q984">
        <v>389</v>
      </c>
      <c r="R984">
        <v>822</v>
      </c>
    </row>
    <row r="985" spans="1:18" x14ac:dyDescent="0.3">
      <c r="A985" t="s">
        <v>2005</v>
      </c>
      <c r="B985">
        <v>2022</v>
      </c>
      <c r="C985">
        <v>0.73705649539592366</v>
      </c>
      <c r="D985">
        <v>0</v>
      </c>
      <c r="E985">
        <v>0</v>
      </c>
      <c r="F985">
        <v>19</v>
      </c>
      <c r="G985">
        <v>1.364248899015E-3</v>
      </c>
      <c r="H985">
        <v>2</v>
      </c>
      <c r="I985">
        <v>0</v>
      </c>
      <c r="J985">
        <v>0.47814572100369379</v>
      </c>
      <c r="K985">
        <v>-0.3103499559205648</v>
      </c>
      <c r="L985">
        <v>21630839.112522651</v>
      </c>
      <c r="M985" t="s">
        <v>499</v>
      </c>
      <c r="N985" t="s">
        <v>526</v>
      </c>
      <c r="O985" t="s">
        <v>528</v>
      </c>
      <c r="P985">
        <v>605</v>
      </c>
      <c r="Q985">
        <v>145</v>
      </c>
      <c r="R985">
        <v>460</v>
      </c>
    </row>
    <row r="986" spans="1:18" x14ac:dyDescent="0.3">
      <c r="A986" t="s">
        <v>2006</v>
      </c>
      <c r="B986">
        <v>2022</v>
      </c>
      <c r="C986">
        <v>0.70340191260726803</v>
      </c>
      <c r="D986">
        <v>0</v>
      </c>
      <c r="E986">
        <v>0</v>
      </c>
      <c r="F986">
        <v>23</v>
      </c>
      <c r="G986">
        <v>2.6175547536003E-3</v>
      </c>
      <c r="H986">
        <v>1</v>
      </c>
      <c r="I986">
        <v>0</v>
      </c>
      <c r="J986">
        <v>0.55423606487611365</v>
      </c>
      <c r="K986">
        <v>-0.2855815140290181</v>
      </c>
      <c r="L986">
        <v>28071947.627938081</v>
      </c>
      <c r="M986" t="s">
        <v>499</v>
      </c>
      <c r="N986" t="s">
        <v>529</v>
      </c>
      <c r="O986" t="s">
        <v>533</v>
      </c>
      <c r="P986">
        <v>802</v>
      </c>
      <c r="Q986">
        <v>317</v>
      </c>
      <c r="R986">
        <v>485</v>
      </c>
    </row>
    <row r="987" spans="1:18" x14ac:dyDescent="0.3">
      <c r="A987" t="s">
        <v>2007</v>
      </c>
      <c r="B987">
        <v>2022</v>
      </c>
      <c r="C987">
        <v>0.97245283664411963</v>
      </c>
      <c r="D987">
        <v>0</v>
      </c>
      <c r="E987">
        <v>0</v>
      </c>
      <c r="F987">
        <v>227</v>
      </c>
      <c r="G987">
        <v>1.8600751328490001E-4</v>
      </c>
      <c r="H987">
        <v>6</v>
      </c>
      <c r="I987">
        <v>4</v>
      </c>
      <c r="J987">
        <v>0.42252693273357228</v>
      </c>
      <c r="K987">
        <v>-0.39321218891052401</v>
      </c>
      <c r="L987">
        <v>297409362.25008738</v>
      </c>
      <c r="M987" t="s">
        <v>499</v>
      </c>
      <c r="N987" t="s">
        <v>534</v>
      </c>
      <c r="O987" t="s">
        <v>536</v>
      </c>
      <c r="P987">
        <v>4252</v>
      </c>
      <c r="Q987">
        <v>937</v>
      </c>
      <c r="R987">
        <v>3315</v>
      </c>
    </row>
    <row r="988" spans="1:18" x14ac:dyDescent="0.3">
      <c r="A988" t="s">
        <v>2008</v>
      </c>
      <c r="B988">
        <v>2022</v>
      </c>
      <c r="C988">
        <v>0.71708454991668469</v>
      </c>
      <c r="D988">
        <v>0</v>
      </c>
      <c r="E988">
        <v>0</v>
      </c>
      <c r="F988">
        <v>38</v>
      </c>
      <c r="G988">
        <v>5.945296919168E-4</v>
      </c>
      <c r="H988">
        <v>4</v>
      </c>
      <c r="I988">
        <v>1</v>
      </c>
      <c r="J988">
        <v>0.51079316863259783</v>
      </c>
      <c r="K988">
        <v>-0.3516925014322449</v>
      </c>
      <c r="L988">
        <v>48058714.871265627</v>
      </c>
      <c r="M988" t="s">
        <v>499</v>
      </c>
      <c r="N988" t="s">
        <v>542</v>
      </c>
      <c r="O988" t="s">
        <v>544</v>
      </c>
      <c r="P988">
        <v>991</v>
      </c>
      <c r="Q988">
        <v>213</v>
      </c>
      <c r="R988">
        <v>778</v>
      </c>
    </row>
    <row r="989" spans="1:18" x14ac:dyDescent="0.3">
      <c r="A989" t="s">
        <v>2009</v>
      </c>
      <c r="B989">
        <v>2022</v>
      </c>
      <c r="C989">
        <v>0.60554074372853706</v>
      </c>
      <c r="D989">
        <v>0</v>
      </c>
      <c r="E989">
        <v>0</v>
      </c>
      <c r="F989">
        <v>69</v>
      </c>
      <c r="G989">
        <v>2.5769713252470002E-4</v>
      </c>
      <c r="H989">
        <v>1</v>
      </c>
      <c r="I989">
        <v>1</v>
      </c>
      <c r="J989">
        <v>0.3824500341475105</v>
      </c>
      <c r="K989">
        <v>-0.2352220131462367</v>
      </c>
      <c r="L989">
        <v>180263509.82799339</v>
      </c>
      <c r="M989" t="s">
        <v>499</v>
      </c>
      <c r="N989" t="s">
        <v>542</v>
      </c>
      <c r="O989" t="s">
        <v>547</v>
      </c>
      <c r="P989">
        <v>1585</v>
      </c>
      <c r="Q989">
        <v>475</v>
      </c>
      <c r="R989">
        <v>1110</v>
      </c>
    </row>
    <row r="990" spans="1:18" x14ac:dyDescent="0.3">
      <c r="A990" t="s">
        <v>2010</v>
      </c>
      <c r="B990">
        <v>2022</v>
      </c>
      <c r="C990">
        <v>0.75146369380451705</v>
      </c>
      <c r="D990">
        <v>0</v>
      </c>
      <c r="E990">
        <v>0</v>
      </c>
      <c r="F990">
        <v>169</v>
      </c>
      <c r="G990">
        <v>2.4642073654689998E-4</v>
      </c>
      <c r="H990">
        <v>5</v>
      </c>
      <c r="I990">
        <v>0</v>
      </c>
      <c r="J990">
        <v>0.4567202982789853</v>
      </c>
      <c r="K990">
        <v>-0.32227272424335429</v>
      </c>
      <c r="L990">
        <v>155031213.8102037</v>
      </c>
      <c r="M990" t="s">
        <v>499</v>
      </c>
      <c r="N990" t="s">
        <v>557</v>
      </c>
      <c r="O990" t="s">
        <v>563</v>
      </c>
      <c r="P990">
        <v>3283</v>
      </c>
      <c r="Q990">
        <v>617</v>
      </c>
      <c r="R990">
        <v>2666</v>
      </c>
    </row>
    <row r="991" spans="1:18" x14ac:dyDescent="0.3">
      <c r="A991" t="s">
        <v>2011</v>
      </c>
      <c r="B991">
        <v>2022</v>
      </c>
      <c r="C991">
        <v>0.61911976173069005</v>
      </c>
      <c r="D991">
        <v>0</v>
      </c>
      <c r="E991">
        <v>0</v>
      </c>
      <c r="F991">
        <v>44</v>
      </c>
      <c r="G991">
        <v>1.3698172773189E-3</v>
      </c>
      <c r="H991">
        <v>4</v>
      </c>
      <c r="I991">
        <v>0</v>
      </c>
      <c r="J991">
        <v>0.4793932653793142</v>
      </c>
      <c r="K991">
        <v>-0.42214431154013687</v>
      </c>
      <c r="L991">
        <v>51529850.842323624</v>
      </c>
      <c r="M991" t="s">
        <v>499</v>
      </c>
      <c r="N991" t="s">
        <v>567</v>
      </c>
      <c r="O991" t="s">
        <v>568</v>
      </c>
      <c r="P991">
        <v>816</v>
      </c>
      <c r="Q991">
        <v>248</v>
      </c>
      <c r="R991">
        <v>568</v>
      </c>
    </row>
    <row r="992" spans="1:18" x14ac:dyDescent="0.3">
      <c r="A992" t="s">
        <v>2012</v>
      </c>
      <c r="B992">
        <v>2022</v>
      </c>
      <c r="C992">
        <v>0.65904590088643744</v>
      </c>
      <c r="D992">
        <v>0</v>
      </c>
      <c r="E992">
        <v>0</v>
      </c>
      <c r="F992">
        <v>91</v>
      </c>
      <c r="G992">
        <v>3.055714282936E-4</v>
      </c>
      <c r="H992">
        <v>2</v>
      </c>
      <c r="I992">
        <v>1</v>
      </c>
      <c r="J992">
        <v>0.44996868761234671</v>
      </c>
      <c r="K992">
        <v>-0.39789167718767487</v>
      </c>
      <c r="L992">
        <v>76510059.24702844</v>
      </c>
      <c r="M992" t="s">
        <v>499</v>
      </c>
      <c r="N992" t="s">
        <v>567</v>
      </c>
      <c r="O992" t="s">
        <v>569</v>
      </c>
      <c r="P992">
        <v>2483</v>
      </c>
      <c r="Q992">
        <v>386</v>
      </c>
      <c r="R992">
        <v>2097</v>
      </c>
    </row>
    <row r="993" spans="1:18" x14ac:dyDescent="0.3">
      <c r="A993" t="s">
        <v>2013</v>
      </c>
      <c r="B993">
        <v>2022</v>
      </c>
      <c r="C993">
        <v>0.55831963402209561</v>
      </c>
      <c r="D993">
        <v>0</v>
      </c>
      <c r="E993">
        <v>0</v>
      </c>
      <c r="F993">
        <v>57</v>
      </c>
      <c r="G993">
        <v>5.8038207786859997E-4</v>
      </c>
      <c r="H993">
        <v>7</v>
      </c>
      <c r="I993">
        <v>0</v>
      </c>
      <c r="J993">
        <v>0.3970547093855179</v>
      </c>
      <c r="K993">
        <v>-0.36690986707118101</v>
      </c>
      <c r="L993">
        <v>131383168.5524154</v>
      </c>
      <c r="M993" t="s">
        <v>499</v>
      </c>
      <c r="N993" t="s">
        <v>570</v>
      </c>
      <c r="O993" t="s">
        <v>575</v>
      </c>
      <c r="P993">
        <v>1207</v>
      </c>
      <c r="Q993">
        <v>188</v>
      </c>
      <c r="R993">
        <v>1019</v>
      </c>
    </row>
    <row r="994" spans="1:18" x14ac:dyDescent="0.3">
      <c r="A994" t="s">
        <v>2014</v>
      </c>
      <c r="B994">
        <v>2022</v>
      </c>
      <c r="C994">
        <v>0.50330775911661352</v>
      </c>
      <c r="D994">
        <v>0</v>
      </c>
      <c r="E994">
        <v>0</v>
      </c>
      <c r="F994">
        <v>35</v>
      </c>
      <c r="G994">
        <v>1.3359934921326E-3</v>
      </c>
      <c r="H994">
        <v>3</v>
      </c>
      <c r="I994">
        <v>3</v>
      </c>
      <c r="J994">
        <v>0.34942318032791392</v>
      </c>
      <c r="K994">
        <v>-0.37507321929335918</v>
      </c>
      <c r="L994">
        <v>119534287.1799134</v>
      </c>
      <c r="M994" t="s">
        <v>499</v>
      </c>
      <c r="N994" t="s">
        <v>570</v>
      </c>
      <c r="O994" t="s">
        <v>576</v>
      </c>
      <c r="P994">
        <v>473</v>
      </c>
      <c r="Q994">
        <v>44</v>
      </c>
      <c r="R994">
        <v>429</v>
      </c>
    </row>
    <row r="995" spans="1:18" x14ac:dyDescent="0.3">
      <c r="A995" t="s">
        <v>2015</v>
      </c>
      <c r="B995">
        <v>2022</v>
      </c>
      <c r="C995">
        <v>0.99899774936975916</v>
      </c>
      <c r="D995">
        <v>0</v>
      </c>
      <c r="E995">
        <v>0</v>
      </c>
      <c r="F995">
        <v>26</v>
      </c>
      <c r="G995">
        <v>2.2778691499301001E-3</v>
      </c>
      <c r="H995">
        <v>5</v>
      </c>
      <c r="I995">
        <v>0</v>
      </c>
      <c r="J995">
        <v>0.43136029367639062</v>
      </c>
      <c r="K995">
        <v>-0.32797198815315981</v>
      </c>
      <c r="L995">
        <v>17250199.643547349</v>
      </c>
      <c r="M995" t="s">
        <v>499</v>
      </c>
      <c r="N995" t="s">
        <v>577</v>
      </c>
      <c r="O995" t="s">
        <v>578</v>
      </c>
      <c r="P995">
        <v>995</v>
      </c>
      <c r="Q995">
        <v>45</v>
      </c>
      <c r="R995">
        <v>950</v>
      </c>
    </row>
    <row r="996" spans="1:18" x14ac:dyDescent="0.3">
      <c r="A996" t="s">
        <v>2016</v>
      </c>
      <c r="B996">
        <v>2022</v>
      </c>
      <c r="C996">
        <v>0.65740784381501216</v>
      </c>
      <c r="D996">
        <v>0</v>
      </c>
      <c r="E996">
        <v>0</v>
      </c>
      <c r="F996">
        <v>24</v>
      </c>
      <c r="G996">
        <v>1.6834993038425999E-3</v>
      </c>
      <c r="H996">
        <v>2</v>
      </c>
      <c r="I996">
        <v>1</v>
      </c>
      <c r="J996">
        <v>0.52091019753718848</v>
      </c>
      <c r="K996">
        <v>-0.40770550994316601</v>
      </c>
      <c r="L996">
        <v>36291725.363845542</v>
      </c>
      <c r="M996" t="s">
        <v>499</v>
      </c>
      <c r="N996" t="s">
        <v>581</v>
      </c>
      <c r="O996" t="s">
        <v>582</v>
      </c>
      <c r="P996">
        <v>293</v>
      </c>
      <c r="Q996">
        <v>108</v>
      </c>
      <c r="R996">
        <v>185</v>
      </c>
    </row>
    <row r="997" spans="1:18" x14ac:dyDescent="0.3">
      <c r="A997" t="s">
        <v>2017</v>
      </c>
      <c r="B997">
        <v>2022</v>
      </c>
      <c r="C997">
        <v>0.75283791145314483</v>
      </c>
      <c r="D997">
        <v>0</v>
      </c>
      <c r="E997">
        <v>0</v>
      </c>
      <c r="F997">
        <v>38</v>
      </c>
      <c r="G997">
        <v>1.8466351045669E-3</v>
      </c>
      <c r="H997">
        <v>5</v>
      </c>
      <c r="I997">
        <v>1</v>
      </c>
      <c r="L997">
        <v>56790411.747147173</v>
      </c>
      <c r="M997" t="s">
        <v>586</v>
      </c>
      <c r="N997" t="s">
        <v>404</v>
      </c>
      <c r="O997" t="s">
        <v>594</v>
      </c>
      <c r="P997">
        <v>2479</v>
      </c>
      <c r="Q997">
        <v>1230</v>
      </c>
      <c r="R997">
        <v>1249</v>
      </c>
    </row>
    <row r="998" spans="1:18" x14ac:dyDescent="0.3">
      <c r="A998" t="s">
        <v>2018</v>
      </c>
      <c r="B998">
        <v>2022</v>
      </c>
      <c r="C998">
        <v>0.96400612979740841</v>
      </c>
      <c r="D998">
        <v>0</v>
      </c>
      <c r="E998">
        <v>0</v>
      </c>
      <c r="F998">
        <v>51</v>
      </c>
      <c r="G998">
        <v>2.8691166989039001E-3</v>
      </c>
      <c r="H998">
        <v>7</v>
      </c>
      <c r="I998">
        <v>1</v>
      </c>
      <c r="L998">
        <v>81590771.157541454</v>
      </c>
      <c r="M998" t="s">
        <v>586</v>
      </c>
      <c r="N998" t="s">
        <v>595</v>
      </c>
      <c r="O998" t="s">
        <v>596</v>
      </c>
      <c r="P998">
        <v>5221</v>
      </c>
      <c r="Q998">
        <v>477</v>
      </c>
      <c r="R998">
        <v>4744</v>
      </c>
    </row>
    <row r="999" spans="1:18" x14ac:dyDescent="0.3">
      <c r="A999" t="s">
        <v>2019</v>
      </c>
      <c r="B999">
        <v>2022</v>
      </c>
      <c r="C999">
        <v>1.2208471722720931</v>
      </c>
      <c r="D999">
        <v>0</v>
      </c>
      <c r="E999">
        <v>0</v>
      </c>
      <c r="F999">
        <v>77</v>
      </c>
      <c r="G999">
        <v>6.9905610304350004E-4</v>
      </c>
      <c r="H999">
        <v>8</v>
      </c>
      <c r="I999">
        <v>3</v>
      </c>
      <c r="L999">
        <v>53046575.123113327</v>
      </c>
      <c r="M999" t="s">
        <v>586</v>
      </c>
      <c r="N999" t="s">
        <v>599</v>
      </c>
      <c r="O999" t="s">
        <v>602</v>
      </c>
      <c r="P999">
        <v>2728</v>
      </c>
      <c r="Q999">
        <v>95</v>
      </c>
      <c r="R999">
        <v>2633</v>
      </c>
    </row>
    <row r="1000" spans="1:18" x14ac:dyDescent="0.3">
      <c r="A1000" t="s">
        <v>2020</v>
      </c>
      <c r="B1000">
        <v>2022</v>
      </c>
      <c r="C1000">
        <v>1.1023192334638621</v>
      </c>
      <c r="D1000">
        <v>0</v>
      </c>
      <c r="E1000">
        <v>0</v>
      </c>
      <c r="F1000">
        <v>73</v>
      </c>
      <c r="G1000">
        <v>1.3020603486898999E-3</v>
      </c>
      <c r="H1000">
        <v>5</v>
      </c>
      <c r="I1000">
        <v>3</v>
      </c>
      <c r="J1000">
        <v>0.431871730507492</v>
      </c>
      <c r="K1000">
        <v>-0.19882954307800349</v>
      </c>
      <c r="L1000">
        <v>47659225.191705503</v>
      </c>
      <c r="M1000" t="s">
        <v>612</v>
      </c>
      <c r="N1000" t="s">
        <v>635</v>
      </c>
      <c r="O1000" t="s">
        <v>87</v>
      </c>
      <c r="P1000">
        <v>1747</v>
      </c>
      <c r="Q1000">
        <v>54</v>
      </c>
      <c r="R1000">
        <v>1693</v>
      </c>
    </row>
    <row r="1001" spans="1:18" x14ac:dyDescent="0.3">
      <c r="A1001" t="s">
        <v>2021</v>
      </c>
      <c r="B1001">
        <v>2022</v>
      </c>
      <c r="C1001">
        <v>1.0668415436015131</v>
      </c>
      <c r="D1001">
        <v>0</v>
      </c>
      <c r="E1001">
        <v>0</v>
      </c>
      <c r="F1001">
        <v>84</v>
      </c>
      <c r="G1001">
        <v>4.3869206408930002E-4</v>
      </c>
      <c r="H1001">
        <v>9</v>
      </c>
      <c r="I1001">
        <v>0</v>
      </c>
      <c r="J1001">
        <v>0.39928043182481621</v>
      </c>
      <c r="K1001">
        <v>-0.27583804382694332</v>
      </c>
      <c r="L1001">
        <v>239047639.1736562</v>
      </c>
      <c r="M1001" t="s">
        <v>612</v>
      </c>
      <c r="N1001" t="s">
        <v>647</v>
      </c>
      <c r="O1001" t="s">
        <v>648</v>
      </c>
      <c r="P1001">
        <v>8734</v>
      </c>
      <c r="Q1001">
        <v>69</v>
      </c>
      <c r="R1001">
        <v>8665</v>
      </c>
    </row>
    <row r="1002" spans="1:18" x14ac:dyDescent="0.3">
      <c r="A1002" t="s">
        <v>2022</v>
      </c>
      <c r="B1002">
        <v>2022</v>
      </c>
      <c r="C1002">
        <v>0.75704118483744443</v>
      </c>
      <c r="D1002">
        <v>0</v>
      </c>
      <c r="E1002">
        <v>0</v>
      </c>
      <c r="F1002">
        <v>118</v>
      </c>
      <c r="G1002">
        <v>2.842484155526E-4</v>
      </c>
      <c r="H1002">
        <v>3</v>
      </c>
      <c r="I1002">
        <v>1</v>
      </c>
      <c r="J1002">
        <v>0.37774878546021451</v>
      </c>
      <c r="K1002">
        <v>-0.29323427540775288</v>
      </c>
      <c r="L1002">
        <v>465021037.90550733</v>
      </c>
      <c r="M1002" t="s">
        <v>612</v>
      </c>
      <c r="N1002" t="s">
        <v>647</v>
      </c>
      <c r="O1002" t="s">
        <v>649</v>
      </c>
      <c r="P1002">
        <v>8764</v>
      </c>
      <c r="Q1002">
        <v>617</v>
      </c>
      <c r="R1002">
        <v>8147</v>
      </c>
    </row>
    <row r="1003" spans="1:18" x14ac:dyDescent="0.3">
      <c r="A1003" t="s">
        <v>2023</v>
      </c>
      <c r="B1003">
        <v>2022</v>
      </c>
      <c r="C1003">
        <v>0.81520529841166789</v>
      </c>
      <c r="D1003">
        <v>0</v>
      </c>
      <c r="E1003">
        <v>0</v>
      </c>
      <c r="F1003">
        <v>65</v>
      </c>
      <c r="G1003">
        <v>9.0620378535909997E-4</v>
      </c>
      <c r="H1003">
        <v>11</v>
      </c>
      <c r="I1003">
        <v>0</v>
      </c>
      <c r="J1003">
        <v>0.3754572552938768</v>
      </c>
      <c r="K1003">
        <v>-0.28736507424917079</v>
      </c>
      <c r="L1003">
        <v>74684135.842351422</v>
      </c>
      <c r="M1003" t="s">
        <v>612</v>
      </c>
      <c r="N1003" t="s">
        <v>662</v>
      </c>
      <c r="O1003" t="s">
        <v>664</v>
      </c>
      <c r="P1003">
        <v>3064</v>
      </c>
      <c r="Q1003">
        <v>2</v>
      </c>
      <c r="R1003">
        <v>3062</v>
      </c>
    </row>
    <row r="1004" spans="1:18" x14ac:dyDescent="0.3">
      <c r="A1004" t="s">
        <v>2024</v>
      </c>
      <c r="B1004">
        <v>2022</v>
      </c>
      <c r="C1004">
        <v>0.66191226208185383</v>
      </c>
      <c r="D1004">
        <v>0</v>
      </c>
      <c r="E1004">
        <v>0</v>
      </c>
      <c r="F1004">
        <v>26</v>
      </c>
      <c r="G1004">
        <v>2.7132659323621001E-3</v>
      </c>
      <c r="H1004">
        <v>1</v>
      </c>
      <c r="I1004">
        <v>0</v>
      </c>
      <c r="J1004">
        <v>0.61357249175279394</v>
      </c>
      <c r="K1004">
        <v>-0.27214655420784972</v>
      </c>
      <c r="L1004">
        <v>104246007.5284629</v>
      </c>
      <c r="M1004" t="s">
        <v>674</v>
      </c>
      <c r="N1004" t="s">
        <v>684</v>
      </c>
      <c r="O1004" t="s">
        <v>686</v>
      </c>
      <c r="P1004">
        <v>209</v>
      </c>
      <c r="Q1004">
        <v>106</v>
      </c>
      <c r="R1004">
        <v>103</v>
      </c>
    </row>
    <row r="1005" spans="1:18" x14ac:dyDescent="0.3">
      <c r="A1005" t="s">
        <v>2025</v>
      </c>
      <c r="B1005">
        <v>2022</v>
      </c>
      <c r="C1005">
        <v>0.67993484066270471</v>
      </c>
      <c r="D1005">
        <v>0</v>
      </c>
      <c r="E1005">
        <v>0</v>
      </c>
      <c r="F1005">
        <v>29</v>
      </c>
      <c r="G1005">
        <v>8.0288499922879998E-4</v>
      </c>
      <c r="H1005">
        <v>1</v>
      </c>
      <c r="I1005">
        <v>0</v>
      </c>
      <c r="J1005">
        <v>0.541831573951712</v>
      </c>
      <c r="K1005">
        <v>-0.241061952965616</v>
      </c>
      <c r="L1005">
        <v>161475654.64069799</v>
      </c>
      <c r="M1005" t="s">
        <v>674</v>
      </c>
      <c r="N1005" t="s">
        <v>684</v>
      </c>
      <c r="O1005" t="s">
        <v>688</v>
      </c>
      <c r="P1005">
        <v>549</v>
      </c>
      <c r="Q1005">
        <v>145</v>
      </c>
      <c r="R1005">
        <v>404</v>
      </c>
    </row>
    <row r="1006" spans="1:18" x14ac:dyDescent="0.3">
      <c r="A1006" t="s">
        <v>2026</v>
      </c>
      <c r="B1006">
        <v>2022</v>
      </c>
      <c r="C1006">
        <v>0.66954303439735918</v>
      </c>
      <c r="D1006">
        <v>0</v>
      </c>
      <c r="E1006">
        <v>0</v>
      </c>
      <c r="F1006">
        <v>30</v>
      </c>
      <c r="G1006">
        <v>1.4835544798374001E-3</v>
      </c>
      <c r="H1006">
        <v>1</v>
      </c>
      <c r="I1006">
        <v>0</v>
      </c>
      <c r="J1006">
        <v>0.61834338667938205</v>
      </c>
      <c r="K1006">
        <v>-0.30038263622967099</v>
      </c>
      <c r="L1006">
        <v>98685235.560575783</v>
      </c>
      <c r="M1006" t="s">
        <v>674</v>
      </c>
      <c r="N1006" t="s">
        <v>684</v>
      </c>
      <c r="O1006" t="s">
        <v>691</v>
      </c>
      <c r="P1006">
        <v>729</v>
      </c>
      <c r="Q1006">
        <v>314</v>
      </c>
      <c r="R1006">
        <v>415</v>
      </c>
    </row>
    <row r="1007" spans="1:18" x14ac:dyDescent="0.3">
      <c r="A1007" t="s">
        <v>2027</v>
      </c>
      <c r="B1007">
        <v>2022</v>
      </c>
      <c r="C1007">
        <v>0.55890888231275826</v>
      </c>
      <c r="D1007">
        <v>0</v>
      </c>
      <c r="E1007">
        <v>0</v>
      </c>
      <c r="F1007">
        <v>65</v>
      </c>
      <c r="G1007">
        <v>9.2463932204549996E-4</v>
      </c>
      <c r="H1007">
        <v>12</v>
      </c>
      <c r="I1007">
        <v>2</v>
      </c>
      <c r="J1007">
        <v>0.60704035469869477</v>
      </c>
      <c r="K1007">
        <v>-0.22090901813686839</v>
      </c>
      <c r="L1007">
        <v>802324157.91760099</v>
      </c>
      <c r="M1007" t="s">
        <v>674</v>
      </c>
      <c r="N1007" t="s">
        <v>692</v>
      </c>
      <c r="O1007" t="s">
        <v>145</v>
      </c>
      <c r="P1007">
        <v>1468</v>
      </c>
      <c r="Q1007">
        <v>36</v>
      </c>
      <c r="R1007">
        <v>1432</v>
      </c>
    </row>
    <row r="1008" spans="1:18" x14ac:dyDescent="0.3">
      <c r="A1008" t="s">
        <v>2028</v>
      </c>
      <c r="B1008">
        <v>2022</v>
      </c>
      <c r="C1008">
        <v>0.66122502979709341</v>
      </c>
      <c r="D1008">
        <v>0</v>
      </c>
      <c r="E1008">
        <v>0</v>
      </c>
      <c r="F1008">
        <v>28</v>
      </c>
      <c r="G1008">
        <v>2.4569583394432998E-3</v>
      </c>
      <c r="H1008">
        <v>2</v>
      </c>
      <c r="I1008">
        <v>1</v>
      </c>
      <c r="J1008">
        <v>0.61234640722497125</v>
      </c>
      <c r="K1008">
        <v>-0.2537721731303012</v>
      </c>
      <c r="L1008">
        <v>129381556.9942342</v>
      </c>
      <c r="M1008" t="s">
        <v>674</v>
      </c>
      <c r="N1008" t="s">
        <v>692</v>
      </c>
      <c r="O1008" t="s">
        <v>695</v>
      </c>
      <c r="P1008">
        <v>424</v>
      </c>
      <c r="Q1008">
        <v>94</v>
      </c>
      <c r="R1008">
        <v>330</v>
      </c>
    </row>
    <row r="1009" spans="1:18" x14ac:dyDescent="0.3">
      <c r="A1009" t="s">
        <v>2029</v>
      </c>
      <c r="B1009">
        <v>2022</v>
      </c>
      <c r="C1009">
        <v>0.77026642638005083</v>
      </c>
      <c r="D1009">
        <v>0</v>
      </c>
      <c r="E1009">
        <v>0</v>
      </c>
      <c r="F1009">
        <v>30</v>
      </c>
      <c r="G1009">
        <v>1.5185854937291999E-3</v>
      </c>
      <c r="H1009">
        <v>2</v>
      </c>
      <c r="I1009">
        <v>0</v>
      </c>
      <c r="J1009">
        <v>0.50083129625066158</v>
      </c>
      <c r="K1009">
        <v>-0.24252416065580021</v>
      </c>
      <c r="L1009">
        <v>150039130.51966521</v>
      </c>
      <c r="M1009" t="s">
        <v>674</v>
      </c>
      <c r="N1009" t="s">
        <v>714</v>
      </c>
      <c r="O1009" t="s">
        <v>715</v>
      </c>
      <c r="P1009">
        <v>218</v>
      </c>
      <c r="Q1009">
        <v>69</v>
      </c>
      <c r="R1009">
        <v>149</v>
      </c>
    </row>
    <row r="1010" spans="1:18" x14ac:dyDescent="0.3">
      <c r="A1010" t="s">
        <v>2030</v>
      </c>
      <c r="B1010">
        <v>2022</v>
      </c>
      <c r="C1010">
        <v>0.5279413128937539</v>
      </c>
      <c r="D1010">
        <v>0</v>
      </c>
      <c r="E1010">
        <v>0</v>
      </c>
      <c r="F1010">
        <v>8</v>
      </c>
      <c r="G1010">
        <v>2.26890756302521E-2</v>
      </c>
      <c r="H1010">
        <v>4</v>
      </c>
      <c r="I1010">
        <v>2</v>
      </c>
      <c r="J1010">
        <v>0.50815442178271752</v>
      </c>
      <c r="K1010">
        <v>-0.1569812292309096</v>
      </c>
      <c r="L1010">
        <v>679423752.17609477</v>
      </c>
      <c r="M1010" t="s">
        <v>674</v>
      </c>
      <c r="N1010" t="s">
        <v>714</v>
      </c>
      <c r="O1010" t="s">
        <v>716</v>
      </c>
      <c r="P1010">
        <v>911</v>
      </c>
      <c r="Q1010">
        <v>27</v>
      </c>
      <c r="R1010">
        <v>884</v>
      </c>
    </row>
    <row r="1011" spans="1:18" x14ac:dyDescent="0.3">
      <c r="A1011" t="s">
        <v>2031</v>
      </c>
      <c r="B1011">
        <v>2022</v>
      </c>
      <c r="C1011">
        <v>0.71087003868920906</v>
      </c>
      <c r="D1011">
        <v>0</v>
      </c>
      <c r="E1011">
        <v>0</v>
      </c>
      <c r="F1011">
        <v>22</v>
      </c>
      <c r="G1011">
        <v>5.0238357169049997E-3</v>
      </c>
      <c r="H1011">
        <v>2</v>
      </c>
      <c r="I1011">
        <v>0</v>
      </c>
      <c r="J1011">
        <v>0.66556680919494748</v>
      </c>
      <c r="K1011">
        <v>-0.281917534360555</v>
      </c>
      <c r="L1011">
        <v>44493730.206956677</v>
      </c>
      <c r="M1011" t="s">
        <v>674</v>
      </c>
      <c r="N1011" t="s">
        <v>714</v>
      </c>
      <c r="O1011" t="s">
        <v>717</v>
      </c>
      <c r="P1011">
        <v>219</v>
      </c>
      <c r="Q1011">
        <v>57</v>
      </c>
      <c r="R1011">
        <v>162</v>
      </c>
    </row>
    <row r="1012" spans="1:18" x14ac:dyDescent="0.3">
      <c r="A1012" t="s">
        <v>2032</v>
      </c>
      <c r="B1012">
        <v>2022</v>
      </c>
      <c r="C1012">
        <v>0.75639352658646508</v>
      </c>
      <c r="D1012">
        <v>0</v>
      </c>
      <c r="E1012">
        <v>0</v>
      </c>
      <c r="F1012">
        <v>32</v>
      </c>
      <c r="G1012">
        <v>1.3476906711859999E-3</v>
      </c>
      <c r="H1012">
        <v>4</v>
      </c>
      <c r="I1012">
        <v>0</v>
      </c>
      <c r="J1012">
        <v>0.64716187137270242</v>
      </c>
      <c r="K1012">
        <v>-0.2908028127764607</v>
      </c>
      <c r="L1012">
        <v>87579453.392705366</v>
      </c>
      <c r="M1012" t="s">
        <v>674</v>
      </c>
      <c r="N1012" t="s">
        <v>714</v>
      </c>
      <c r="O1012" t="s">
        <v>718</v>
      </c>
      <c r="P1012">
        <v>477</v>
      </c>
      <c r="Q1012">
        <v>160</v>
      </c>
      <c r="R1012">
        <v>317</v>
      </c>
    </row>
    <row r="1013" spans="1:18" x14ac:dyDescent="0.3">
      <c r="A1013" t="s">
        <v>2033</v>
      </c>
      <c r="B1013">
        <v>2022</v>
      </c>
      <c r="C1013">
        <v>0.50425307501383709</v>
      </c>
      <c r="D1013">
        <v>0</v>
      </c>
      <c r="E1013">
        <v>0</v>
      </c>
      <c r="F1013">
        <v>50</v>
      </c>
      <c r="G1013">
        <v>1.7918951686360001E-3</v>
      </c>
      <c r="H1013">
        <v>2</v>
      </c>
      <c r="I1013">
        <v>5</v>
      </c>
      <c r="J1013">
        <v>0.61118178842525739</v>
      </c>
      <c r="K1013">
        <v>-0.22424753981780249</v>
      </c>
      <c r="L1013">
        <v>858786918.96142697</v>
      </c>
      <c r="M1013" t="s">
        <v>674</v>
      </c>
      <c r="N1013" t="s">
        <v>724</v>
      </c>
      <c r="O1013" t="s">
        <v>725</v>
      </c>
      <c r="P1013">
        <v>2198</v>
      </c>
      <c r="Q1013">
        <v>22</v>
      </c>
      <c r="R1013">
        <v>2176</v>
      </c>
    </row>
    <row r="1014" spans="1:18" x14ac:dyDescent="0.3">
      <c r="A1014" t="s">
        <v>2034</v>
      </c>
      <c r="B1014">
        <v>2022</v>
      </c>
      <c r="C1014">
        <v>1.1206380379859771</v>
      </c>
      <c r="D1014">
        <v>0</v>
      </c>
      <c r="E1014">
        <v>0</v>
      </c>
      <c r="F1014">
        <v>83</v>
      </c>
      <c r="G1014">
        <v>2.0956779549905001E-3</v>
      </c>
      <c r="H1014">
        <v>7</v>
      </c>
      <c r="I1014">
        <v>0</v>
      </c>
      <c r="J1014">
        <v>0.68440058201737453</v>
      </c>
      <c r="K1014">
        <v>-0.31169390962584781</v>
      </c>
      <c r="L1014">
        <v>153242842.22034651</v>
      </c>
      <c r="M1014" t="s">
        <v>730</v>
      </c>
      <c r="N1014" t="s">
        <v>739</v>
      </c>
      <c r="O1014" t="s">
        <v>741</v>
      </c>
      <c r="P1014">
        <v>5657</v>
      </c>
      <c r="Q1014">
        <v>312</v>
      </c>
      <c r="R1014">
        <v>5345</v>
      </c>
    </row>
    <row r="1015" spans="1:18" x14ac:dyDescent="0.3">
      <c r="A1015" t="s">
        <v>2035</v>
      </c>
      <c r="B1015">
        <v>2022</v>
      </c>
      <c r="C1015">
        <v>0.55847213904832216</v>
      </c>
      <c r="D1015">
        <v>0</v>
      </c>
      <c r="E1015">
        <v>0</v>
      </c>
      <c r="F1015">
        <v>60</v>
      </c>
      <c r="G1015">
        <v>1.1890306845499E-3</v>
      </c>
      <c r="H1015">
        <v>3</v>
      </c>
      <c r="I1015">
        <v>0</v>
      </c>
      <c r="J1015">
        <v>0.47797797873979109</v>
      </c>
      <c r="K1015">
        <v>-0.22754031849280651</v>
      </c>
      <c r="L1015">
        <v>258464753.273972</v>
      </c>
      <c r="M1015" t="s">
        <v>730</v>
      </c>
      <c r="N1015" t="s">
        <v>748</v>
      </c>
      <c r="O1015" t="s">
        <v>751</v>
      </c>
      <c r="P1015">
        <v>504</v>
      </c>
      <c r="Q1015">
        <v>257</v>
      </c>
      <c r="R1015">
        <v>247</v>
      </c>
    </row>
    <row r="1016" spans="1:18" x14ac:dyDescent="0.3">
      <c r="A1016" t="s">
        <v>2036</v>
      </c>
      <c r="B1016">
        <v>2022</v>
      </c>
      <c r="C1016">
        <v>0.5056902927361584</v>
      </c>
      <c r="D1016">
        <v>0</v>
      </c>
      <c r="E1016">
        <v>0</v>
      </c>
      <c r="F1016">
        <v>0</v>
      </c>
      <c r="I1016">
        <v>0</v>
      </c>
      <c r="J1016">
        <v>0.57294438803056458</v>
      </c>
      <c r="K1016">
        <v>-0.22569097604547131</v>
      </c>
      <c r="L1016">
        <v>5643071876.774394</v>
      </c>
      <c r="M1016" t="s">
        <v>756</v>
      </c>
      <c r="N1016" t="s">
        <v>756</v>
      </c>
      <c r="O1016" t="s">
        <v>762</v>
      </c>
      <c r="P1016">
        <v>1055</v>
      </c>
      <c r="Q1016">
        <v>0</v>
      </c>
      <c r="R1016">
        <v>1055</v>
      </c>
    </row>
    <row r="1017" spans="1:18" x14ac:dyDescent="0.3">
      <c r="A1017" t="s">
        <v>2037</v>
      </c>
      <c r="B1017">
        <v>2022</v>
      </c>
      <c r="C1017">
        <v>0.94695879655972237</v>
      </c>
      <c r="D1017">
        <v>0</v>
      </c>
      <c r="E1017">
        <v>0</v>
      </c>
      <c r="F1017">
        <v>39</v>
      </c>
      <c r="G1017">
        <v>2.1505376344086E-3</v>
      </c>
      <c r="H1017">
        <v>5</v>
      </c>
      <c r="I1017">
        <v>0</v>
      </c>
      <c r="J1017">
        <v>0.68484120915316526</v>
      </c>
      <c r="K1017">
        <v>-0.3015635119974161</v>
      </c>
      <c r="L1017">
        <v>69332113.78079547</v>
      </c>
      <c r="M1017" t="s">
        <v>756</v>
      </c>
      <c r="N1017" t="s">
        <v>769</v>
      </c>
      <c r="O1017" t="s">
        <v>299</v>
      </c>
      <c r="P1017">
        <v>879</v>
      </c>
      <c r="Q1017">
        <v>405</v>
      </c>
      <c r="R1017">
        <v>474</v>
      </c>
    </row>
    <row r="1018" spans="1:18" x14ac:dyDescent="0.3">
      <c r="A1018" t="s">
        <v>2038</v>
      </c>
      <c r="B1018">
        <v>2022</v>
      </c>
      <c r="C1018">
        <v>12.467808106321099</v>
      </c>
      <c r="D1018">
        <v>0</v>
      </c>
      <c r="E1018">
        <v>0</v>
      </c>
      <c r="F1018">
        <v>55</v>
      </c>
      <c r="G1018">
        <v>1.7602840630075E-3</v>
      </c>
      <c r="H1018">
        <v>2</v>
      </c>
      <c r="I1018">
        <v>3</v>
      </c>
      <c r="L1018">
        <v>11494679.08478865</v>
      </c>
      <c r="M1018" t="s">
        <v>652</v>
      </c>
      <c r="N1018" t="s">
        <v>772</v>
      </c>
      <c r="O1018" t="s">
        <v>779</v>
      </c>
      <c r="P1018">
        <v>579</v>
      </c>
      <c r="Q1018">
        <v>356</v>
      </c>
      <c r="R1018">
        <v>223</v>
      </c>
    </row>
    <row r="1019" spans="1:18" x14ac:dyDescent="0.3">
      <c r="A1019" t="s">
        <v>2039</v>
      </c>
      <c r="B1019">
        <v>2022</v>
      </c>
      <c r="C1019">
        <v>0.86415474114867641</v>
      </c>
      <c r="D1019">
        <v>0</v>
      </c>
      <c r="E1019">
        <v>0</v>
      </c>
      <c r="F1019">
        <v>59</v>
      </c>
      <c r="G1019">
        <v>9.3498485186269999E-4</v>
      </c>
      <c r="H1019">
        <v>4</v>
      </c>
      <c r="I1019">
        <v>5</v>
      </c>
      <c r="J1019">
        <v>0.47107252748233119</v>
      </c>
      <c r="K1019">
        <v>-0.22094507410321809</v>
      </c>
      <c r="L1019">
        <v>140421427.73627421</v>
      </c>
      <c r="M1019" t="s">
        <v>830</v>
      </c>
      <c r="N1019" t="s">
        <v>854</v>
      </c>
      <c r="O1019" t="s">
        <v>426</v>
      </c>
      <c r="P1019">
        <v>1360</v>
      </c>
      <c r="Q1019">
        <v>568</v>
      </c>
      <c r="R1019">
        <v>792</v>
      </c>
    </row>
    <row r="1020" spans="1:18" x14ac:dyDescent="0.3">
      <c r="A1020" t="s">
        <v>2040</v>
      </c>
      <c r="B1020">
        <v>2022</v>
      </c>
      <c r="C1020">
        <v>0.54910312364586755</v>
      </c>
      <c r="D1020">
        <v>0</v>
      </c>
      <c r="E1020">
        <v>0</v>
      </c>
      <c r="F1020">
        <v>50</v>
      </c>
      <c r="G1020">
        <v>5.3691228821310005E-4</v>
      </c>
      <c r="H1020">
        <v>4</v>
      </c>
      <c r="I1020">
        <v>0</v>
      </c>
      <c r="J1020">
        <v>0.57207371350398983</v>
      </c>
      <c r="K1020">
        <v>-0.2607430921881958</v>
      </c>
      <c r="L1020">
        <v>339999724.56737202</v>
      </c>
      <c r="M1020" t="s">
        <v>874</v>
      </c>
      <c r="N1020" t="s">
        <v>875</v>
      </c>
      <c r="O1020" t="s">
        <v>878</v>
      </c>
      <c r="P1020">
        <v>874</v>
      </c>
      <c r="Q1020">
        <v>102</v>
      </c>
      <c r="R1020">
        <v>772</v>
      </c>
    </row>
    <row r="1021" spans="1:18" x14ac:dyDescent="0.3">
      <c r="A1021" t="s">
        <v>2041</v>
      </c>
      <c r="B1021">
        <v>2022</v>
      </c>
      <c r="C1021">
        <v>0.84190274551092703</v>
      </c>
      <c r="D1021">
        <v>0</v>
      </c>
      <c r="E1021">
        <v>0</v>
      </c>
      <c r="F1021">
        <v>64</v>
      </c>
      <c r="G1021">
        <v>1.2258382277685E-3</v>
      </c>
      <c r="H1021">
        <v>1</v>
      </c>
      <c r="I1021">
        <v>1</v>
      </c>
      <c r="J1021">
        <v>0.61389510520480128</v>
      </c>
      <c r="K1021">
        <v>-0.2691051447498401</v>
      </c>
      <c r="L1021">
        <v>117143683.7883061</v>
      </c>
      <c r="M1021" t="s">
        <v>874</v>
      </c>
      <c r="N1021" t="s">
        <v>887</v>
      </c>
      <c r="O1021" t="s">
        <v>888</v>
      </c>
      <c r="P1021">
        <v>3158</v>
      </c>
      <c r="Q1021">
        <v>1888</v>
      </c>
      <c r="R1021">
        <v>1270</v>
      </c>
    </row>
    <row r="1022" spans="1:18" x14ac:dyDescent="0.3">
      <c r="A1022" t="s">
        <v>2042</v>
      </c>
      <c r="B1022">
        <v>2022</v>
      </c>
      <c r="C1022">
        <v>0.49891884079771898</v>
      </c>
      <c r="D1022">
        <v>0</v>
      </c>
      <c r="E1022">
        <v>0</v>
      </c>
      <c r="F1022">
        <v>130</v>
      </c>
      <c r="G1022">
        <v>4.3923993087520002E-4</v>
      </c>
      <c r="H1022">
        <v>4</v>
      </c>
      <c r="I1022">
        <v>1</v>
      </c>
      <c r="J1022">
        <v>0.62587685240746938</v>
      </c>
      <c r="K1022">
        <v>-0.24641430675729489</v>
      </c>
      <c r="L1022">
        <v>905259010.52016103</v>
      </c>
      <c r="M1022" t="s">
        <v>874</v>
      </c>
      <c r="N1022" t="s">
        <v>887</v>
      </c>
      <c r="O1022" t="s">
        <v>889</v>
      </c>
      <c r="P1022">
        <v>1905</v>
      </c>
      <c r="Q1022">
        <v>829</v>
      </c>
      <c r="R1022">
        <v>1076</v>
      </c>
    </row>
    <row r="1023" spans="1:18" x14ac:dyDescent="0.3">
      <c r="A1023" t="s">
        <v>2043</v>
      </c>
      <c r="B1023">
        <v>2022</v>
      </c>
      <c r="C1023">
        <v>0.48508955297931539</v>
      </c>
      <c r="D1023">
        <v>0</v>
      </c>
      <c r="E1023">
        <v>0</v>
      </c>
      <c r="F1023">
        <v>47</v>
      </c>
      <c r="G1023">
        <v>1.5809574781631001E-3</v>
      </c>
      <c r="H1023">
        <v>4</v>
      </c>
      <c r="I1023">
        <v>0</v>
      </c>
      <c r="J1023">
        <v>0.59189441749067306</v>
      </c>
      <c r="K1023">
        <v>-0.21705846753225169</v>
      </c>
      <c r="L1023">
        <v>920741065.44035602</v>
      </c>
      <c r="M1023" t="s">
        <v>874</v>
      </c>
      <c r="N1023" t="s">
        <v>887</v>
      </c>
      <c r="O1023" t="s">
        <v>890</v>
      </c>
      <c r="P1023">
        <v>801</v>
      </c>
      <c r="Q1023">
        <v>38</v>
      </c>
      <c r="R1023">
        <v>763</v>
      </c>
    </row>
    <row r="1024" spans="1:18" x14ac:dyDescent="0.3">
      <c r="A1024" t="s">
        <v>2044</v>
      </c>
      <c r="B1024">
        <v>2022</v>
      </c>
      <c r="C1024">
        <v>0.61640458322918756</v>
      </c>
      <c r="D1024">
        <v>0</v>
      </c>
      <c r="E1024">
        <v>0</v>
      </c>
      <c r="F1024">
        <v>30</v>
      </c>
      <c r="G1024">
        <v>2.4095693505075998E-3</v>
      </c>
      <c r="H1024">
        <v>1</v>
      </c>
      <c r="I1024">
        <v>0</v>
      </c>
      <c r="J1024">
        <v>0.60455402901896349</v>
      </c>
      <c r="K1024">
        <v>-0.23200168133174931</v>
      </c>
      <c r="L1024">
        <v>78361951.657047004</v>
      </c>
      <c r="M1024" t="s">
        <v>874</v>
      </c>
      <c r="N1024" t="s">
        <v>887</v>
      </c>
      <c r="O1024" t="s">
        <v>891</v>
      </c>
      <c r="P1024">
        <v>555</v>
      </c>
      <c r="Q1024">
        <v>37</v>
      </c>
      <c r="R1024">
        <v>518</v>
      </c>
    </row>
    <row r="1025" spans="1:18" x14ac:dyDescent="0.3">
      <c r="A1025" t="s">
        <v>2045</v>
      </c>
      <c r="B1025">
        <v>2022</v>
      </c>
      <c r="C1025">
        <v>0.98243042122216184</v>
      </c>
      <c r="D1025">
        <v>0</v>
      </c>
      <c r="E1025">
        <v>0</v>
      </c>
      <c r="F1025">
        <v>42</v>
      </c>
      <c r="G1025">
        <v>1.9928847195752998E-3</v>
      </c>
      <c r="H1025">
        <v>1</v>
      </c>
      <c r="I1025">
        <v>0</v>
      </c>
      <c r="J1025">
        <v>0.64294220258442492</v>
      </c>
      <c r="K1025">
        <v>-0.30092825289682518</v>
      </c>
      <c r="L1025">
        <v>50497188.159643158</v>
      </c>
      <c r="M1025" t="s">
        <v>874</v>
      </c>
      <c r="N1025" t="s">
        <v>902</v>
      </c>
      <c r="O1025" t="s">
        <v>904</v>
      </c>
      <c r="P1025">
        <v>986</v>
      </c>
      <c r="Q1025">
        <v>241</v>
      </c>
      <c r="R1025">
        <v>745</v>
      </c>
    </row>
    <row r="1026" spans="1:18" x14ac:dyDescent="0.3">
      <c r="A1026" t="s">
        <v>2046</v>
      </c>
      <c r="B1026">
        <v>2022</v>
      </c>
      <c r="C1026">
        <v>1.570521017194171</v>
      </c>
      <c r="D1026">
        <v>0</v>
      </c>
      <c r="E1026">
        <v>0</v>
      </c>
      <c r="F1026">
        <v>95</v>
      </c>
      <c r="G1026">
        <v>3.4803386837047E-3</v>
      </c>
      <c r="H1026">
        <v>2</v>
      </c>
      <c r="I1026">
        <v>0</v>
      </c>
      <c r="J1026">
        <v>0.63588264613482259</v>
      </c>
      <c r="K1026">
        <v>-0.28188038737000581</v>
      </c>
      <c r="L1026">
        <v>44785282.317155421</v>
      </c>
      <c r="M1026" t="s">
        <v>874</v>
      </c>
      <c r="N1026" t="s">
        <v>902</v>
      </c>
      <c r="O1026" t="s">
        <v>905</v>
      </c>
      <c r="P1026">
        <v>1704</v>
      </c>
      <c r="Q1026">
        <v>923</v>
      </c>
      <c r="R1026">
        <v>781</v>
      </c>
    </row>
    <row r="1027" spans="1:18" x14ac:dyDescent="0.3">
      <c r="A1027" t="s">
        <v>2047</v>
      </c>
      <c r="B1027">
        <v>2022</v>
      </c>
      <c r="C1027">
        <v>0.48714858952549001</v>
      </c>
      <c r="D1027">
        <v>0</v>
      </c>
      <c r="E1027">
        <v>0</v>
      </c>
      <c r="F1027">
        <v>22</v>
      </c>
      <c r="G1027">
        <v>1.9979979979979001E-3</v>
      </c>
      <c r="H1027">
        <v>5</v>
      </c>
      <c r="I1027">
        <v>1</v>
      </c>
      <c r="J1027">
        <v>0.50090871441079698</v>
      </c>
      <c r="K1027">
        <v>-0.17384821223450531</v>
      </c>
      <c r="L1027">
        <v>242501814.24606881</v>
      </c>
      <c r="M1027" t="s">
        <v>874</v>
      </c>
      <c r="N1027" t="s">
        <v>906</v>
      </c>
      <c r="O1027" t="s">
        <v>910</v>
      </c>
      <c r="P1027">
        <v>455</v>
      </c>
      <c r="Q1027">
        <v>94</v>
      </c>
      <c r="R1027">
        <v>361</v>
      </c>
    </row>
    <row r="1028" spans="1:18" x14ac:dyDescent="0.3">
      <c r="A1028" t="s">
        <v>2048</v>
      </c>
      <c r="B1028">
        <v>2022</v>
      </c>
      <c r="C1028">
        <v>0.56479923094161533</v>
      </c>
      <c r="D1028">
        <v>0</v>
      </c>
      <c r="E1028">
        <v>0</v>
      </c>
      <c r="F1028">
        <v>27</v>
      </c>
      <c r="G1028">
        <v>3.1892239885107998E-3</v>
      </c>
      <c r="H1028">
        <v>2</v>
      </c>
      <c r="I1028">
        <v>0</v>
      </c>
      <c r="J1028">
        <v>0.57232574107680634</v>
      </c>
      <c r="K1028">
        <v>-0.22288024022146269</v>
      </c>
      <c r="L1028">
        <v>57421181.533481538</v>
      </c>
      <c r="M1028" t="s">
        <v>874</v>
      </c>
      <c r="N1028" t="s">
        <v>911</v>
      </c>
      <c r="O1028" t="s">
        <v>331</v>
      </c>
      <c r="P1028">
        <v>440</v>
      </c>
      <c r="Q1028">
        <v>127</v>
      </c>
      <c r="R1028">
        <v>313</v>
      </c>
    </row>
    <row r="1029" spans="1:18" x14ac:dyDescent="0.3">
      <c r="A1029" t="s">
        <v>2049</v>
      </c>
      <c r="B1029">
        <v>2022</v>
      </c>
      <c r="C1029">
        <v>0.67462782453668158</v>
      </c>
      <c r="D1029">
        <v>0</v>
      </c>
      <c r="E1029">
        <v>0</v>
      </c>
      <c r="F1029">
        <v>60</v>
      </c>
      <c r="G1029">
        <v>1.798177009718E-3</v>
      </c>
      <c r="H1029">
        <v>1</v>
      </c>
      <c r="I1029">
        <v>1</v>
      </c>
      <c r="J1029">
        <v>0.49222602651659519</v>
      </c>
      <c r="K1029">
        <v>-0.17378544470770729</v>
      </c>
      <c r="L1029">
        <v>115688797.53532019</v>
      </c>
      <c r="M1029" t="s">
        <v>874</v>
      </c>
      <c r="N1029" t="s">
        <v>911</v>
      </c>
      <c r="O1029" t="s">
        <v>912</v>
      </c>
      <c r="P1029">
        <v>2024</v>
      </c>
      <c r="Q1029">
        <v>422</v>
      </c>
      <c r="R1029">
        <v>1602</v>
      </c>
    </row>
    <row r="1030" spans="1:18" x14ac:dyDescent="0.3">
      <c r="A1030" t="s">
        <v>2050</v>
      </c>
      <c r="B1030">
        <v>2022</v>
      </c>
      <c r="C1030">
        <v>0.81216324753040448</v>
      </c>
      <c r="D1030">
        <v>0</v>
      </c>
      <c r="E1030">
        <v>0</v>
      </c>
      <c r="F1030">
        <v>112</v>
      </c>
      <c r="G1030">
        <v>1.4388489208633001E-3</v>
      </c>
      <c r="H1030">
        <v>17</v>
      </c>
      <c r="I1030">
        <v>4</v>
      </c>
      <c r="J1030">
        <v>0.65685385589335166</v>
      </c>
      <c r="K1030">
        <v>-0.31240068029308299</v>
      </c>
      <c r="L1030">
        <v>154606898.84418669</v>
      </c>
      <c r="M1030" t="s">
        <v>922</v>
      </c>
      <c r="N1030" t="s">
        <v>923</v>
      </c>
      <c r="O1030" t="s">
        <v>930</v>
      </c>
      <c r="P1030">
        <v>1930</v>
      </c>
      <c r="Q1030">
        <v>420</v>
      </c>
      <c r="R1030">
        <v>1510</v>
      </c>
    </row>
    <row r="1031" spans="1:18" x14ac:dyDescent="0.3">
      <c r="A1031" t="s">
        <v>2051</v>
      </c>
      <c r="B1031">
        <v>2022</v>
      </c>
      <c r="C1031">
        <v>0.42624471617539911</v>
      </c>
      <c r="D1031">
        <v>0</v>
      </c>
      <c r="E1031">
        <v>0</v>
      </c>
      <c r="F1031">
        <v>0</v>
      </c>
      <c r="I1031">
        <v>0</v>
      </c>
      <c r="J1031">
        <v>0.54996778800739143</v>
      </c>
      <c r="K1031">
        <v>-0.15954005271843849</v>
      </c>
      <c r="L1031">
        <v>382434141.3960281</v>
      </c>
      <c r="M1031" t="s">
        <v>922</v>
      </c>
      <c r="N1031" t="s">
        <v>935</v>
      </c>
      <c r="O1031" t="s">
        <v>939</v>
      </c>
      <c r="P1031">
        <v>295</v>
      </c>
      <c r="Q1031">
        <v>22</v>
      </c>
      <c r="R1031">
        <v>273</v>
      </c>
    </row>
    <row r="1032" spans="1:18" x14ac:dyDescent="0.3">
      <c r="A1032" t="s">
        <v>2052</v>
      </c>
      <c r="B1032">
        <v>2022</v>
      </c>
      <c r="C1032">
        <v>10.828448572531091</v>
      </c>
      <c r="D1032">
        <v>0</v>
      </c>
      <c r="E1032">
        <v>0</v>
      </c>
      <c r="F1032">
        <v>103</v>
      </c>
      <c r="G1032">
        <v>1.9678662682429998E-3</v>
      </c>
      <c r="H1032">
        <v>4</v>
      </c>
      <c r="I1032">
        <v>0</v>
      </c>
      <c r="J1032">
        <v>0.59780859733174685</v>
      </c>
      <c r="K1032">
        <v>-0.31108359544524478</v>
      </c>
      <c r="L1032">
        <v>120426925.41734339</v>
      </c>
      <c r="M1032" t="s">
        <v>922</v>
      </c>
      <c r="N1032" t="s">
        <v>942</v>
      </c>
      <c r="O1032" t="s">
        <v>946</v>
      </c>
      <c r="P1032">
        <v>4346</v>
      </c>
      <c r="Q1032">
        <v>1939</v>
      </c>
      <c r="R1032">
        <v>2407</v>
      </c>
    </row>
    <row r="1033" spans="1:18" x14ac:dyDescent="0.3">
      <c r="A1033" t="s">
        <v>2053</v>
      </c>
      <c r="B1033">
        <v>2022</v>
      </c>
      <c r="C1033">
        <v>0.54495494235717146</v>
      </c>
      <c r="D1033">
        <v>0</v>
      </c>
      <c r="E1033">
        <v>0</v>
      </c>
      <c r="F1033">
        <v>10</v>
      </c>
      <c r="G1033">
        <v>3.9061597133941001E-3</v>
      </c>
      <c r="H1033">
        <v>4</v>
      </c>
      <c r="I1033">
        <v>0</v>
      </c>
      <c r="J1033">
        <v>0.5251212220390471</v>
      </c>
      <c r="K1033">
        <v>-0.20731813746216929</v>
      </c>
      <c r="L1033">
        <v>649049123.73094893</v>
      </c>
      <c r="M1033" t="s">
        <v>922</v>
      </c>
      <c r="N1033" t="s">
        <v>922</v>
      </c>
      <c r="O1033" t="s">
        <v>949</v>
      </c>
      <c r="P1033">
        <v>122</v>
      </c>
      <c r="Q1033">
        <v>52</v>
      </c>
      <c r="R1033">
        <v>70</v>
      </c>
    </row>
    <row r="1034" spans="1:18" x14ac:dyDescent="0.3">
      <c r="A1034" t="s">
        <v>2054</v>
      </c>
      <c r="B1034">
        <v>2022</v>
      </c>
      <c r="C1034">
        <v>0.52089196865952991</v>
      </c>
      <c r="D1034">
        <v>0</v>
      </c>
      <c r="E1034">
        <v>0</v>
      </c>
      <c r="F1034">
        <v>21</v>
      </c>
      <c r="G1034">
        <v>1.6286427353716E-3</v>
      </c>
      <c r="H1034">
        <v>5</v>
      </c>
      <c r="I1034">
        <v>0</v>
      </c>
      <c r="J1034">
        <v>0.63061385729118202</v>
      </c>
      <c r="K1034">
        <v>-0.2462296827257022</v>
      </c>
      <c r="L1034">
        <v>355826085.83933079</v>
      </c>
      <c r="M1034" t="s">
        <v>922</v>
      </c>
      <c r="N1034" t="s">
        <v>922</v>
      </c>
      <c r="O1034" t="s">
        <v>950</v>
      </c>
      <c r="P1034">
        <v>270</v>
      </c>
      <c r="Q1034">
        <v>105</v>
      </c>
      <c r="R1034">
        <v>165</v>
      </c>
    </row>
    <row r="1035" spans="1:18" x14ac:dyDescent="0.3">
      <c r="A1035" t="s">
        <v>2055</v>
      </c>
      <c r="B1035">
        <v>2022</v>
      </c>
      <c r="C1035">
        <v>0.61467732555951571</v>
      </c>
      <c r="D1035">
        <v>0</v>
      </c>
      <c r="E1035">
        <v>0</v>
      </c>
      <c r="F1035">
        <v>32</v>
      </c>
      <c r="G1035">
        <v>2.5602812488057999E-3</v>
      </c>
      <c r="H1035">
        <v>2</v>
      </c>
      <c r="I1035">
        <v>0</v>
      </c>
      <c r="J1035">
        <v>0.72354876921900069</v>
      </c>
      <c r="K1035">
        <v>-0.33493852896219789</v>
      </c>
      <c r="L1035">
        <v>58647411.438182458</v>
      </c>
      <c r="M1035" t="s">
        <v>922</v>
      </c>
      <c r="N1035" t="s">
        <v>952</v>
      </c>
      <c r="O1035" t="s">
        <v>954</v>
      </c>
      <c r="P1035">
        <v>603</v>
      </c>
      <c r="Q1035">
        <v>152</v>
      </c>
      <c r="R1035">
        <v>451</v>
      </c>
    </row>
    <row r="1036" spans="1:18" x14ac:dyDescent="0.3">
      <c r="A1036" t="s">
        <v>2056</v>
      </c>
      <c r="B1036">
        <v>2022</v>
      </c>
      <c r="C1036">
        <v>0.66870750947102631</v>
      </c>
      <c r="D1036">
        <v>0</v>
      </c>
      <c r="E1036">
        <v>0</v>
      </c>
      <c r="F1036">
        <v>143</v>
      </c>
      <c r="G1036">
        <v>3.3008372221880001E-4</v>
      </c>
      <c r="H1036">
        <v>1</v>
      </c>
      <c r="I1036">
        <v>3</v>
      </c>
      <c r="J1036">
        <v>0.56013936190096092</v>
      </c>
      <c r="K1036">
        <v>-0.23487324636798751</v>
      </c>
      <c r="L1036">
        <v>608047332.80043447</v>
      </c>
      <c r="M1036" t="s">
        <v>959</v>
      </c>
      <c r="N1036" t="s">
        <v>960</v>
      </c>
      <c r="O1036" t="s">
        <v>968</v>
      </c>
      <c r="P1036">
        <v>5167</v>
      </c>
      <c r="Q1036">
        <v>110</v>
      </c>
      <c r="R1036">
        <v>5057</v>
      </c>
    </row>
    <row r="1037" spans="1:18" x14ac:dyDescent="0.3">
      <c r="A1037" t="s">
        <v>2057</v>
      </c>
      <c r="B1037">
        <v>2022</v>
      </c>
      <c r="C1037">
        <v>52.606804763188187</v>
      </c>
      <c r="D1037">
        <v>0</v>
      </c>
      <c r="E1037">
        <v>0</v>
      </c>
      <c r="F1037">
        <v>103</v>
      </c>
      <c r="G1037">
        <v>2.3457741939559998E-3</v>
      </c>
      <c r="H1037">
        <v>3</v>
      </c>
      <c r="I1037">
        <v>3</v>
      </c>
      <c r="J1037">
        <v>0.56739531675486621</v>
      </c>
      <c r="K1037">
        <v>-0.29668747390952749</v>
      </c>
      <c r="L1037">
        <v>76044469.270960808</v>
      </c>
      <c r="M1037" t="s">
        <v>959</v>
      </c>
      <c r="N1037" t="s">
        <v>977</v>
      </c>
      <c r="O1037" t="s">
        <v>978</v>
      </c>
      <c r="P1037">
        <v>3229</v>
      </c>
      <c r="Q1037">
        <v>253</v>
      </c>
      <c r="R1037">
        <v>2976</v>
      </c>
    </row>
    <row r="1038" spans="1:18" x14ac:dyDescent="0.3">
      <c r="A1038" t="s">
        <v>2058</v>
      </c>
      <c r="B1038">
        <v>2022</v>
      </c>
      <c r="C1038">
        <v>2.3823275001236892</v>
      </c>
      <c r="D1038">
        <v>0</v>
      </c>
      <c r="E1038">
        <v>0</v>
      </c>
      <c r="F1038">
        <v>98</v>
      </c>
      <c r="G1038">
        <v>2.2205358706438002E-3</v>
      </c>
      <c r="H1038">
        <v>3</v>
      </c>
      <c r="I1038">
        <v>0</v>
      </c>
      <c r="J1038">
        <v>0.50633144811418962</v>
      </c>
      <c r="K1038">
        <v>-0.26610631298484982</v>
      </c>
      <c r="L1038">
        <v>76837197.526661396</v>
      </c>
      <c r="M1038" t="s">
        <v>959</v>
      </c>
      <c r="N1038" t="s">
        <v>977</v>
      </c>
      <c r="O1038" t="s">
        <v>981</v>
      </c>
      <c r="P1038">
        <v>2279</v>
      </c>
      <c r="Q1038">
        <v>397</v>
      </c>
      <c r="R1038">
        <v>1882</v>
      </c>
    </row>
    <row r="1039" spans="1:18" x14ac:dyDescent="0.3">
      <c r="A1039" t="s">
        <v>2059</v>
      </c>
      <c r="B1039">
        <v>2022</v>
      </c>
      <c r="C1039">
        <v>0.84099035045415371</v>
      </c>
      <c r="D1039">
        <v>0</v>
      </c>
      <c r="E1039">
        <v>0</v>
      </c>
      <c r="F1039">
        <v>55</v>
      </c>
      <c r="G1039">
        <v>4.2809576660852999E-3</v>
      </c>
      <c r="H1039">
        <v>7</v>
      </c>
      <c r="I1039">
        <v>0</v>
      </c>
      <c r="J1039">
        <v>0.53419779031297432</v>
      </c>
      <c r="K1039">
        <v>-0.2861200754744182</v>
      </c>
      <c r="L1039">
        <v>73186080.961640462</v>
      </c>
      <c r="M1039" t="s">
        <v>959</v>
      </c>
      <c r="N1039" t="s">
        <v>977</v>
      </c>
      <c r="O1039" t="s">
        <v>825</v>
      </c>
      <c r="P1039">
        <v>2144</v>
      </c>
      <c r="Q1039">
        <v>471</v>
      </c>
      <c r="R1039">
        <v>1673</v>
      </c>
    </row>
    <row r="1040" spans="1:18" x14ac:dyDescent="0.3">
      <c r="A1040" t="s">
        <v>2060</v>
      </c>
      <c r="B1040">
        <v>2022</v>
      </c>
      <c r="C1040">
        <v>34.610048527583423</v>
      </c>
      <c r="D1040">
        <v>0</v>
      </c>
      <c r="E1040">
        <v>0</v>
      </c>
      <c r="F1040">
        <v>102</v>
      </c>
      <c r="G1040">
        <v>1.4233587887932E-3</v>
      </c>
      <c r="H1040">
        <v>5</v>
      </c>
      <c r="I1040">
        <v>2</v>
      </c>
      <c r="J1040">
        <v>0.55984943145425137</v>
      </c>
      <c r="K1040">
        <v>-0.25341533222069518</v>
      </c>
      <c r="L1040">
        <v>145742806.02229819</v>
      </c>
      <c r="M1040" t="s">
        <v>959</v>
      </c>
      <c r="N1040" t="s">
        <v>977</v>
      </c>
      <c r="O1040" t="s">
        <v>983</v>
      </c>
      <c r="P1040">
        <v>3663</v>
      </c>
      <c r="Q1040">
        <v>666</v>
      </c>
      <c r="R1040">
        <v>2997</v>
      </c>
    </row>
    <row r="1041" spans="1:18" x14ac:dyDescent="0.3">
      <c r="A1041" t="s">
        <v>2061</v>
      </c>
      <c r="B1041">
        <v>2022</v>
      </c>
      <c r="C1041">
        <v>0.52692437467753239</v>
      </c>
      <c r="D1041">
        <v>0</v>
      </c>
      <c r="E1041">
        <v>0</v>
      </c>
      <c r="F1041">
        <v>24</v>
      </c>
      <c r="G1041">
        <v>4.7566078711796002E-3</v>
      </c>
      <c r="H1041">
        <v>1</v>
      </c>
      <c r="I1041">
        <v>0</v>
      </c>
      <c r="J1041">
        <v>0.6379815509523874</v>
      </c>
      <c r="K1041">
        <v>-0.25893286069703259</v>
      </c>
      <c r="L1041">
        <v>191994325.19024649</v>
      </c>
      <c r="M1041" t="s">
        <v>959</v>
      </c>
      <c r="N1041" t="s">
        <v>984</v>
      </c>
      <c r="O1041" t="s">
        <v>989</v>
      </c>
      <c r="P1041">
        <v>1204</v>
      </c>
      <c r="Q1041">
        <v>366</v>
      </c>
      <c r="R1041">
        <v>838</v>
      </c>
    </row>
    <row r="1042" spans="1:18" x14ac:dyDescent="0.3">
      <c r="A1042" t="s">
        <v>2062</v>
      </c>
      <c r="B1042">
        <v>2022</v>
      </c>
      <c r="C1042">
        <v>0.94849424814582317</v>
      </c>
      <c r="D1042">
        <v>0</v>
      </c>
      <c r="E1042">
        <v>0</v>
      </c>
      <c r="F1042">
        <v>64</v>
      </c>
      <c r="G1042">
        <v>7.5177017737359999E-4</v>
      </c>
      <c r="H1042">
        <v>3</v>
      </c>
      <c r="I1042">
        <v>0</v>
      </c>
      <c r="J1042">
        <v>0.4875546508371606</v>
      </c>
      <c r="K1042">
        <v>-0.31472431208361251</v>
      </c>
      <c r="L1042">
        <v>125734535.5552583</v>
      </c>
      <c r="M1042" t="s">
        <v>20</v>
      </c>
      <c r="N1042" t="s">
        <v>76</v>
      </c>
      <c r="O1042" t="s">
        <v>1010</v>
      </c>
      <c r="P1042">
        <v>1638</v>
      </c>
      <c r="Q1042">
        <v>974</v>
      </c>
      <c r="R1042">
        <v>664</v>
      </c>
    </row>
  </sheetData>
  <autoFilter ref="A1:R104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360C-965D-476C-BA60-AEA9216AC00C}">
  <dimension ref="A1:S1042"/>
  <sheetViews>
    <sheetView tabSelected="1" topLeftCell="D1" workbookViewId="0">
      <selection activeCell="O1" sqref="O1"/>
    </sheetView>
  </sheetViews>
  <sheetFormatPr baseColWidth="10" defaultColWidth="8.88671875" defaultRowHeight="14.4" x14ac:dyDescent="0.3"/>
  <cols>
    <col min="15" max="15" width="37.66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3">
      <c r="A2" t="s">
        <v>1022</v>
      </c>
      <c r="B2">
        <v>2022</v>
      </c>
      <c r="C2">
        <v>2.0487371575013049</v>
      </c>
      <c r="D2">
        <v>1068971.65379902</v>
      </c>
      <c r="E2">
        <v>0</v>
      </c>
      <c r="F2">
        <v>209</v>
      </c>
      <c r="G2">
        <v>5.2921488513529998E-4</v>
      </c>
      <c r="H2">
        <v>11</v>
      </c>
      <c r="I2">
        <v>3</v>
      </c>
      <c r="J2">
        <v>0.48308519677226092</v>
      </c>
      <c r="K2">
        <v>-0.39239242636155941</v>
      </c>
      <c r="L2">
        <v>93456152.008499518</v>
      </c>
      <c r="M2" t="s">
        <v>20</v>
      </c>
      <c r="N2" t="s">
        <v>21</v>
      </c>
      <c r="O2" t="s">
        <v>26</v>
      </c>
      <c r="P2">
        <v>5738</v>
      </c>
      <c r="Q2">
        <v>3910</v>
      </c>
      <c r="R2">
        <v>1828</v>
      </c>
    </row>
    <row r="3" spans="1:18" x14ac:dyDescent="0.3">
      <c r="A3" t="s">
        <v>1023</v>
      </c>
      <c r="B3">
        <v>2022</v>
      </c>
      <c r="C3">
        <v>2.7717019602038788</v>
      </c>
      <c r="D3">
        <v>340400.48651960777</v>
      </c>
      <c r="E3">
        <v>0</v>
      </c>
      <c r="F3">
        <v>35</v>
      </c>
      <c r="G3">
        <v>1.9646139485672998E-3</v>
      </c>
      <c r="H3">
        <v>1</v>
      </c>
      <c r="I3">
        <v>0</v>
      </c>
      <c r="J3">
        <v>0.45733747131216451</v>
      </c>
      <c r="K3">
        <v>-0.35175914432368088</v>
      </c>
      <c r="L3">
        <v>11936682.84136726</v>
      </c>
      <c r="M3" t="s">
        <v>20</v>
      </c>
      <c r="N3" t="s">
        <v>46</v>
      </c>
      <c r="O3" t="s">
        <v>54</v>
      </c>
      <c r="P3">
        <v>732</v>
      </c>
      <c r="Q3">
        <v>349</v>
      </c>
      <c r="R3">
        <v>383</v>
      </c>
    </row>
    <row r="4" spans="1:18" x14ac:dyDescent="0.3">
      <c r="A4" t="s">
        <v>1024</v>
      </c>
      <c r="B4">
        <v>2022</v>
      </c>
      <c r="C4">
        <v>0.99927569030108443</v>
      </c>
      <c r="D4">
        <v>2974884.109375</v>
      </c>
      <c r="E4">
        <v>0</v>
      </c>
      <c r="F4">
        <v>154</v>
      </c>
      <c r="G4">
        <v>3.4346092209830003E-4</v>
      </c>
      <c r="H4">
        <v>4</v>
      </c>
      <c r="I4">
        <v>0</v>
      </c>
      <c r="J4">
        <v>0.43228437280102749</v>
      </c>
      <c r="K4">
        <v>-0.36605141040780947</v>
      </c>
      <c r="L4">
        <v>110450574.8851817</v>
      </c>
      <c r="M4" t="s">
        <v>20</v>
      </c>
      <c r="N4" t="s">
        <v>55</v>
      </c>
      <c r="O4" t="s">
        <v>56</v>
      </c>
      <c r="P4">
        <v>2981</v>
      </c>
      <c r="Q4">
        <v>820</v>
      </c>
      <c r="R4">
        <v>2161</v>
      </c>
    </row>
    <row r="5" spans="1:18" x14ac:dyDescent="0.3">
      <c r="A5" t="s">
        <v>1025</v>
      </c>
      <c r="B5">
        <v>2022</v>
      </c>
      <c r="C5">
        <v>1.47631856185423</v>
      </c>
      <c r="D5">
        <v>248062.21875</v>
      </c>
      <c r="E5">
        <v>0</v>
      </c>
      <c r="F5">
        <v>67</v>
      </c>
      <c r="G5">
        <v>8.8723227563290003E-4</v>
      </c>
      <c r="H5">
        <v>2</v>
      </c>
      <c r="I5">
        <v>2</v>
      </c>
      <c r="J5">
        <v>0.52594133828121625</v>
      </c>
      <c r="K5">
        <v>-0.29290037116622158</v>
      </c>
      <c r="L5">
        <v>36106582.500434749</v>
      </c>
      <c r="M5" t="s">
        <v>20</v>
      </c>
      <c r="N5" t="s">
        <v>59</v>
      </c>
      <c r="O5" t="s">
        <v>63</v>
      </c>
      <c r="P5">
        <v>701</v>
      </c>
      <c r="Q5">
        <v>389</v>
      </c>
      <c r="R5">
        <v>312</v>
      </c>
    </row>
    <row r="6" spans="1:18" x14ac:dyDescent="0.3">
      <c r="A6" t="s">
        <v>1026</v>
      </c>
      <c r="B6">
        <v>2022</v>
      </c>
      <c r="C6">
        <v>2.9995815559962939</v>
      </c>
      <c r="D6">
        <v>441559.67769607838</v>
      </c>
      <c r="E6">
        <v>0</v>
      </c>
      <c r="F6">
        <v>41</v>
      </c>
      <c r="G6">
        <v>1.5407814214383E-3</v>
      </c>
      <c r="H6">
        <v>2</v>
      </c>
      <c r="I6">
        <v>0</v>
      </c>
      <c r="J6">
        <v>0.50976929678902072</v>
      </c>
      <c r="K6">
        <v>-0.30309819400580768</v>
      </c>
      <c r="L6">
        <v>13675593.638266331</v>
      </c>
      <c r="M6" t="s">
        <v>20</v>
      </c>
      <c r="N6" t="s">
        <v>85</v>
      </c>
      <c r="O6" t="s">
        <v>87</v>
      </c>
      <c r="P6">
        <v>1875</v>
      </c>
      <c r="Q6">
        <v>928</v>
      </c>
      <c r="R6">
        <v>947</v>
      </c>
    </row>
    <row r="7" spans="1:18" x14ac:dyDescent="0.3">
      <c r="A7" t="s">
        <v>1027</v>
      </c>
      <c r="B7">
        <v>2022</v>
      </c>
      <c r="C7">
        <v>2.0981595687049621</v>
      </c>
      <c r="D7">
        <v>170253.07138480389</v>
      </c>
      <c r="E7">
        <v>0</v>
      </c>
      <c r="F7">
        <v>151</v>
      </c>
      <c r="G7">
        <v>5.7108472713640005E-4</v>
      </c>
      <c r="H7">
        <v>12</v>
      </c>
      <c r="I7">
        <v>0</v>
      </c>
      <c r="J7">
        <v>0.54158967051684748</v>
      </c>
      <c r="K7">
        <v>-0.43244160554530409</v>
      </c>
      <c r="L7">
        <v>34332959.712454639</v>
      </c>
      <c r="M7" t="s">
        <v>124</v>
      </c>
      <c r="N7" t="s">
        <v>124</v>
      </c>
      <c r="O7" t="s">
        <v>139</v>
      </c>
      <c r="P7">
        <v>2726</v>
      </c>
      <c r="Q7">
        <v>1620</v>
      </c>
      <c r="R7">
        <v>1106</v>
      </c>
    </row>
    <row r="8" spans="1:18" x14ac:dyDescent="0.3">
      <c r="A8" t="s">
        <v>1028</v>
      </c>
      <c r="B8">
        <v>2022</v>
      </c>
      <c r="C8">
        <v>3.7825555895213938</v>
      </c>
      <c r="D8">
        <v>761773.25508578424</v>
      </c>
      <c r="E8">
        <v>0</v>
      </c>
      <c r="F8">
        <v>404</v>
      </c>
      <c r="G8">
        <v>2.4636244077400001E-4</v>
      </c>
      <c r="H8">
        <v>17</v>
      </c>
      <c r="I8">
        <v>0</v>
      </c>
      <c r="J8">
        <v>0.57938720967223034</v>
      </c>
      <c r="K8">
        <v>-0.4059570607343706</v>
      </c>
      <c r="L8">
        <v>77040096.41074051</v>
      </c>
      <c r="M8" t="s">
        <v>124</v>
      </c>
      <c r="N8" t="s">
        <v>124</v>
      </c>
      <c r="O8" t="s">
        <v>142</v>
      </c>
      <c r="P8">
        <v>5906</v>
      </c>
      <c r="Q8">
        <v>3566</v>
      </c>
      <c r="R8">
        <v>2340</v>
      </c>
    </row>
    <row r="9" spans="1:18" x14ac:dyDescent="0.3">
      <c r="A9" t="s">
        <v>1029</v>
      </c>
      <c r="B9">
        <v>2022</v>
      </c>
      <c r="C9">
        <v>3.0952295780760859</v>
      </c>
      <c r="D9">
        <v>744321.21875</v>
      </c>
      <c r="E9">
        <v>0</v>
      </c>
      <c r="F9">
        <v>115</v>
      </c>
      <c r="G9">
        <v>6.4651340048730004E-4</v>
      </c>
      <c r="H9">
        <v>4</v>
      </c>
      <c r="I9">
        <v>2</v>
      </c>
      <c r="J9">
        <v>0.50558813843281647</v>
      </c>
      <c r="K9">
        <v>-0.33792500534550118</v>
      </c>
      <c r="L9">
        <v>53309444.550349377</v>
      </c>
      <c r="M9" t="s">
        <v>124</v>
      </c>
      <c r="N9" t="s">
        <v>155</v>
      </c>
      <c r="O9" t="s">
        <v>155</v>
      </c>
      <c r="P9">
        <v>4622</v>
      </c>
      <c r="Q9">
        <v>1780</v>
      </c>
      <c r="R9">
        <v>2842</v>
      </c>
    </row>
    <row r="10" spans="1:18" x14ac:dyDescent="0.3">
      <c r="A10" t="s">
        <v>1030</v>
      </c>
      <c r="B10">
        <v>2022</v>
      </c>
      <c r="C10">
        <v>6.4827788243447033</v>
      </c>
      <c r="D10">
        <v>124628.5568627451</v>
      </c>
      <c r="E10">
        <v>0</v>
      </c>
      <c r="F10">
        <v>72</v>
      </c>
      <c r="G10">
        <v>3.5530990919857E-3</v>
      </c>
      <c r="H10">
        <v>6</v>
      </c>
      <c r="I10">
        <v>1</v>
      </c>
      <c r="J10">
        <v>0.38756496645947408</v>
      </c>
      <c r="K10">
        <v>-0.32411431769856142</v>
      </c>
      <c r="L10">
        <v>7213677.0436995039</v>
      </c>
      <c r="M10" t="s">
        <v>191</v>
      </c>
      <c r="N10" t="s">
        <v>218</v>
      </c>
      <c r="O10" t="s">
        <v>219</v>
      </c>
      <c r="P10">
        <v>3431</v>
      </c>
      <c r="Q10">
        <v>2371</v>
      </c>
      <c r="R10">
        <v>1060</v>
      </c>
    </row>
    <row r="11" spans="1:18" x14ac:dyDescent="0.3">
      <c r="A11" t="s">
        <v>1031</v>
      </c>
      <c r="B11">
        <v>2022</v>
      </c>
      <c r="C11">
        <v>1.2765889519495659</v>
      </c>
      <c r="D11">
        <v>611504.37757352937</v>
      </c>
      <c r="E11">
        <v>0</v>
      </c>
      <c r="F11">
        <v>104</v>
      </c>
      <c r="G11">
        <v>4.8472329106479998E-4</v>
      </c>
      <c r="H11">
        <v>5</v>
      </c>
      <c r="I11">
        <v>12</v>
      </c>
      <c r="L11">
        <v>62035572.676110998</v>
      </c>
      <c r="M11" t="s">
        <v>191</v>
      </c>
      <c r="N11" t="s">
        <v>224</v>
      </c>
      <c r="O11" t="s">
        <v>226</v>
      </c>
      <c r="P11">
        <v>2554</v>
      </c>
      <c r="Q11">
        <v>53</v>
      </c>
      <c r="R11">
        <v>2501</v>
      </c>
    </row>
    <row r="12" spans="1:18" x14ac:dyDescent="0.3">
      <c r="A12" t="s">
        <v>1032</v>
      </c>
      <c r="B12">
        <v>2022</v>
      </c>
      <c r="C12">
        <v>2.170196989163879</v>
      </c>
      <c r="D12">
        <v>399453.06011029409</v>
      </c>
      <c r="E12">
        <v>0</v>
      </c>
      <c r="F12">
        <v>44</v>
      </c>
      <c r="G12">
        <v>3.3952865433867999E-3</v>
      </c>
      <c r="H12">
        <v>11</v>
      </c>
      <c r="I12">
        <v>0</v>
      </c>
      <c r="J12">
        <v>0.56307554334602516</v>
      </c>
      <c r="K12">
        <v>-0.304426849272668</v>
      </c>
      <c r="L12">
        <v>14315432.111426011</v>
      </c>
      <c r="M12" t="s">
        <v>287</v>
      </c>
      <c r="N12" t="s">
        <v>336</v>
      </c>
      <c r="O12" t="s">
        <v>338</v>
      </c>
      <c r="P12">
        <v>970</v>
      </c>
      <c r="Q12">
        <v>639</v>
      </c>
      <c r="R12">
        <v>331</v>
      </c>
    </row>
    <row r="13" spans="1:18" x14ac:dyDescent="0.3">
      <c r="A13" t="s">
        <v>1033</v>
      </c>
      <c r="B13">
        <v>2022</v>
      </c>
      <c r="C13">
        <v>3.6028565613883421</v>
      </c>
      <c r="D13">
        <v>732824.97616421571</v>
      </c>
      <c r="E13">
        <v>0</v>
      </c>
      <c r="F13">
        <v>45</v>
      </c>
      <c r="G13">
        <v>2.1951052920408001E-3</v>
      </c>
      <c r="H13">
        <v>3</v>
      </c>
      <c r="I13">
        <v>0</v>
      </c>
      <c r="J13">
        <v>0.5449711749705175</v>
      </c>
      <c r="K13">
        <v>-0.3438066571301559</v>
      </c>
      <c r="L13">
        <v>7390906.0837158328</v>
      </c>
      <c r="M13" t="s">
        <v>287</v>
      </c>
      <c r="N13" t="s">
        <v>336</v>
      </c>
      <c r="O13" t="s">
        <v>343</v>
      </c>
      <c r="P13">
        <v>817</v>
      </c>
      <c r="Q13">
        <v>573</v>
      </c>
      <c r="R13">
        <v>244</v>
      </c>
    </row>
    <row r="14" spans="1:18" x14ac:dyDescent="0.3">
      <c r="A14" t="s">
        <v>1034</v>
      </c>
      <c r="B14">
        <v>2022</v>
      </c>
      <c r="C14">
        <v>0.9409002812307804</v>
      </c>
      <c r="D14">
        <v>1717543.2869485291</v>
      </c>
      <c r="E14">
        <v>0</v>
      </c>
      <c r="F14">
        <v>46</v>
      </c>
      <c r="G14">
        <v>4.6678855601973001E-3</v>
      </c>
      <c r="H14">
        <v>4</v>
      </c>
      <c r="I14">
        <v>1</v>
      </c>
      <c r="J14">
        <v>0.46864730714468389</v>
      </c>
      <c r="K14">
        <v>-0.20728494699003469</v>
      </c>
      <c r="L14">
        <v>58211038.117318243</v>
      </c>
      <c r="M14" t="s">
        <v>348</v>
      </c>
      <c r="N14" t="s">
        <v>357</v>
      </c>
      <c r="O14" t="s">
        <v>160</v>
      </c>
      <c r="P14">
        <v>2097</v>
      </c>
      <c r="Q14">
        <v>177</v>
      </c>
      <c r="R14">
        <v>1920</v>
      </c>
    </row>
    <row r="15" spans="1:18" x14ac:dyDescent="0.3">
      <c r="A15" t="s">
        <v>1035</v>
      </c>
      <c r="B15">
        <v>2022</v>
      </c>
      <c r="C15">
        <v>3.370400715384319</v>
      </c>
      <c r="D15">
        <v>1388995.8060661759</v>
      </c>
      <c r="E15">
        <v>0</v>
      </c>
      <c r="F15">
        <v>131</v>
      </c>
      <c r="G15">
        <v>9.2788167291450003E-4</v>
      </c>
      <c r="H15">
        <v>12</v>
      </c>
      <c r="I15">
        <v>0</v>
      </c>
      <c r="J15">
        <v>0.23433670795804279</v>
      </c>
      <c r="K15">
        <v>-0.15568575267295209</v>
      </c>
      <c r="L15">
        <v>37233690.252249159</v>
      </c>
      <c r="M15" t="s">
        <v>406</v>
      </c>
      <c r="N15" t="s">
        <v>373</v>
      </c>
      <c r="O15" t="s">
        <v>419</v>
      </c>
      <c r="P15">
        <v>10540</v>
      </c>
      <c r="Q15">
        <v>1856</v>
      </c>
      <c r="R15">
        <v>8684</v>
      </c>
    </row>
    <row r="16" spans="1:18" x14ac:dyDescent="0.3">
      <c r="A16" t="s">
        <v>1036</v>
      </c>
      <c r="B16">
        <v>2022</v>
      </c>
      <c r="C16">
        <v>1.226451912198667</v>
      </c>
      <c r="D16">
        <v>1264369.1922794119</v>
      </c>
      <c r="E16">
        <v>0</v>
      </c>
      <c r="F16">
        <v>200</v>
      </c>
      <c r="G16">
        <v>5.3081169674259999E-4</v>
      </c>
      <c r="H16">
        <v>8</v>
      </c>
      <c r="I16">
        <v>1</v>
      </c>
      <c r="J16">
        <v>0.29938549685611199</v>
      </c>
      <c r="K16">
        <v>-0.26964916816533852</v>
      </c>
      <c r="L16">
        <v>320380202.24626201</v>
      </c>
      <c r="M16" t="s">
        <v>406</v>
      </c>
      <c r="N16" t="s">
        <v>436</v>
      </c>
      <c r="O16" t="s">
        <v>438</v>
      </c>
      <c r="P16">
        <v>8012</v>
      </c>
      <c r="Q16">
        <v>1460</v>
      </c>
      <c r="R16">
        <v>6552</v>
      </c>
    </row>
    <row r="17" spans="1:19" x14ac:dyDescent="0.3">
      <c r="A17" t="s">
        <v>1037</v>
      </c>
      <c r="B17">
        <v>2022</v>
      </c>
      <c r="C17">
        <v>2.0674200095377291</v>
      </c>
      <c r="D17">
        <v>100256.8814338235</v>
      </c>
      <c r="E17">
        <v>0</v>
      </c>
      <c r="F17">
        <v>205</v>
      </c>
      <c r="G17">
        <v>7.4051011271529998E-4</v>
      </c>
      <c r="H17">
        <v>11</v>
      </c>
      <c r="I17">
        <v>2</v>
      </c>
      <c r="J17">
        <v>0.25630708753398829</v>
      </c>
      <c r="K17">
        <v>-0.19717419516672549</v>
      </c>
      <c r="L17">
        <v>94404874.497788161</v>
      </c>
      <c r="M17" t="s">
        <v>406</v>
      </c>
      <c r="N17" t="s">
        <v>442</v>
      </c>
      <c r="O17" t="s">
        <v>445</v>
      </c>
      <c r="P17">
        <v>12678</v>
      </c>
      <c r="Q17">
        <v>366</v>
      </c>
      <c r="R17">
        <v>12312</v>
      </c>
    </row>
    <row r="18" spans="1:19" x14ac:dyDescent="0.3">
      <c r="A18" t="s">
        <v>1038</v>
      </c>
      <c r="B18">
        <v>2022</v>
      </c>
      <c r="C18">
        <v>6.3882285545357904</v>
      </c>
      <c r="D18">
        <v>2484191.3613357842</v>
      </c>
      <c r="E18">
        <v>0</v>
      </c>
      <c r="F18">
        <v>80</v>
      </c>
      <c r="G18">
        <v>3.5018760050026E-3</v>
      </c>
      <c r="H18">
        <v>10</v>
      </c>
      <c r="I18">
        <v>0</v>
      </c>
      <c r="J18">
        <v>0.41646581913067909</v>
      </c>
      <c r="K18">
        <v>-0.3268782222411083</v>
      </c>
      <c r="L18">
        <v>17026385.911856789</v>
      </c>
      <c r="M18" t="s">
        <v>460</v>
      </c>
      <c r="N18" t="s">
        <v>468</v>
      </c>
      <c r="O18" t="s">
        <v>472</v>
      </c>
      <c r="P18">
        <v>3836</v>
      </c>
      <c r="Q18">
        <v>2599</v>
      </c>
      <c r="R18">
        <v>1237</v>
      </c>
    </row>
    <row r="19" spans="1:19" x14ac:dyDescent="0.3">
      <c r="A19" t="s">
        <v>1039</v>
      </c>
      <c r="B19">
        <v>2022</v>
      </c>
      <c r="C19">
        <v>0.70410655677484657</v>
      </c>
      <c r="D19">
        <v>1471732.523590686</v>
      </c>
      <c r="E19">
        <v>0</v>
      </c>
      <c r="F19">
        <v>60</v>
      </c>
      <c r="G19">
        <v>5.0491209503149997E-4</v>
      </c>
      <c r="H19">
        <v>1</v>
      </c>
      <c r="I19">
        <v>0</v>
      </c>
      <c r="J19">
        <v>0.46850337932889941</v>
      </c>
      <c r="K19">
        <v>-0.3874459557568431</v>
      </c>
      <c r="L19">
        <v>73293120.613171548</v>
      </c>
      <c r="M19" t="s">
        <v>499</v>
      </c>
      <c r="N19" t="s">
        <v>557</v>
      </c>
      <c r="O19" t="s">
        <v>560</v>
      </c>
      <c r="P19">
        <v>1558</v>
      </c>
      <c r="Q19">
        <v>356</v>
      </c>
      <c r="R19">
        <v>1202</v>
      </c>
    </row>
    <row r="20" spans="1:19" x14ac:dyDescent="0.3">
      <c r="A20" t="s">
        <v>1040</v>
      </c>
      <c r="B20">
        <v>2022</v>
      </c>
      <c r="C20">
        <v>0.84035236093386645</v>
      </c>
      <c r="D20">
        <v>6525409.3768382352</v>
      </c>
      <c r="E20">
        <v>0</v>
      </c>
      <c r="F20">
        <v>68</v>
      </c>
      <c r="G20">
        <v>5.145253038349E-4</v>
      </c>
      <c r="H20">
        <v>2</v>
      </c>
      <c r="I20">
        <v>0</v>
      </c>
      <c r="J20">
        <v>0.34806785635729298</v>
      </c>
      <c r="K20">
        <v>-0.40810466731320932</v>
      </c>
      <c r="L20">
        <v>114758132.8678834</v>
      </c>
      <c r="M20" t="s">
        <v>499</v>
      </c>
      <c r="N20" t="s">
        <v>557</v>
      </c>
      <c r="O20" t="s">
        <v>564</v>
      </c>
      <c r="P20">
        <v>958</v>
      </c>
      <c r="Q20">
        <v>356</v>
      </c>
      <c r="R20">
        <v>602</v>
      </c>
    </row>
    <row r="21" spans="1:19" x14ac:dyDescent="0.3">
      <c r="A21" t="s">
        <v>1041</v>
      </c>
      <c r="B21">
        <v>2022</v>
      </c>
      <c r="C21">
        <v>1.234523718028552</v>
      </c>
      <c r="D21">
        <v>12188510.809987741</v>
      </c>
      <c r="E21">
        <v>0</v>
      </c>
      <c r="F21">
        <v>100</v>
      </c>
      <c r="G21">
        <v>4.8327533190129998E-4</v>
      </c>
      <c r="H21">
        <v>4</v>
      </c>
      <c r="I21">
        <v>0</v>
      </c>
      <c r="J21">
        <v>0.3057205051080602</v>
      </c>
      <c r="K21">
        <v>-0.392759556227395</v>
      </c>
      <c r="L21">
        <v>91485168.869280741</v>
      </c>
      <c r="M21" t="s">
        <v>499</v>
      </c>
      <c r="N21" t="s">
        <v>557</v>
      </c>
      <c r="O21" t="s">
        <v>566</v>
      </c>
      <c r="P21">
        <v>1513</v>
      </c>
      <c r="Q21">
        <v>820</v>
      </c>
      <c r="R21">
        <v>693</v>
      </c>
    </row>
    <row r="22" spans="1:19" x14ac:dyDescent="0.3">
      <c r="A22" t="s">
        <v>1042</v>
      </c>
      <c r="B22">
        <v>2022</v>
      </c>
      <c r="C22">
        <v>2.4498462035251301</v>
      </c>
      <c r="D22">
        <v>2482378.140625</v>
      </c>
      <c r="E22">
        <v>0</v>
      </c>
      <c r="F22">
        <v>241</v>
      </c>
      <c r="G22">
        <v>3.9812187444979998E-4</v>
      </c>
      <c r="H22">
        <v>4</v>
      </c>
      <c r="I22">
        <v>1</v>
      </c>
      <c r="J22">
        <v>0.43583428935823221</v>
      </c>
      <c r="K22">
        <v>-0.28186867963345069</v>
      </c>
      <c r="L22">
        <v>142232999.5396027</v>
      </c>
      <c r="M22" t="s">
        <v>612</v>
      </c>
      <c r="N22" t="s">
        <v>647</v>
      </c>
      <c r="O22" t="s">
        <v>647</v>
      </c>
      <c r="P22">
        <v>14312</v>
      </c>
      <c r="Q22">
        <v>3802</v>
      </c>
      <c r="R22">
        <v>10510</v>
      </c>
    </row>
    <row r="23" spans="1:19" x14ac:dyDescent="0.3">
      <c r="A23" t="s">
        <v>1043</v>
      </c>
      <c r="B23">
        <v>2022</v>
      </c>
      <c r="C23">
        <v>0.97389984580619204</v>
      </c>
      <c r="D23">
        <v>1241143.578125</v>
      </c>
      <c r="E23">
        <v>0</v>
      </c>
      <c r="F23">
        <v>78</v>
      </c>
      <c r="G23">
        <v>1.1552724005554E-3</v>
      </c>
      <c r="H23">
        <v>8</v>
      </c>
      <c r="I23">
        <v>0</v>
      </c>
      <c r="J23">
        <v>0.34441475588413711</v>
      </c>
      <c r="K23">
        <v>-0.3147391932686201</v>
      </c>
      <c r="L23">
        <v>112546897.3695026</v>
      </c>
      <c r="M23" t="s">
        <v>612</v>
      </c>
      <c r="N23" t="s">
        <v>647</v>
      </c>
      <c r="O23" t="s">
        <v>650</v>
      </c>
      <c r="P23">
        <v>4726</v>
      </c>
      <c r="Q23">
        <v>97</v>
      </c>
      <c r="R23">
        <v>4629</v>
      </c>
    </row>
    <row r="24" spans="1:19" x14ac:dyDescent="0.3">
      <c r="A24" t="s">
        <v>1044</v>
      </c>
      <c r="B24">
        <v>2022</v>
      </c>
      <c r="C24">
        <v>0.82842052134253541</v>
      </c>
      <c r="D24">
        <v>992960.21875</v>
      </c>
      <c r="E24">
        <v>0</v>
      </c>
      <c r="F24">
        <v>94</v>
      </c>
      <c r="G24">
        <v>5.1227674924809996E-4</v>
      </c>
      <c r="H24">
        <v>8</v>
      </c>
      <c r="I24">
        <v>0</v>
      </c>
      <c r="J24">
        <v>0.36903180740871711</v>
      </c>
      <c r="K24">
        <v>-0.26851376674790489</v>
      </c>
      <c r="L24">
        <v>140789644.98093131</v>
      </c>
      <c r="M24" t="s">
        <v>612</v>
      </c>
      <c r="N24" t="s">
        <v>647</v>
      </c>
      <c r="O24" t="s">
        <v>651</v>
      </c>
      <c r="P24">
        <v>5340</v>
      </c>
      <c r="Q24">
        <v>42</v>
      </c>
      <c r="R24">
        <v>5298</v>
      </c>
    </row>
    <row r="25" spans="1:19" x14ac:dyDescent="0.3">
      <c r="A25" t="s">
        <v>1045</v>
      </c>
      <c r="B25">
        <v>2022</v>
      </c>
      <c r="C25">
        <v>1.056307662987616</v>
      </c>
      <c r="D25">
        <v>496505.90625</v>
      </c>
      <c r="E25">
        <v>0</v>
      </c>
      <c r="F25">
        <v>104</v>
      </c>
      <c r="G25">
        <v>4.0749610960669999E-4</v>
      </c>
      <c r="H25">
        <v>15</v>
      </c>
      <c r="I25">
        <v>0</v>
      </c>
      <c r="J25">
        <v>0.46483949963072141</v>
      </c>
      <c r="K25">
        <v>-0.27393123764612048</v>
      </c>
      <c r="L25">
        <v>151003620.22184321</v>
      </c>
      <c r="M25" t="s">
        <v>612</v>
      </c>
      <c r="N25" t="s">
        <v>662</v>
      </c>
      <c r="O25" t="s">
        <v>663</v>
      </c>
      <c r="P25">
        <v>7063</v>
      </c>
      <c r="Q25">
        <v>84</v>
      </c>
      <c r="R25">
        <v>6979</v>
      </c>
    </row>
    <row r="26" spans="1:19" x14ac:dyDescent="0.3">
      <c r="A26" t="s">
        <v>1046</v>
      </c>
      <c r="B26">
        <v>2022</v>
      </c>
      <c r="C26">
        <v>1.0188206451359729</v>
      </c>
      <c r="D26">
        <v>744006.484375</v>
      </c>
      <c r="E26">
        <v>0</v>
      </c>
      <c r="F26">
        <v>229</v>
      </c>
      <c r="G26">
        <v>4.6667608523179999E-4</v>
      </c>
      <c r="H26">
        <v>8</v>
      </c>
      <c r="I26">
        <v>1</v>
      </c>
      <c r="J26">
        <v>0.52119809301496312</v>
      </c>
      <c r="K26">
        <v>-0.21134131634518749</v>
      </c>
      <c r="L26">
        <v>287172158.87378228</v>
      </c>
      <c r="M26" t="s">
        <v>674</v>
      </c>
      <c r="N26" t="s">
        <v>692</v>
      </c>
      <c r="O26" t="s">
        <v>693</v>
      </c>
      <c r="P26">
        <v>4675</v>
      </c>
      <c r="Q26">
        <v>2884</v>
      </c>
      <c r="R26">
        <v>1791</v>
      </c>
    </row>
    <row r="27" spans="1:19" x14ac:dyDescent="0.3">
      <c r="A27" t="s">
        <v>1047</v>
      </c>
      <c r="B27">
        <v>2022</v>
      </c>
      <c r="C27">
        <v>0.70980124399615518</v>
      </c>
      <c r="D27">
        <v>993272.5625</v>
      </c>
      <c r="E27">
        <v>0</v>
      </c>
      <c r="F27">
        <v>33</v>
      </c>
      <c r="G27">
        <v>1.4725666869156999E-3</v>
      </c>
      <c r="H27">
        <v>2</v>
      </c>
      <c r="I27">
        <v>0</v>
      </c>
      <c r="J27">
        <v>0.53830404272903032</v>
      </c>
      <c r="K27">
        <v>-0.2280537986583486</v>
      </c>
      <c r="L27">
        <v>129102586.5748345</v>
      </c>
      <c r="M27" t="s">
        <v>922</v>
      </c>
      <c r="N27" t="s">
        <v>922</v>
      </c>
      <c r="O27" t="s">
        <v>947</v>
      </c>
      <c r="P27">
        <v>935</v>
      </c>
      <c r="Q27">
        <v>610</v>
      </c>
      <c r="R27">
        <v>325</v>
      </c>
    </row>
    <row r="28" spans="1:19" x14ac:dyDescent="0.3">
      <c r="A28" t="s">
        <v>1048</v>
      </c>
      <c r="B28">
        <v>2022</v>
      </c>
      <c r="C28">
        <v>0.67605744876715823</v>
      </c>
      <c r="D28">
        <v>626134.67984068627</v>
      </c>
      <c r="E28">
        <v>0</v>
      </c>
      <c r="F28">
        <v>20</v>
      </c>
      <c r="G28">
        <v>2.2802405450182001E-3</v>
      </c>
      <c r="H28">
        <v>1</v>
      </c>
      <c r="I28">
        <v>0</v>
      </c>
      <c r="J28">
        <v>0.42229550144297823</v>
      </c>
      <c r="K28">
        <v>-0.18349103511725889</v>
      </c>
      <c r="L28">
        <v>294132840.59988868</v>
      </c>
      <c r="M28" t="s">
        <v>922</v>
      </c>
      <c r="N28" t="s">
        <v>922</v>
      </c>
      <c r="O28" t="s">
        <v>948</v>
      </c>
      <c r="P28">
        <v>1248</v>
      </c>
      <c r="Q28">
        <v>559</v>
      </c>
      <c r="R28">
        <v>689</v>
      </c>
    </row>
    <row r="29" spans="1:19" x14ac:dyDescent="0.3">
      <c r="A29" t="s">
        <v>1049</v>
      </c>
      <c r="B29">
        <v>2022</v>
      </c>
      <c r="C29">
        <v>0.9014788679777368</v>
      </c>
      <c r="D29">
        <v>992580.78125</v>
      </c>
      <c r="E29">
        <v>0</v>
      </c>
      <c r="F29">
        <v>208</v>
      </c>
      <c r="G29">
        <v>3.9895669847209999E-4</v>
      </c>
      <c r="H29">
        <v>7</v>
      </c>
      <c r="I29">
        <v>3</v>
      </c>
      <c r="J29">
        <v>0.34817743412365038</v>
      </c>
      <c r="K29">
        <v>-0.25662533693745782</v>
      </c>
      <c r="L29">
        <v>572331288.15028799</v>
      </c>
      <c r="M29" t="s">
        <v>940</v>
      </c>
      <c r="N29" t="s">
        <v>940</v>
      </c>
      <c r="O29" t="s">
        <v>54</v>
      </c>
      <c r="P29">
        <v>4381</v>
      </c>
      <c r="Q29">
        <v>589</v>
      </c>
      <c r="R29">
        <v>3792</v>
      </c>
    </row>
    <row r="30" spans="1:19" x14ac:dyDescent="0.3">
      <c r="A30" t="s">
        <v>1050</v>
      </c>
      <c r="B30">
        <v>2022</v>
      </c>
      <c r="C30">
        <v>9.7311643320479568</v>
      </c>
      <c r="D30">
        <v>1441084.2609681371</v>
      </c>
      <c r="E30">
        <v>0</v>
      </c>
      <c r="F30">
        <v>259</v>
      </c>
      <c r="G30">
        <v>1.3853664480849E-3</v>
      </c>
      <c r="H30">
        <v>5</v>
      </c>
      <c r="I30">
        <v>6</v>
      </c>
      <c r="J30">
        <v>7.7735810117920995E-2</v>
      </c>
      <c r="K30">
        <v>-0.26836924188508249</v>
      </c>
      <c r="L30">
        <v>14981806.011439459</v>
      </c>
      <c r="M30" t="s">
        <v>940</v>
      </c>
      <c r="N30" t="s">
        <v>101</v>
      </c>
      <c r="O30" t="s">
        <v>1008</v>
      </c>
      <c r="P30">
        <v>15047</v>
      </c>
      <c r="Q30">
        <v>7184</v>
      </c>
      <c r="R30">
        <v>7863</v>
      </c>
    </row>
    <row r="31" spans="1:19" x14ac:dyDescent="0.3">
      <c r="A31" t="s">
        <v>1051</v>
      </c>
      <c r="B31">
        <v>2022</v>
      </c>
      <c r="C31">
        <v>13.08257400657374</v>
      </c>
      <c r="D31">
        <v>37809881.190747537</v>
      </c>
      <c r="E31">
        <v>3</v>
      </c>
      <c r="F31">
        <v>455</v>
      </c>
      <c r="G31">
        <v>5.5147856460989995E-4</v>
      </c>
      <c r="H31">
        <v>2</v>
      </c>
      <c r="I31">
        <v>1</v>
      </c>
      <c r="J31">
        <v>0.2947927295416376</v>
      </c>
      <c r="K31">
        <v>-0.17878129289294711</v>
      </c>
      <c r="L31">
        <v>86050043.461623311</v>
      </c>
      <c r="M31" t="s">
        <v>652</v>
      </c>
      <c r="N31" t="s">
        <v>817</v>
      </c>
      <c r="O31" t="s">
        <v>819</v>
      </c>
      <c r="P31">
        <v>6307</v>
      </c>
      <c r="Q31">
        <v>4638</v>
      </c>
      <c r="R31">
        <v>1669</v>
      </c>
      <c r="S31" t="e">
        <f>#REF!/#REF!</f>
        <v>#REF!</v>
      </c>
    </row>
    <row r="32" spans="1:19" x14ac:dyDescent="0.3">
      <c r="A32" t="s">
        <v>1052</v>
      </c>
      <c r="B32">
        <v>2022</v>
      </c>
      <c r="C32">
        <v>3.1989826263017238</v>
      </c>
      <c r="D32">
        <v>37555714.187867656</v>
      </c>
      <c r="E32">
        <v>12</v>
      </c>
      <c r="F32">
        <v>219</v>
      </c>
      <c r="G32">
        <v>5.5941037814140001E-4</v>
      </c>
      <c r="H32">
        <v>3</v>
      </c>
      <c r="I32">
        <v>1</v>
      </c>
      <c r="J32">
        <v>0.2835769029357556</v>
      </c>
      <c r="K32">
        <v>-0.2459449681326964</v>
      </c>
      <c r="L32">
        <v>96351063.186507463</v>
      </c>
      <c r="M32" t="s">
        <v>652</v>
      </c>
      <c r="N32" t="s">
        <v>817</v>
      </c>
      <c r="O32" t="s">
        <v>820</v>
      </c>
      <c r="P32">
        <v>2028</v>
      </c>
      <c r="Q32">
        <v>1106</v>
      </c>
      <c r="R32">
        <v>922</v>
      </c>
      <c r="S32" t="e">
        <f>#REF!/#REF!</f>
        <v>#REF!</v>
      </c>
    </row>
    <row r="33" spans="1:19" x14ac:dyDescent="0.3">
      <c r="A33" t="s">
        <v>1053</v>
      </c>
      <c r="B33">
        <v>2022</v>
      </c>
      <c r="C33">
        <v>5.9583803612946094</v>
      </c>
      <c r="D33">
        <v>5131009.8275122549</v>
      </c>
      <c r="E33">
        <v>2</v>
      </c>
      <c r="F33">
        <v>106</v>
      </c>
      <c r="G33">
        <v>2.1750362694065999E-3</v>
      </c>
      <c r="H33">
        <v>10</v>
      </c>
      <c r="I33">
        <v>2</v>
      </c>
      <c r="J33">
        <v>0.37129652413267311</v>
      </c>
      <c r="K33">
        <v>-0.29004983125696132</v>
      </c>
      <c r="L33">
        <v>7121429.9986603223</v>
      </c>
      <c r="M33" t="s">
        <v>232</v>
      </c>
      <c r="N33" t="s">
        <v>269</v>
      </c>
      <c r="O33" t="s">
        <v>45</v>
      </c>
      <c r="P33">
        <v>3281</v>
      </c>
      <c r="Q33">
        <v>1310</v>
      </c>
      <c r="R33">
        <v>1971</v>
      </c>
      <c r="S33" t="e">
        <f>#REF!/#REF!</f>
        <v>#REF!</v>
      </c>
    </row>
    <row r="34" spans="1:19" x14ac:dyDescent="0.3">
      <c r="A34" t="s">
        <v>1054</v>
      </c>
      <c r="B34">
        <v>2022</v>
      </c>
      <c r="C34">
        <v>7.8299373980205296</v>
      </c>
      <c r="D34">
        <v>766388.08167892147</v>
      </c>
      <c r="E34">
        <v>1</v>
      </c>
      <c r="F34">
        <v>70</v>
      </c>
      <c r="G34">
        <v>3.2288416778091002E-3</v>
      </c>
      <c r="H34">
        <v>1</v>
      </c>
      <c r="I34">
        <v>1</v>
      </c>
      <c r="J34">
        <v>0.33071863315510958</v>
      </c>
      <c r="K34">
        <v>-0.27129112997976629</v>
      </c>
      <c r="L34">
        <v>11556744.26737513</v>
      </c>
      <c r="M34" t="s">
        <v>460</v>
      </c>
      <c r="N34" t="s">
        <v>468</v>
      </c>
      <c r="O34" t="s">
        <v>470</v>
      </c>
      <c r="P34">
        <v>1610</v>
      </c>
      <c r="Q34">
        <v>1161</v>
      </c>
      <c r="R34">
        <v>449</v>
      </c>
      <c r="S34" t="e">
        <f>#REF!/#REF!</f>
        <v>#REF!</v>
      </c>
    </row>
    <row r="35" spans="1:19" x14ac:dyDescent="0.3">
      <c r="A35" t="s">
        <v>1055</v>
      </c>
      <c r="B35">
        <v>2022</v>
      </c>
      <c r="C35">
        <v>9.5349156714215919</v>
      </c>
      <c r="D35">
        <v>1662452.0013480389</v>
      </c>
      <c r="E35">
        <v>3</v>
      </c>
      <c r="F35">
        <v>38</v>
      </c>
      <c r="G35">
        <v>4.6281908990011E-3</v>
      </c>
      <c r="H35">
        <v>11</v>
      </c>
      <c r="I35">
        <v>0</v>
      </c>
      <c r="J35">
        <v>0.56996785437525577</v>
      </c>
      <c r="K35">
        <v>-0.37143751638834072</v>
      </c>
      <c r="L35">
        <v>3753863.736851105</v>
      </c>
      <c r="M35" t="s">
        <v>124</v>
      </c>
      <c r="N35" t="s">
        <v>133</v>
      </c>
      <c r="O35" t="s">
        <v>135</v>
      </c>
      <c r="P35">
        <v>1471</v>
      </c>
      <c r="Q35">
        <v>821</v>
      </c>
      <c r="R35">
        <v>650</v>
      </c>
      <c r="S35" t="e">
        <f>#REF!/#REF!</f>
        <v>#REF!</v>
      </c>
    </row>
    <row r="36" spans="1:19" x14ac:dyDescent="0.3">
      <c r="A36" t="s">
        <v>1056</v>
      </c>
      <c r="B36">
        <v>2022</v>
      </c>
      <c r="C36">
        <v>12.701983655635059</v>
      </c>
      <c r="D36">
        <v>744975.734375</v>
      </c>
      <c r="E36">
        <v>1</v>
      </c>
      <c r="F36">
        <v>99</v>
      </c>
      <c r="G36">
        <v>2.5343250257347E-3</v>
      </c>
      <c r="H36">
        <v>2</v>
      </c>
      <c r="I36">
        <v>1</v>
      </c>
      <c r="J36">
        <v>0.55722878848400326</v>
      </c>
      <c r="K36">
        <v>-0.2846393720955156</v>
      </c>
      <c r="L36">
        <v>74835040.547736287</v>
      </c>
      <c r="M36" t="s">
        <v>922</v>
      </c>
      <c r="N36" t="s">
        <v>942</v>
      </c>
      <c r="O36" t="s">
        <v>945</v>
      </c>
      <c r="P36">
        <v>3636</v>
      </c>
      <c r="Q36">
        <v>1852</v>
      </c>
      <c r="R36">
        <v>1784</v>
      </c>
      <c r="S36" t="e">
        <f>#REF!/#REF!</f>
        <v>#REF!</v>
      </c>
    </row>
    <row r="37" spans="1:19" x14ac:dyDescent="0.3">
      <c r="A37" t="s">
        <v>1057</v>
      </c>
      <c r="B37">
        <v>2022</v>
      </c>
      <c r="C37">
        <v>1.8721292289324061</v>
      </c>
      <c r="D37">
        <v>5458871.03125</v>
      </c>
      <c r="E37">
        <v>1</v>
      </c>
      <c r="F37">
        <v>136</v>
      </c>
      <c r="G37">
        <v>8.2791058188529999E-4</v>
      </c>
      <c r="H37">
        <v>3</v>
      </c>
      <c r="I37">
        <v>3</v>
      </c>
      <c r="J37">
        <v>0.2161443210931269</v>
      </c>
      <c r="K37">
        <v>-0.35057257734257208</v>
      </c>
      <c r="L37">
        <v>77443920.288919136</v>
      </c>
      <c r="M37" t="s">
        <v>940</v>
      </c>
      <c r="N37" t="s">
        <v>940</v>
      </c>
      <c r="O37" t="s">
        <v>295</v>
      </c>
      <c r="P37">
        <v>4004</v>
      </c>
      <c r="Q37">
        <v>1962</v>
      </c>
      <c r="R37">
        <v>2042</v>
      </c>
      <c r="S37" t="e">
        <f>#REF!/#REF!</f>
        <v>#REF!</v>
      </c>
    </row>
    <row r="38" spans="1:19" x14ac:dyDescent="0.3">
      <c r="A38" t="s">
        <v>1058</v>
      </c>
      <c r="B38">
        <v>2022</v>
      </c>
      <c r="C38">
        <v>0.57658563841726085</v>
      </c>
      <c r="D38">
        <v>1123442.8039828429</v>
      </c>
      <c r="E38">
        <v>1</v>
      </c>
      <c r="F38">
        <v>27</v>
      </c>
      <c r="G38">
        <v>1.4025204203443999E-3</v>
      </c>
      <c r="H38">
        <v>1</v>
      </c>
      <c r="I38">
        <v>5</v>
      </c>
      <c r="J38">
        <v>0.52729402930832481</v>
      </c>
      <c r="K38">
        <v>-0.19614924005021461</v>
      </c>
      <c r="L38">
        <v>822209105.50553429</v>
      </c>
      <c r="M38" t="s">
        <v>674</v>
      </c>
      <c r="N38" t="s">
        <v>698</v>
      </c>
      <c r="O38" t="s">
        <v>286</v>
      </c>
      <c r="P38">
        <v>315</v>
      </c>
      <c r="Q38">
        <v>58</v>
      </c>
      <c r="R38">
        <v>257</v>
      </c>
      <c r="S38" t="e">
        <f>#REF!/#REF!</f>
        <v>#REF!</v>
      </c>
    </row>
    <row r="39" spans="1:19" x14ac:dyDescent="0.3">
      <c r="A39" t="s">
        <v>1059</v>
      </c>
      <c r="B39">
        <v>2022</v>
      </c>
      <c r="C39">
        <v>5.3556455664325444</v>
      </c>
      <c r="D39">
        <v>7832231.9839460785</v>
      </c>
      <c r="E39">
        <v>7</v>
      </c>
      <c r="F39">
        <v>146</v>
      </c>
      <c r="G39">
        <v>1.2776156507532E-3</v>
      </c>
      <c r="H39">
        <v>9</v>
      </c>
      <c r="I39">
        <v>0</v>
      </c>
      <c r="J39">
        <v>0.37547389219790889</v>
      </c>
      <c r="K39">
        <v>-0.28146302625426489</v>
      </c>
      <c r="L39">
        <v>12930048.328284521</v>
      </c>
      <c r="M39" t="s">
        <v>232</v>
      </c>
      <c r="N39" t="s">
        <v>233</v>
      </c>
      <c r="O39" t="s">
        <v>236</v>
      </c>
      <c r="P39">
        <v>3264</v>
      </c>
      <c r="Q39">
        <v>1782</v>
      </c>
      <c r="R39">
        <v>1482</v>
      </c>
      <c r="S39" t="e">
        <f>#REF!/#REF!</f>
        <v>#REF!</v>
      </c>
    </row>
    <row r="40" spans="1:19" x14ac:dyDescent="0.3">
      <c r="A40" t="s">
        <v>1060</v>
      </c>
      <c r="B40">
        <v>2022</v>
      </c>
      <c r="C40">
        <v>4.0625581236297128</v>
      </c>
      <c r="D40">
        <v>4615263.770710784</v>
      </c>
      <c r="E40">
        <v>4</v>
      </c>
      <c r="F40">
        <v>197</v>
      </c>
      <c r="G40">
        <v>3.3100199969279999E-4</v>
      </c>
      <c r="H40">
        <v>5</v>
      </c>
      <c r="I40">
        <v>0</v>
      </c>
      <c r="J40">
        <v>0.48755833520229369</v>
      </c>
      <c r="K40">
        <v>-0.34881194259618298</v>
      </c>
      <c r="L40">
        <v>22751995.234142579</v>
      </c>
      <c r="M40" t="s">
        <v>20</v>
      </c>
      <c r="N40" t="s">
        <v>59</v>
      </c>
      <c r="O40" t="s">
        <v>62</v>
      </c>
      <c r="P40">
        <v>3361</v>
      </c>
      <c r="Q40">
        <v>2359</v>
      </c>
      <c r="R40">
        <v>1002</v>
      </c>
      <c r="S40" t="e">
        <f>#REF!/#REF!</f>
        <v>#REF!</v>
      </c>
    </row>
    <row r="41" spans="1:19" x14ac:dyDescent="0.3">
      <c r="A41" t="s">
        <v>1061</v>
      </c>
      <c r="B41">
        <v>2022</v>
      </c>
      <c r="C41">
        <v>20.572087143930201</v>
      </c>
      <c r="D41">
        <v>11740482.456188731</v>
      </c>
      <c r="E41">
        <v>55</v>
      </c>
      <c r="F41">
        <v>139</v>
      </c>
      <c r="G41">
        <v>6.8419536409160004E-4</v>
      </c>
      <c r="H41">
        <v>6</v>
      </c>
      <c r="I41">
        <v>0</v>
      </c>
      <c r="J41">
        <v>0.31945001208312918</v>
      </c>
      <c r="K41">
        <v>-0.32460403687463291</v>
      </c>
      <c r="L41">
        <v>24382182.091236729</v>
      </c>
      <c r="M41" t="s">
        <v>652</v>
      </c>
      <c r="N41" t="s">
        <v>803</v>
      </c>
      <c r="O41" t="s">
        <v>806</v>
      </c>
      <c r="P41">
        <v>3166</v>
      </c>
      <c r="Q41">
        <v>1660</v>
      </c>
      <c r="R41">
        <v>1506</v>
      </c>
      <c r="S41" t="e">
        <f>#REF!/#REF!</f>
        <v>#REF!</v>
      </c>
    </row>
    <row r="42" spans="1:19" x14ac:dyDescent="0.3">
      <c r="A42" t="s">
        <v>1062</v>
      </c>
      <c r="B42">
        <v>2022</v>
      </c>
      <c r="C42">
        <v>9.9477182981823464</v>
      </c>
      <c r="D42">
        <v>6058698.2280024514</v>
      </c>
      <c r="E42">
        <v>6</v>
      </c>
      <c r="F42">
        <v>247</v>
      </c>
      <c r="G42">
        <v>5.3021932261619999E-4</v>
      </c>
      <c r="H42">
        <v>51</v>
      </c>
      <c r="I42">
        <v>3</v>
      </c>
      <c r="J42">
        <v>0.44322654848282389</v>
      </c>
      <c r="K42">
        <v>-0.33544204568802372</v>
      </c>
      <c r="L42">
        <v>15981659.48574033</v>
      </c>
      <c r="M42" t="s">
        <v>20</v>
      </c>
      <c r="N42" t="s">
        <v>21</v>
      </c>
      <c r="O42" t="s">
        <v>27</v>
      </c>
      <c r="P42">
        <v>7464</v>
      </c>
      <c r="Q42">
        <v>5435</v>
      </c>
      <c r="R42">
        <v>2029</v>
      </c>
      <c r="S42" t="e">
        <f>#REF!/#REF!</f>
        <v>#REF!</v>
      </c>
    </row>
    <row r="43" spans="1:19" x14ac:dyDescent="0.3">
      <c r="A43" t="s">
        <v>1063</v>
      </c>
      <c r="B43">
        <v>2022</v>
      </c>
      <c r="C43">
        <v>1.4501347927188271</v>
      </c>
      <c r="D43">
        <v>1437278.125061275</v>
      </c>
      <c r="E43">
        <v>1</v>
      </c>
      <c r="F43">
        <v>54</v>
      </c>
      <c r="G43">
        <v>8.3537279756759999E-4</v>
      </c>
      <c r="H43">
        <v>4</v>
      </c>
      <c r="I43">
        <v>1</v>
      </c>
      <c r="J43">
        <v>0.5350771561548906</v>
      </c>
      <c r="K43">
        <v>-0.28747254231465152</v>
      </c>
      <c r="L43">
        <v>65845607.214847408</v>
      </c>
      <c r="M43" t="s">
        <v>156</v>
      </c>
      <c r="N43" t="s">
        <v>157</v>
      </c>
      <c r="O43" t="s">
        <v>158</v>
      </c>
      <c r="P43">
        <v>2162</v>
      </c>
      <c r="Q43">
        <v>937</v>
      </c>
      <c r="R43">
        <v>1225</v>
      </c>
      <c r="S43" t="e">
        <f>#REF!/#REF!</f>
        <v>#REF!</v>
      </c>
    </row>
    <row r="44" spans="1:19" x14ac:dyDescent="0.3">
      <c r="A44" t="s">
        <v>1064</v>
      </c>
      <c r="B44">
        <v>2022</v>
      </c>
      <c r="C44">
        <v>6.1435468716895523</v>
      </c>
      <c r="D44">
        <v>3971685.2929534321</v>
      </c>
      <c r="E44">
        <v>7</v>
      </c>
      <c r="F44">
        <v>120</v>
      </c>
      <c r="G44">
        <v>1.0799073403524001E-3</v>
      </c>
      <c r="H44">
        <v>11</v>
      </c>
      <c r="I44">
        <v>12</v>
      </c>
      <c r="J44">
        <v>0.49517006704189981</v>
      </c>
      <c r="K44">
        <v>-0.36569756553420502</v>
      </c>
      <c r="L44">
        <v>19061296.469221611</v>
      </c>
      <c r="M44" t="s">
        <v>124</v>
      </c>
      <c r="N44" t="s">
        <v>125</v>
      </c>
      <c r="O44" t="s">
        <v>126</v>
      </c>
      <c r="P44">
        <v>3612</v>
      </c>
      <c r="Q44">
        <v>1860</v>
      </c>
      <c r="R44">
        <v>1752</v>
      </c>
      <c r="S44" t="e">
        <f>#REF!/#REF!</f>
        <v>#REF!</v>
      </c>
    </row>
    <row r="45" spans="1:19" x14ac:dyDescent="0.3">
      <c r="A45" t="s">
        <v>1065</v>
      </c>
      <c r="B45">
        <v>2022</v>
      </c>
      <c r="C45">
        <v>1.3347510868252279</v>
      </c>
      <c r="D45">
        <v>1240713.859375</v>
      </c>
      <c r="E45">
        <v>1</v>
      </c>
      <c r="F45">
        <v>97</v>
      </c>
      <c r="G45">
        <v>1.0881491284626E-3</v>
      </c>
      <c r="H45">
        <v>4</v>
      </c>
      <c r="I45">
        <v>0</v>
      </c>
      <c r="J45">
        <v>0.3830214152536085</v>
      </c>
      <c r="K45">
        <v>-0.36267998331434442</v>
      </c>
      <c r="L45">
        <v>46746714.480885379</v>
      </c>
      <c r="M45" t="s">
        <v>232</v>
      </c>
      <c r="N45" t="s">
        <v>244</v>
      </c>
      <c r="O45" t="s">
        <v>246</v>
      </c>
      <c r="P45">
        <v>1820</v>
      </c>
      <c r="Q45">
        <v>466</v>
      </c>
      <c r="R45">
        <v>1354</v>
      </c>
      <c r="S45" t="e">
        <f>#REF!/#REF!</f>
        <v>#REF!</v>
      </c>
    </row>
    <row r="46" spans="1:19" x14ac:dyDescent="0.3">
      <c r="A46" t="s">
        <v>1066</v>
      </c>
      <c r="B46">
        <v>2022</v>
      </c>
      <c r="C46">
        <v>4.0794528722969474</v>
      </c>
      <c r="D46">
        <v>1111779.601776961</v>
      </c>
      <c r="E46">
        <v>3</v>
      </c>
      <c r="F46">
        <v>151</v>
      </c>
      <c r="G46">
        <v>9.0082552431949999E-4</v>
      </c>
      <c r="H46">
        <v>8</v>
      </c>
      <c r="I46">
        <v>0</v>
      </c>
      <c r="J46">
        <v>0.47822297945082359</v>
      </c>
      <c r="K46">
        <v>-0.37926745730840927</v>
      </c>
      <c r="L46">
        <v>16891873.68506011</v>
      </c>
      <c r="M46" t="s">
        <v>124</v>
      </c>
      <c r="N46" t="s">
        <v>153</v>
      </c>
      <c r="O46" t="s">
        <v>154</v>
      </c>
      <c r="P46">
        <v>1773</v>
      </c>
      <c r="Q46">
        <v>955</v>
      </c>
      <c r="R46">
        <v>818</v>
      </c>
      <c r="S46" t="e">
        <f>#REF!/#REF!</f>
        <v>#REF!</v>
      </c>
    </row>
    <row r="47" spans="1:19" x14ac:dyDescent="0.3">
      <c r="A47" t="s">
        <v>1067</v>
      </c>
      <c r="B47">
        <v>2022</v>
      </c>
      <c r="C47">
        <v>0.9028170350969712</v>
      </c>
      <c r="D47">
        <v>1737329.15625</v>
      </c>
      <c r="E47">
        <v>1</v>
      </c>
      <c r="F47">
        <v>105</v>
      </c>
      <c r="G47">
        <v>9.8280946349229995E-4</v>
      </c>
      <c r="H47">
        <v>5</v>
      </c>
      <c r="I47">
        <v>8</v>
      </c>
      <c r="J47">
        <v>0.39340638120878918</v>
      </c>
      <c r="K47">
        <v>-0.15813587106447091</v>
      </c>
      <c r="L47">
        <v>1388963067.4562731</v>
      </c>
      <c r="M47" t="s">
        <v>674</v>
      </c>
      <c r="N47" t="s">
        <v>727</v>
      </c>
      <c r="O47" t="s">
        <v>727</v>
      </c>
      <c r="P47">
        <v>2263</v>
      </c>
      <c r="Q47">
        <v>952</v>
      </c>
      <c r="R47">
        <v>1311</v>
      </c>
      <c r="S47" t="e">
        <f>#REF!/#REF!</f>
        <v>#REF!</v>
      </c>
    </row>
    <row r="48" spans="1:19" x14ac:dyDescent="0.3">
      <c r="A48" t="s">
        <v>1068</v>
      </c>
      <c r="B48">
        <v>2022</v>
      </c>
      <c r="C48">
        <v>8.6276975874389965</v>
      </c>
      <c r="D48">
        <v>15910811.790747549</v>
      </c>
      <c r="E48">
        <v>17</v>
      </c>
      <c r="F48">
        <v>386</v>
      </c>
      <c r="G48">
        <v>8.061354202013E-4</v>
      </c>
      <c r="H48">
        <v>6</v>
      </c>
      <c r="I48">
        <v>1</v>
      </c>
      <c r="J48">
        <v>0.24432129412984499</v>
      </c>
      <c r="K48">
        <v>-0.25645147614252861</v>
      </c>
      <c r="L48">
        <v>21014977.930509809</v>
      </c>
      <c r="M48" t="s">
        <v>232</v>
      </c>
      <c r="N48" t="s">
        <v>233</v>
      </c>
      <c r="O48" t="s">
        <v>238</v>
      </c>
      <c r="P48">
        <v>11723</v>
      </c>
      <c r="Q48">
        <v>6747</v>
      </c>
      <c r="R48">
        <v>4976</v>
      </c>
      <c r="S48" t="e">
        <f>#REF!/#REF!</f>
        <v>#REF!</v>
      </c>
    </row>
    <row r="49" spans="1:19" x14ac:dyDescent="0.3">
      <c r="A49" t="s">
        <v>1069</v>
      </c>
      <c r="B49">
        <v>2022</v>
      </c>
      <c r="C49">
        <v>7.9933064444161666</v>
      </c>
      <c r="D49">
        <v>2301502.4291053922</v>
      </c>
      <c r="E49">
        <v>7</v>
      </c>
      <c r="F49">
        <v>181</v>
      </c>
      <c r="G49">
        <v>8.3997260806589996E-4</v>
      </c>
      <c r="H49">
        <v>20</v>
      </c>
      <c r="I49">
        <v>7</v>
      </c>
      <c r="J49">
        <v>0.52058333340591001</v>
      </c>
      <c r="K49">
        <v>-0.33068848379902188</v>
      </c>
      <c r="L49">
        <v>24297462.962555841</v>
      </c>
      <c r="M49" t="s">
        <v>124</v>
      </c>
      <c r="N49" t="s">
        <v>125</v>
      </c>
      <c r="O49" t="s">
        <v>129</v>
      </c>
      <c r="P49">
        <v>3931</v>
      </c>
      <c r="Q49">
        <v>2803</v>
      </c>
      <c r="R49">
        <v>1128</v>
      </c>
      <c r="S49" t="e">
        <f>#REF!/#REF!</f>
        <v>#REF!</v>
      </c>
    </row>
    <row r="50" spans="1:19" x14ac:dyDescent="0.3">
      <c r="A50" t="s">
        <v>1070</v>
      </c>
      <c r="B50">
        <v>2022</v>
      </c>
      <c r="C50">
        <v>1.541113420810269</v>
      </c>
      <c r="D50">
        <v>922821.51691176463</v>
      </c>
      <c r="E50">
        <v>3</v>
      </c>
      <c r="F50">
        <v>46</v>
      </c>
      <c r="G50">
        <v>2.3003881271596999E-3</v>
      </c>
      <c r="H50">
        <v>2</v>
      </c>
      <c r="I50">
        <v>1</v>
      </c>
      <c r="J50">
        <v>0.52469452627655766</v>
      </c>
      <c r="K50">
        <v>-0.35745457091789778</v>
      </c>
      <c r="L50">
        <v>22926055.985119969</v>
      </c>
      <c r="M50" t="s">
        <v>20</v>
      </c>
      <c r="N50" t="s">
        <v>69</v>
      </c>
      <c r="O50" t="s">
        <v>70</v>
      </c>
      <c r="P50">
        <v>753</v>
      </c>
      <c r="Q50">
        <v>631</v>
      </c>
      <c r="R50">
        <v>122</v>
      </c>
      <c r="S50" t="e">
        <f>#REF!/#REF!</f>
        <v>#REF!</v>
      </c>
    </row>
    <row r="51" spans="1:19" x14ac:dyDescent="0.3">
      <c r="A51" t="s">
        <v>1071</v>
      </c>
      <c r="B51">
        <v>2022</v>
      </c>
      <c r="C51">
        <v>3.1774111311421258</v>
      </c>
      <c r="D51">
        <v>279404.68216911767</v>
      </c>
      <c r="E51">
        <v>1</v>
      </c>
      <c r="F51">
        <v>69</v>
      </c>
      <c r="G51">
        <v>7.7271212307260001E-4</v>
      </c>
      <c r="H51">
        <v>2</v>
      </c>
      <c r="I51">
        <v>1</v>
      </c>
      <c r="J51">
        <v>0.48850007268854989</v>
      </c>
      <c r="K51">
        <v>-0.29279696649626569</v>
      </c>
      <c r="L51">
        <v>39464465.314002693</v>
      </c>
      <c r="M51" t="s">
        <v>830</v>
      </c>
      <c r="N51" t="s">
        <v>855</v>
      </c>
      <c r="O51" t="s">
        <v>856</v>
      </c>
      <c r="P51">
        <v>1646</v>
      </c>
      <c r="Q51">
        <v>1162</v>
      </c>
      <c r="R51">
        <v>484</v>
      </c>
      <c r="S51" t="e">
        <f>#REF!/#REF!</f>
        <v>#REF!</v>
      </c>
    </row>
    <row r="52" spans="1:19" x14ac:dyDescent="0.3">
      <c r="A52" t="s">
        <v>1072</v>
      </c>
      <c r="B52">
        <v>2022</v>
      </c>
      <c r="C52">
        <v>16.20674768559368</v>
      </c>
      <c r="D52">
        <v>8346688.0025122548</v>
      </c>
      <c r="E52">
        <v>44</v>
      </c>
      <c r="F52">
        <v>172</v>
      </c>
      <c r="G52">
        <v>6.7929774901809997E-4</v>
      </c>
      <c r="H52">
        <v>9</v>
      </c>
      <c r="I52">
        <v>2</v>
      </c>
      <c r="J52">
        <v>0.37214609895216288</v>
      </c>
      <c r="K52">
        <v>-0.3471412754620628</v>
      </c>
      <c r="L52">
        <v>21809586.081948452</v>
      </c>
      <c r="M52" t="s">
        <v>652</v>
      </c>
      <c r="N52" t="s">
        <v>803</v>
      </c>
      <c r="O52" t="s">
        <v>807</v>
      </c>
      <c r="P52">
        <v>5992</v>
      </c>
      <c r="Q52">
        <v>4333</v>
      </c>
      <c r="R52">
        <v>1659</v>
      </c>
      <c r="S52" t="e">
        <f>#REF!/#REF!</f>
        <v>#REF!</v>
      </c>
    </row>
    <row r="53" spans="1:19" x14ac:dyDescent="0.3">
      <c r="A53" t="s">
        <v>1073</v>
      </c>
      <c r="B53">
        <v>2022</v>
      </c>
      <c r="C53">
        <v>2.6956563962872462</v>
      </c>
      <c r="D53">
        <v>13903216.8848652</v>
      </c>
      <c r="E53">
        <v>31</v>
      </c>
      <c r="F53">
        <v>134</v>
      </c>
      <c r="G53">
        <v>6.7494618581450002E-4</v>
      </c>
      <c r="H53">
        <v>8</v>
      </c>
      <c r="I53">
        <v>0</v>
      </c>
      <c r="J53">
        <v>0.35691505065580681</v>
      </c>
      <c r="K53">
        <v>-0.37780571430538501</v>
      </c>
      <c r="L53">
        <v>28558624.408813369</v>
      </c>
      <c r="M53" t="s">
        <v>232</v>
      </c>
      <c r="N53" t="s">
        <v>233</v>
      </c>
      <c r="O53" t="s">
        <v>234</v>
      </c>
      <c r="P53">
        <v>2362</v>
      </c>
      <c r="Q53">
        <v>88</v>
      </c>
      <c r="R53">
        <v>2274</v>
      </c>
      <c r="S53" t="e">
        <f>#REF!/#REF!</f>
        <v>#REF!</v>
      </c>
    </row>
    <row r="54" spans="1:19" x14ac:dyDescent="0.3">
      <c r="A54" t="s">
        <v>1074</v>
      </c>
      <c r="B54">
        <v>2022</v>
      </c>
      <c r="C54">
        <v>16.27437639260344</v>
      </c>
      <c r="D54">
        <v>15875354.22567402</v>
      </c>
      <c r="E54">
        <v>25</v>
      </c>
      <c r="F54">
        <v>735</v>
      </c>
      <c r="G54">
        <v>3.2173385333760001E-4</v>
      </c>
      <c r="H54">
        <v>6</v>
      </c>
      <c r="I54">
        <v>8</v>
      </c>
      <c r="J54">
        <v>0.43475243464099028</v>
      </c>
      <c r="K54">
        <v>-0.3399416515745004</v>
      </c>
      <c r="L54">
        <v>55499928.2386408</v>
      </c>
      <c r="M54" t="s">
        <v>652</v>
      </c>
      <c r="N54" t="s">
        <v>772</v>
      </c>
      <c r="O54" t="s">
        <v>783</v>
      </c>
      <c r="P54">
        <v>20511</v>
      </c>
      <c r="Q54">
        <v>14760</v>
      </c>
      <c r="R54">
        <v>5751</v>
      </c>
      <c r="S54" t="e">
        <f>#REF!/#REF!</f>
        <v>#REF!</v>
      </c>
    </row>
    <row r="55" spans="1:19" x14ac:dyDescent="0.3">
      <c r="A55" t="s">
        <v>1075</v>
      </c>
      <c r="B55">
        <v>2022</v>
      </c>
      <c r="C55">
        <v>1.8110611227100379</v>
      </c>
      <c r="D55">
        <v>1628229.6936887249</v>
      </c>
      <c r="E55">
        <v>1</v>
      </c>
      <c r="F55">
        <v>268</v>
      </c>
      <c r="G55">
        <v>2.9999985443319999E-4</v>
      </c>
      <c r="H55">
        <v>13</v>
      </c>
      <c r="I55">
        <v>11</v>
      </c>
      <c r="J55">
        <v>0.64423469182263249</v>
      </c>
      <c r="K55">
        <v>-0.29705131923849259</v>
      </c>
      <c r="L55">
        <v>524983708.36451191</v>
      </c>
      <c r="M55" t="s">
        <v>922</v>
      </c>
      <c r="N55" t="s">
        <v>923</v>
      </c>
      <c r="O55" t="s">
        <v>926</v>
      </c>
      <c r="P55">
        <v>6666</v>
      </c>
      <c r="Q55">
        <v>1777</v>
      </c>
      <c r="R55">
        <v>4889</v>
      </c>
      <c r="S55" t="e">
        <f>#REF!/#REF!</f>
        <v>#REF!</v>
      </c>
    </row>
    <row r="56" spans="1:19" x14ac:dyDescent="0.3">
      <c r="A56" t="s">
        <v>1076</v>
      </c>
      <c r="B56">
        <v>2022</v>
      </c>
      <c r="C56">
        <v>7.524342140480444</v>
      </c>
      <c r="D56">
        <v>4357224.5248774486</v>
      </c>
      <c r="E56">
        <v>11</v>
      </c>
      <c r="F56">
        <v>224</v>
      </c>
      <c r="G56">
        <v>5.9356696333880002E-4</v>
      </c>
      <c r="H56">
        <v>5</v>
      </c>
      <c r="I56">
        <v>2</v>
      </c>
      <c r="J56">
        <v>0.48532678982976341</v>
      </c>
      <c r="K56">
        <v>-0.33556435689847769</v>
      </c>
      <c r="L56">
        <v>16309725.79654119</v>
      </c>
      <c r="M56" t="s">
        <v>20</v>
      </c>
      <c r="N56" t="s">
        <v>85</v>
      </c>
      <c r="O56" t="s">
        <v>85</v>
      </c>
      <c r="P56">
        <v>6814</v>
      </c>
      <c r="Q56">
        <v>5191</v>
      </c>
      <c r="R56">
        <v>1623</v>
      </c>
      <c r="S56" t="e">
        <f>#REF!/#REF!</f>
        <v>#REF!</v>
      </c>
    </row>
    <row r="57" spans="1:19" x14ac:dyDescent="0.3">
      <c r="A57" t="s">
        <v>1077</v>
      </c>
      <c r="B57">
        <v>2022</v>
      </c>
      <c r="C57">
        <v>1.937771826499372</v>
      </c>
      <c r="D57">
        <v>972054.97444852942</v>
      </c>
      <c r="E57">
        <v>1</v>
      </c>
      <c r="F57">
        <v>119</v>
      </c>
      <c r="G57">
        <v>3.1630224436683002E-3</v>
      </c>
      <c r="H57">
        <v>2</v>
      </c>
      <c r="I57">
        <v>2</v>
      </c>
      <c r="J57">
        <v>0.42193709503145782</v>
      </c>
      <c r="K57">
        <v>-0.25700682030100169</v>
      </c>
      <c r="L57">
        <v>60706964.176083647</v>
      </c>
      <c r="M57" t="s">
        <v>124</v>
      </c>
      <c r="N57" t="s">
        <v>149</v>
      </c>
      <c r="O57" t="s">
        <v>150</v>
      </c>
      <c r="P57">
        <v>4720</v>
      </c>
      <c r="Q57">
        <v>1674</v>
      </c>
      <c r="R57">
        <v>3046</v>
      </c>
      <c r="S57" t="e">
        <f>#REF!/#REF!</f>
        <v>#REF!</v>
      </c>
    </row>
    <row r="58" spans="1:19" x14ac:dyDescent="0.3">
      <c r="A58" t="s">
        <v>1078</v>
      </c>
      <c r="B58">
        <v>2022</v>
      </c>
      <c r="C58">
        <v>2.1829774485445701</v>
      </c>
      <c r="D58">
        <v>801035.21911764704</v>
      </c>
      <c r="E58">
        <v>1</v>
      </c>
      <c r="F58">
        <v>127</v>
      </c>
      <c r="G58">
        <v>1.2434542725492999E-3</v>
      </c>
      <c r="H58">
        <v>14</v>
      </c>
      <c r="I58">
        <v>0</v>
      </c>
      <c r="J58">
        <v>0.37103750273760427</v>
      </c>
      <c r="K58">
        <v>-8.7153646096833001E-3</v>
      </c>
      <c r="L58">
        <v>126541460.7839538</v>
      </c>
      <c r="M58" t="s">
        <v>287</v>
      </c>
      <c r="N58" t="s">
        <v>288</v>
      </c>
      <c r="O58" t="s">
        <v>289</v>
      </c>
      <c r="P58">
        <v>4483</v>
      </c>
      <c r="Q58">
        <v>1636</v>
      </c>
      <c r="R58">
        <v>2847</v>
      </c>
      <c r="S58" t="e">
        <f>#REF!/#REF!</f>
        <v>#REF!</v>
      </c>
    </row>
    <row r="59" spans="1:19" x14ac:dyDescent="0.3">
      <c r="A59" t="s">
        <v>1079</v>
      </c>
      <c r="B59">
        <v>2022</v>
      </c>
      <c r="C59">
        <v>21.03945169839794</v>
      </c>
      <c r="D59">
        <v>5069740.7517156862</v>
      </c>
      <c r="E59">
        <v>21</v>
      </c>
      <c r="F59">
        <v>408</v>
      </c>
      <c r="G59">
        <v>1.2607538541373E-3</v>
      </c>
      <c r="H59">
        <v>18</v>
      </c>
      <c r="I59">
        <v>6</v>
      </c>
      <c r="L59">
        <v>7517041.950958401</v>
      </c>
      <c r="M59" t="s">
        <v>652</v>
      </c>
      <c r="N59" t="s">
        <v>772</v>
      </c>
      <c r="O59" t="s">
        <v>785</v>
      </c>
      <c r="P59">
        <v>15109</v>
      </c>
      <c r="Q59">
        <v>11873</v>
      </c>
      <c r="R59">
        <v>3236</v>
      </c>
      <c r="S59" t="e">
        <f>#REF!/#REF!</f>
        <v>#REF!</v>
      </c>
    </row>
    <row r="60" spans="1:19" x14ac:dyDescent="0.3">
      <c r="A60" t="s">
        <v>1080</v>
      </c>
      <c r="B60">
        <v>2022</v>
      </c>
      <c r="C60">
        <v>1.8380273217293881</v>
      </c>
      <c r="D60">
        <v>12037907.272610299</v>
      </c>
      <c r="E60">
        <v>15</v>
      </c>
      <c r="F60">
        <v>211</v>
      </c>
      <c r="G60">
        <v>4.3413842105749999E-4</v>
      </c>
      <c r="H60">
        <v>15</v>
      </c>
      <c r="I60">
        <v>2</v>
      </c>
      <c r="J60">
        <v>0.41656331745510711</v>
      </c>
      <c r="K60">
        <v>-0.35403700848641623</v>
      </c>
      <c r="L60">
        <v>51663602.462946333</v>
      </c>
      <c r="M60" t="s">
        <v>232</v>
      </c>
      <c r="N60" t="s">
        <v>233</v>
      </c>
      <c r="O60" t="s">
        <v>241</v>
      </c>
      <c r="P60">
        <v>4681</v>
      </c>
      <c r="Q60">
        <v>1073</v>
      </c>
      <c r="R60">
        <v>3608</v>
      </c>
      <c r="S60" t="e">
        <f>#REF!/#REF!</f>
        <v>#REF!</v>
      </c>
    </row>
    <row r="61" spans="1:19" x14ac:dyDescent="0.3">
      <c r="A61" t="s">
        <v>1081</v>
      </c>
      <c r="B61">
        <v>2022</v>
      </c>
      <c r="C61">
        <v>8.8901720114801286</v>
      </c>
      <c r="D61">
        <v>1658933.4121936271</v>
      </c>
      <c r="E61">
        <v>34</v>
      </c>
      <c r="F61">
        <v>119</v>
      </c>
      <c r="G61">
        <v>3.6473429951690002E-3</v>
      </c>
      <c r="H61">
        <v>14</v>
      </c>
      <c r="I61">
        <v>1</v>
      </c>
      <c r="J61">
        <v>0.43474874669788288</v>
      </c>
      <c r="K61">
        <v>-0.27534471509713682</v>
      </c>
      <c r="L61">
        <v>5888177.7672750279</v>
      </c>
      <c r="M61" t="s">
        <v>830</v>
      </c>
      <c r="N61" t="s">
        <v>852</v>
      </c>
      <c r="O61" t="s">
        <v>853</v>
      </c>
      <c r="P61">
        <v>1440</v>
      </c>
      <c r="Q61">
        <v>838</v>
      </c>
      <c r="R61">
        <v>602</v>
      </c>
      <c r="S61" t="e">
        <f>#REF!/#REF!</f>
        <v>#REF!</v>
      </c>
    </row>
    <row r="62" spans="1:19" x14ac:dyDescent="0.3">
      <c r="A62" t="s">
        <v>1082</v>
      </c>
      <c r="B62">
        <v>2022</v>
      </c>
      <c r="C62">
        <v>4.664992863061129</v>
      </c>
      <c r="D62">
        <v>1499862.6087622549</v>
      </c>
      <c r="E62">
        <v>9</v>
      </c>
      <c r="F62">
        <v>134</v>
      </c>
      <c r="G62">
        <v>7.4256692128409996E-4</v>
      </c>
      <c r="H62">
        <v>1</v>
      </c>
      <c r="I62">
        <v>0</v>
      </c>
      <c r="J62">
        <v>0.44213004604061612</v>
      </c>
      <c r="K62">
        <v>-0.32532764320200719</v>
      </c>
      <c r="L62">
        <v>16993698.233887721</v>
      </c>
      <c r="M62" t="s">
        <v>20</v>
      </c>
      <c r="N62" t="s">
        <v>59</v>
      </c>
      <c r="O62" t="s">
        <v>64</v>
      </c>
      <c r="P62">
        <v>2805</v>
      </c>
      <c r="Q62">
        <v>1318</v>
      </c>
      <c r="R62">
        <v>1487</v>
      </c>
      <c r="S62" t="e">
        <f>#REF!/#REF!</f>
        <v>#REF!</v>
      </c>
    </row>
    <row r="63" spans="1:19" x14ac:dyDescent="0.3">
      <c r="A63" t="s">
        <v>1083</v>
      </c>
      <c r="B63">
        <v>2022</v>
      </c>
      <c r="C63">
        <v>1.13428381022041</v>
      </c>
      <c r="D63">
        <v>2178071.73927696</v>
      </c>
      <c r="E63">
        <v>1</v>
      </c>
      <c r="F63">
        <v>118</v>
      </c>
      <c r="G63">
        <v>1.0068113477630001E-3</v>
      </c>
      <c r="H63">
        <v>6</v>
      </c>
      <c r="I63">
        <v>0</v>
      </c>
      <c r="J63">
        <v>0.4955392544332205</v>
      </c>
      <c r="K63">
        <v>-0.23131489646164871</v>
      </c>
      <c r="L63">
        <v>200087314.0661132</v>
      </c>
      <c r="M63" t="s">
        <v>348</v>
      </c>
      <c r="N63" t="s">
        <v>357</v>
      </c>
      <c r="O63" t="s">
        <v>360</v>
      </c>
      <c r="P63">
        <v>9057</v>
      </c>
      <c r="Q63">
        <v>2513</v>
      </c>
      <c r="R63">
        <v>6544</v>
      </c>
      <c r="S63" t="e">
        <f>#REF!/#REF!</f>
        <v>#REF!</v>
      </c>
    </row>
    <row r="64" spans="1:19" x14ac:dyDescent="0.3">
      <c r="A64" t="s">
        <v>1084</v>
      </c>
      <c r="B64">
        <v>2022</v>
      </c>
      <c r="C64">
        <v>5.3450526925207544</v>
      </c>
      <c r="D64">
        <v>13783198.116176469</v>
      </c>
      <c r="E64">
        <v>24</v>
      </c>
      <c r="F64">
        <v>422</v>
      </c>
      <c r="G64">
        <v>1.7331415603009999E-4</v>
      </c>
      <c r="H64">
        <v>16</v>
      </c>
      <c r="I64">
        <v>4</v>
      </c>
      <c r="J64">
        <v>0.46749006142626942</v>
      </c>
      <c r="K64">
        <v>-0.31153563280068158</v>
      </c>
      <c r="L64">
        <v>52957550.689621747</v>
      </c>
      <c r="M64" t="s">
        <v>20</v>
      </c>
      <c r="N64" t="s">
        <v>59</v>
      </c>
      <c r="O64" t="s">
        <v>59</v>
      </c>
      <c r="P64">
        <v>11457</v>
      </c>
      <c r="Q64">
        <v>9310</v>
      </c>
      <c r="R64">
        <v>2147</v>
      </c>
      <c r="S64" t="e">
        <f>#REF!/#REF!</f>
        <v>#REF!</v>
      </c>
    </row>
    <row r="65" spans="1:19" x14ac:dyDescent="0.3">
      <c r="A65" t="s">
        <v>1085</v>
      </c>
      <c r="B65">
        <v>2022</v>
      </c>
      <c r="C65">
        <v>3.8280340129623771</v>
      </c>
      <c r="D65">
        <v>2726098.625</v>
      </c>
      <c r="E65">
        <v>2</v>
      </c>
      <c r="F65">
        <v>347</v>
      </c>
      <c r="G65">
        <v>1.529619752789E-4</v>
      </c>
      <c r="H65">
        <v>12</v>
      </c>
      <c r="I65">
        <v>5</v>
      </c>
      <c r="J65">
        <v>0.46668867928622793</v>
      </c>
      <c r="K65">
        <v>-0.29731541650500098</v>
      </c>
      <c r="L65">
        <v>119635384.90191451</v>
      </c>
      <c r="M65" t="s">
        <v>287</v>
      </c>
      <c r="N65" t="s">
        <v>319</v>
      </c>
      <c r="O65" t="s">
        <v>319</v>
      </c>
      <c r="P65">
        <v>20471</v>
      </c>
      <c r="Q65">
        <v>15192</v>
      </c>
      <c r="R65">
        <v>5279</v>
      </c>
      <c r="S65" t="e">
        <f>#REF!/#REF!</f>
        <v>#REF!</v>
      </c>
    </row>
    <row r="66" spans="1:19" x14ac:dyDescent="0.3">
      <c r="A66" t="s">
        <v>1086</v>
      </c>
      <c r="B66">
        <v>2022</v>
      </c>
      <c r="C66">
        <v>4.2263902481453641</v>
      </c>
      <c r="D66">
        <v>1678672.349142157</v>
      </c>
      <c r="E66">
        <v>4</v>
      </c>
      <c r="F66">
        <v>200</v>
      </c>
      <c r="G66">
        <v>2.7792971960189999E-4</v>
      </c>
      <c r="H66">
        <v>6</v>
      </c>
      <c r="I66">
        <v>1</v>
      </c>
      <c r="J66">
        <v>0.51991190906827611</v>
      </c>
      <c r="K66">
        <v>-0.316480949153156</v>
      </c>
      <c r="L66">
        <v>44956905.365974657</v>
      </c>
      <c r="M66" t="s">
        <v>20</v>
      </c>
      <c r="N66" t="s">
        <v>21</v>
      </c>
      <c r="O66" t="s">
        <v>35</v>
      </c>
      <c r="P66">
        <v>7027</v>
      </c>
      <c r="Q66">
        <v>3499</v>
      </c>
      <c r="R66">
        <v>3528</v>
      </c>
      <c r="S66" t="e">
        <f>#REF!/#REF!</f>
        <v>#REF!</v>
      </c>
    </row>
    <row r="67" spans="1:19" x14ac:dyDescent="0.3">
      <c r="A67" t="s">
        <v>1087</v>
      </c>
      <c r="B67">
        <v>2022</v>
      </c>
      <c r="C67">
        <v>3.8807149894439248</v>
      </c>
      <c r="D67">
        <v>17899607.348284312</v>
      </c>
      <c r="E67">
        <v>47</v>
      </c>
      <c r="F67">
        <v>345</v>
      </c>
      <c r="G67">
        <v>5.0951552548989996E-4</v>
      </c>
      <c r="H67">
        <v>17</v>
      </c>
      <c r="I67">
        <v>0</v>
      </c>
      <c r="J67">
        <v>0.3399872641340636</v>
      </c>
      <c r="K67">
        <v>-0.30980335829476591</v>
      </c>
      <c r="L67">
        <v>51864417.489446573</v>
      </c>
      <c r="M67" t="s">
        <v>232</v>
      </c>
      <c r="N67" t="s">
        <v>233</v>
      </c>
      <c r="O67" t="s">
        <v>235</v>
      </c>
      <c r="P67">
        <v>6223</v>
      </c>
      <c r="Q67">
        <v>3494</v>
      </c>
      <c r="R67">
        <v>2729</v>
      </c>
      <c r="S67" t="e">
        <f>#REF!/#REF!</f>
        <v>#REF!</v>
      </c>
    </row>
    <row r="68" spans="1:19" x14ac:dyDescent="0.3">
      <c r="A68" t="s">
        <v>1088</v>
      </c>
      <c r="B68">
        <v>2022</v>
      </c>
      <c r="C68">
        <v>1.3794936135199249</v>
      </c>
      <c r="D68">
        <v>304464.94485294109</v>
      </c>
      <c r="E68">
        <v>1</v>
      </c>
      <c r="F68">
        <v>70</v>
      </c>
      <c r="G68">
        <v>6.3550181205780003E-4</v>
      </c>
      <c r="H68">
        <v>7</v>
      </c>
      <c r="I68">
        <v>1</v>
      </c>
      <c r="J68">
        <v>0.56176586957751329</v>
      </c>
      <c r="K68">
        <v>-0.3435922251321793</v>
      </c>
      <c r="L68">
        <v>37101794.425209582</v>
      </c>
      <c r="M68" t="s">
        <v>20</v>
      </c>
      <c r="N68" t="s">
        <v>59</v>
      </c>
      <c r="O68" t="s">
        <v>66</v>
      </c>
      <c r="P68">
        <v>1779</v>
      </c>
      <c r="Q68">
        <v>870</v>
      </c>
      <c r="R68">
        <v>909</v>
      </c>
      <c r="S68" t="e">
        <f>#REF!/#REF!</f>
        <v>#REF!</v>
      </c>
    </row>
    <row r="69" spans="1:19" x14ac:dyDescent="0.3">
      <c r="A69" t="s">
        <v>1089</v>
      </c>
      <c r="B69">
        <v>2022</v>
      </c>
      <c r="C69">
        <v>0.71181916183131488</v>
      </c>
      <c r="D69">
        <v>743550.78125</v>
      </c>
      <c r="E69">
        <v>1</v>
      </c>
      <c r="F69">
        <v>46</v>
      </c>
      <c r="G69">
        <v>5.3589530669580004E-4</v>
      </c>
      <c r="H69">
        <v>1</v>
      </c>
      <c r="I69">
        <v>0</v>
      </c>
      <c r="J69">
        <v>0.42347821631387628</v>
      </c>
      <c r="K69">
        <v>-0.314663918537193</v>
      </c>
      <c r="L69">
        <v>54966380.527086079</v>
      </c>
      <c r="M69" t="s">
        <v>499</v>
      </c>
      <c r="N69" t="s">
        <v>557</v>
      </c>
      <c r="O69" t="s">
        <v>558</v>
      </c>
      <c r="P69">
        <v>2244</v>
      </c>
      <c r="Q69">
        <v>535</v>
      </c>
      <c r="R69">
        <v>1709</v>
      </c>
      <c r="S69" t="e">
        <f>#REF!/#REF!</f>
        <v>#REF!</v>
      </c>
    </row>
    <row r="70" spans="1:19" x14ac:dyDescent="0.3">
      <c r="A70" t="s">
        <v>1090</v>
      </c>
      <c r="B70">
        <v>2022</v>
      </c>
      <c r="C70">
        <v>11.97801969502507</v>
      </c>
      <c r="D70">
        <v>1778206.684375</v>
      </c>
      <c r="E70">
        <v>15</v>
      </c>
      <c r="F70">
        <v>188</v>
      </c>
      <c r="G70">
        <v>1.7209058086352E-3</v>
      </c>
      <c r="H70">
        <v>16</v>
      </c>
      <c r="I70">
        <v>2</v>
      </c>
      <c r="L70">
        <v>7573758.0401183376</v>
      </c>
      <c r="M70" t="s">
        <v>652</v>
      </c>
      <c r="N70" t="s">
        <v>772</v>
      </c>
      <c r="O70" t="s">
        <v>802</v>
      </c>
      <c r="P70">
        <v>6152</v>
      </c>
      <c r="Q70">
        <v>4283</v>
      </c>
      <c r="R70">
        <v>1869</v>
      </c>
      <c r="S70" t="e">
        <f>#REF!/#REF!</f>
        <v>#REF!</v>
      </c>
    </row>
    <row r="71" spans="1:19" x14ac:dyDescent="0.3">
      <c r="A71" t="s">
        <v>1091</v>
      </c>
      <c r="B71">
        <v>2022</v>
      </c>
      <c r="C71">
        <v>1.773645167859256</v>
      </c>
      <c r="D71">
        <v>1402290.059742647</v>
      </c>
      <c r="E71">
        <v>2</v>
      </c>
      <c r="F71">
        <v>187</v>
      </c>
      <c r="G71">
        <v>1.1926743791687E-3</v>
      </c>
      <c r="H71">
        <v>2</v>
      </c>
      <c r="I71">
        <v>1</v>
      </c>
      <c r="J71">
        <v>0.63175474703743739</v>
      </c>
      <c r="K71">
        <v>-0.29376067699525038</v>
      </c>
      <c r="L71">
        <v>57571718.290260427</v>
      </c>
      <c r="M71" t="s">
        <v>730</v>
      </c>
      <c r="N71" t="s">
        <v>743</v>
      </c>
      <c r="O71" t="s">
        <v>743</v>
      </c>
      <c r="P71">
        <v>5601</v>
      </c>
      <c r="Q71">
        <v>3972</v>
      </c>
      <c r="R71">
        <v>1629</v>
      </c>
      <c r="S71" t="e">
        <f>#REF!/#REF!</f>
        <v>#REF!</v>
      </c>
    </row>
    <row r="72" spans="1:19" x14ac:dyDescent="0.3">
      <c r="A72" t="s">
        <v>1092</v>
      </c>
      <c r="B72">
        <v>2022</v>
      </c>
      <c r="C72">
        <v>24.92380472323546</v>
      </c>
      <c r="D72">
        <v>8278236.9174019611</v>
      </c>
      <c r="E72">
        <v>36</v>
      </c>
      <c r="F72">
        <v>481</v>
      </c>
      <c r="G72">
        <v>6.0328579140010003E-4</v>
      </c>
      <c r="H72">
        <v>55</v>
      </c>
      <c r="I72">
        <v>6</v>
      </c>
      <c r="J72">
        <v>0.42507716582060961</v>
      </c>
      <c r="K72">
        <v>-0.34829741591522168</v>
      </c>
      <c r="L72">
        <v>13947128.15711464</v>
      </c>
      <c r="M72" t="s">
        <v>20</v>
      </c>
      <c r="N72" t="s">
        <v>21</v>
      </c>
      <c r="O72" t="s">
        <v>33</v>
      </c>
      <c r="P72">
        <v>26904</v>
      </c>
      <c r="Q72">
        <v>22262</v>
      </c>
      <c r="R72">
        <v>4642</v>
      </c>
      <c r="S72" t="e">
        <f>#REF!/#REF!</f>
        <v>#REF!</v>
      </c>
    </row>
    <row r="73" spans="1:19" x14ac:dyDescent="0.3">
      <c r="A73" t="s">
        <v>1093</v>
      </c>
      <c r="B73">
        <v>2022</v>
      </c>
      <c r="C73">
        <v>11.33138118092111</v>
      </c>
      <c r="D73">
        <v>4712280.7338235294</v>
      </c>
      <c r="E73">
        <v>12</v>
      </c>
      <c r="F73">
        <v>440</v>
      </c>
      <c r="G73">
        <v>9.0887631104060005E-4</v>
      </c>
      <c r="H73">
        <v>12</v>
      </c>
      <c r="I73">
        <v>2</v>
      </c>
      <c r="J73">
        <v>0.36677421549390671</v>
      </c>
      <c r="K73">
        <v>-0.30900122730846308</v>
      </c>
      <c r="L73">
        <v>29038548.332060698</v>
      </c>
      <c r="M73" t="s">
        <v>460</v>
      </c>
      <c r="N73" t="s">
        <v>461</v>
      </c>
      <c r="O73" t="s">
        <v>145</v>
      </c>
      <c r="P73">
        <v>21370</v>
      </c>
      <c r="Q73">
        <v>15810</v>
      </c>
      <c r="R73">
        <v>5560</v>
      </c>
      <c r="S73" t="e">
        <f>#REF!/#REF!</f>
        <v>#REF!</v>
      </c>
    </row>
    <row r="74" spans="1:19" x14ac:dyDescent="0.3">
      <c r="A74" t="s">
        <v>1094</v>
      </c>
      <c r="B74">
        <v>2022</v>
      </c>
      <c r="C74">
        <v>7.7933268777341027</v>
      </c>
      <c r="D74">
        <v>9746307.5666666664</v>
      </c>
      <c r="E74">
        <v>45</v>
      </c>
      <c r="F74">
        <v>453</v>
      </c>
      <c r="G74">
        <v>4.8520734390089998E-4</v>
      </c>
      <c r="H74">
        <v>13</v>
      </c>
      <c r="I74">
        <v>16</v>
      </c>
      <c r="J74">
        <v>0.41124509261419939</v>
      </c>
      <c r="K74">
        <v>-0.33110620103115651</v>
      </c>
      <c r="L74">
        <v>30647711.366911441</v>
      </c>
      <c r="M74" t="s">
        <v>124</v>
      </c>
      <c r="N74" t="s">
        <v>125</v>
      </c>
      <c r="O74" t="s">
        <v>128</v>
      </c>
      <c r="P74">
        <v>8591</v>
      </c>
      <c r="Q74">
        <v>5683</v>
      </c>
      <c r="R74">
        <v>2908</v>
      </c>
      <c r="S74" t="e">
        <f>#REF!/#REF!</f>
        <v>#REF!</v>
      </c>
    </row>
    <row r="75" spans="1:19" x14ac:dyDescent="0.3">
      <c r="A75" t="s">
        <v>1095</v>
      </c>
      <c r="B75">
        <v>2022</v>
      </c>
      <c r="C75">
        <v>6.2614296192203218</v>
      </c>
      <c r="D75">
        <v>1885100.8011642159</v>
      </c>
      <c r="E75">
        <v>18</v>
      </c>
      <c r="F75">
        <v>182</v>
      </c>
      <c r="G75">
        <v>7.2858479247700004E-4</v>
      </c>
      <c r="H75">
        <v>16</v>
      </c>
      <c r="I75">
        <v>8</v>
      </c>
      <c r="J75">
        <v>0.47098744195034131</v>
      </c>
      <c r="K75">
        <v>-0.34318467169652911</v>
      </c>
      <c r="L75">
        <v>26775142.877814028</v>
      </c>
      <c r="M75" t="s">
        <v>124</v>
      </c>
      <c r="N75" t="s">
        <v>125</v>
      </c>
      <c r="O75" t="s">
        <v>116</v>
      </c>
      <c r="P75">
        <v>3614</v>
      </c>
      <c r="Q75">
        <v>2288</v>
      </c>
      <c r="R75">
        <v>1326</v>
      </c>
      <c r="S75" t="e">
        <f>#REF!/#REF!</f>
        <v>#REF!</v>
      </c>
    </row>
    <row r="76" spans="1:19" x14ac:dyDescent="0.3">
      <c r="A76" t="s">
        <v>1096</v>
      </c>
      <c r="B76">
        <v>2022</v>
      </c>
      <c r="C76">
        <v>2.5425710294281152</v>
      </c>
      <c r="D76">
        <v>5032109.4267769596</v>
      </c>
      <c r="E76">
        <v>8</v>
      </c>
      <c r="F76">
        <v>283</v>
      </c>
      <c r="G76">
        <v>2.969537255878E-4</v>
      </c>
      <c r="H76">
        <v>31</v>
      </c>
      <c r="I76">
        <v>20</v>
      </c>
      <c r="J76">
        <v>0.60345829398304862</v>
      </c>
      <c r="K76">
        <v>-0.39150385152667538</v>
      </c>
      <c r="L76">
        <v>77597610.625594959</v>
      </c>
      <c r="M76" t="s">
        <v>124</v>
      </c>
      <c r="N76" t="s">
        <v>125</v>
      </c>
      <c r="O76" t="s">
        <v>127</v>
      </c>
      <c r="P76">
        <v>8921</v>
      </c>
      <c r="Q76">
        <v>6038</v>
      </c>
      <c r="R76">
        <v>2883</v>
      </c>
      <c r="S76" t="e">
        <f>#REF!/#REF!</f>
        <v>#REF!</v>
      </c>
    </row>
    <row r="77" spans="1:19" x14ac:dyDescent="0.3">
      <c r="A77" t="s">
        <v>1097</v>
      </c>
      <c r="B77">
        <v>2022</v>
      </c>
      <c r="C77">
        <v>2.506061999059563</v>
      </c>
      <c r="D77">
        <v>8043268.3742034314</v>
      </c>
      <c r="E77">
        <v>11</v>
      </c>
      <c r="F77">
        <v>614</v>
      </c>
      <c r="G77">
        <v>1.17935080834E-4</v>
      </c>
      <c r="H77">
        <v>9</v>
      </c>
      <c r="I77">
        <v>6</v>
      </c>
      <c r="J77">
        <v>0.38477928884031037</v>
      </c>
      <c r="K77">
        <v>-0.33186584145464421</v>
      </c>
      <c r="L77">
        <v>184759342.810873</v>
      </c>
      <c r="M77" t="s">
        <v>20</v>
      </c>
      <c r="N77" t="s">
        <v>71</v>
      </c>
      <c r="O77" t="s">
        <v>71</v>
      </c>
      <c r="P77">
        <v>10406</v>
      </c>
      <c r="Q77">
        <v>7891</v>
      </c>
      <c r="R77">
        <v>2515</v>
      </c>
      <c r="S77" t="e">
        <f>#REF!/#REF!</f>
        <v>#REF!</v>
      </c>
    </row>
    <row r="78" spans="1:19" x14ac:dyDescent="0.3">
      <c r="A78" t="s">
        <v>1098</v>
      </c>
      <c r="B78">
        <v>2022</v>
      </c>
      <c r="C78">
        <v>1.8523647941962511</v>
      </c>
      <c r="D78">
        <v>631992.45159313723</v>
      </c>
      <c r="E78">
        <v>3</v>
      </c>
      <c r="F78">
        <v>122</v>
      </c>
      <c r="G78">
        <v>4.2688082605540001E-4</v>
      </c>
      <c r="H78">
        <v>4</v>
      </c>
      <c r="I78">
        <v>3</v>
      </c>
      <c r="J78">
        <v>0.27356573577222082</v>
      </c>
      <c r="K78">
        <v>-0.24905465043005429</v>
      </c>
      <c r="L78">
        <v>42468218.748980649</v>
      </c>
      <c r="M78" t="s">
        <v>156</v>
      </c>
      <c r="N78" t="s">
        <v>97</v>
      </c>
      <c r="O78" t="s">
        <v>170</v>
      </c>
      <c r="P78">
        <v>2254</v>
      </c>
      <c r="Q78">
        <v>1350</v>
      </c>
      <c r="R78">
        <v>904</v>
      </c>
      <c r="S78" t="e">
        <f>#REF!/#REF!</f>
        <v>#REF!</v>
      </c>
    </row>
    <row r="79" spans="1:19" x14ac:dyDescent="0.3">
      <c r="A79" t="s">
        <v>1099</v>
      </c>
      <c r="B79">
        <v>2022</v>
      </c>
      <c r="C79">
        <v>5.4706115210228283</v>
      </c>
      <c r="D79">
        <v>2044691.788602941</v>
      </c>
      <c r="E79">
        <v>16</v>
      </c>
      <c r="F79">
        <v>167</v>
      </c>
      <c r="G79">
        <v>5.4239145322550002E-4</v>
      </c>
      <c r="H79">
        <v>9</v>
      </c>
      <c r="I79">
        <v>3</v>
      </c>
      <c r="J79">
        <v>0.37872808757584631</v>
      </c>
      <c r="K79">
        <v>-0.29678826700010708</v>
      </c>
      <c r="L79">
        <v>16514786.912249461</v>
      </c>
      <c r="M79" t="s">
        <v>191</v>
      </c>
      <c r="N79" t="s">
        <v>218</v>
      </c>
      <c r="O79" t="s">
        <v>223</v>
      </c>
      <c r="P79">
        <v>4075</v>
      </c>
      <c r="Q79">
        <v>2316</v>
      </c>
      <c r="R79">
        <v>1759</v>
      </c>
      <c r="S79" t="e">
        <f>#REF!/#REF!</f>
        <v>#REF!</v>
      </c>
    </row>
    <row r="80" spans="1:19" x14ac:dyDescent="0.3">
      <c r="A80" t="s">
        <v>1100</v>
      </c>
      <c r="B80">
        <v>2022</v>
      </c>
      <c r="C80">
        <v>5.1977843170390718</v>
      </c>
      <c r="D80">
        <v>4291615.9738970594</v>
      </c>
      <c r="E80">
        <v>16</v>
      </c>
      <c r="F80">
        <v>213</v>
      </c>
      <c r="G80">
        <v>7.0903608447530004E-4</v>
      </c>
      <c r="H80">
        <v>7</v>
      </c>
      <c r="I80">
        <v>6</v>
      </c>
      <c r="J80">
        <v>0.37956512929508468</v>
      </c>
      <c r="K80">
        <v>-0.3138385311741072</v>
      </c>
      <c r="L80">
        <v>45602953.826002978</v>
      </c>
      <c r="M80" t="s">
        <v>460</v>
      </c>
      <c r="N80" t="s">
        <v>473</v>
      </c>
      <c r="O80" t="s">
        <v>478</v>
      </c>
      <c r="P80">
        <v>8245</v>
      </c>
      <c r="Q80">
        <v>4760</v>
      </c>
      <c r="R80">
        <v>3485</v>
      </c>
      <c r="S80" t="e">
        <f>#REF!/#REF!</f>
        <v>#REF!</v>
      </c>
    </row>
    <row r="81" spans="1:19" x14ac:dyDescent="0.3">
      <c r="A81" t="s">
        <v>1101</v>
      </c>
      <c r="B81">
        <v>2022</v>
      </c>
      <c r="C81">
        <v>1.198583537667026</v>
      </c>
      <c r="D81">
        <v>545341.08719362749</v>
      </c>
      <c r="E81">
        <v>4</v>
      </c>
      <c r="F81">
        <v>92</v>
      </c>
      <c r="G81">
        <v>6.5103960445170002E-4</v>
      </c>
      <c r="H81">
        <v>8</v>
      </c>
      <c r="I81">
        <v>0</v>
      </c>
      <c r="J81">
        <v>0.42573785027943117</v>
      </c>
      <c r="K81">
        <v>-0.38869808603134809</v>
      </c>
      <c r="L81">
        <v>96702544.099731818</v>
      </c>
      <c r="M81" t="s">
        <v>499</v>
      </c>
      <c r="N81" t="s">
        <v>557</v>
      </c>
      <c r="O81" t="s">
        <v>559</v>
      </c>
      <c r="P81">
        <v>972</v>
      </c>
      <c r="Q81">
        <v>248</v>
      </c>
      <c r="R81">
        <v>724</v>
      </c>
      <c r="S81" t="e">
        <f>#REF!/#REF!</f>
        <v>#REF!</v>
      </c>
    </row>
    <row r="82" spans="1:19" x14ac:dyDescent="0.3">
      <c r="A82" t="s">
        <v>1102</v>
      </c>
      <c r="B82">
        <v>2022</v>
      </c>
      <c r="C82">
        <v>1.974968849809738</v>
      </c>
      <c r="D82">
        <v>397781.24528186268</v>
      </c>
      <c r="E82">
        <v>1</v>
      </c>
      <c r="F82">
        <v>98</v>
      </c>
      <c r="G82">
        <v>5.8169954243850002E-4</v>
      </c>
      <c r="H82">
        <v>2</v>
      </c>
      <c r="I82">
        <v>1</v>
      </c>
      <c r="J82">
        <v>0.53099509930457345</v>
      </c>
      <c r="K82">
        <v>-0.36002999509350569</v>
      </c>
      <c r="L82">
        <v>35774223.717953414</v>
      </c>
      <c r="M82" t="s">
        <v>20</v>
      </c>
      <c r="N82" t="s">
        <v>46</v>
      </c>
      <c r="O82" t="s">
        <v>51</v>
      </c>
      <c r="P82">
        <v>4696</v>
      </c>
      <c r="Q82">
        <v>1407</v>
      </c>
      <c r="R82">
        <v>3289</v>
      </c>
      <c r="S82" t="e">
        <f>#REF!/#REF!</f>
        <v>#REF!</v>
      </c>
    </row>
    <row r="83" spans="1:19" x14ac:dyDescent="0.3">
      <c r="A83" t="s">
        <v>1103</v>
      </c>
      <c r="B83">
        <v>2022</v>
      </c>
      <c r="C83">
        <v>0.91633534384636095</v>
      </c>
      <c r="D83">
        <v>998323.5321078432</v>
      </c>
      <c r="E83">
        <v>5</v>
      </c>
      <c r="F83">
        <v>95</v>
      </c>
      <c r="G83">
        <v>4.7269959540109999E-4</v>
      </c>
      <c r="H83">
        <v>9</v>
      </c>
      <c r="I83">
        <v>1</v>
      </c>
      <c r="J83">
        <v>0.49559679706844151</v>
      </c>
      <c r="K83">
        <v>-0.37373386001664022</v>
      </c>
      <c r="L83">
        <v>77699639.637299612</v>
      </c>
      <c r="M83" t="s">
        <v>499</v>
      </c>
      <c r="N83" t="s">
        <v>557</v>
      </c>
      <c r="O83" t="s">
        <v>562</v>
      </c>
      <c r="P83">
        <v>1110</v>
      </c>
      <c r="Q83">
        <v>211</v>
      </c>
      <c r="R83">
        <v>899</v>
      </c>
      <c r="S83" t="e">
        <f>#REF!/#REF!</f>
        <v>#REF!</v>
      </c>
    </row>
    <row r="84" spans="1:19" x14ac:dyDescent="0.3">
      <c r="A84" t="s">
        <v>1104</v>
      </c>
      <c r="B84">
        <v>2022</v>
      </c>
      <c r="C84">
        <v>0.99635045666023603</v>
      </c>
      <c r="D84">
        <v>3394763.1814338239</v>
      </c>
      <c r="E84">
        <v>1</v>
      </c>
      <c r="F84">
        <v>706</v>
      </c>
      <c r="G84">
        <v>3.333332845433E-4</v>
      </c>
      <c r="H84">
        <v>14</v>
      </c>
      <c r="I84">
        <v>1</v>
      </c>
      <c r="J84">
        <v>0.27747533540136049</v>
      </c>
      <c r="K84">
        <v>-0.27832672589689827</v>
      </c>
      <c r="L84">
        <v>771024593.17299366</v>
      </c>
      <c r="M84" t="s">
        <v>940</v>
      </c>
      <c r="N84" t="s">
        <v>940</v>
      </c>
      <c r="O84" t="s">
        <v>1005</v>
      </c>
      <c r="P84">
        <v>20544</v>
      </c>
      <c r="Q84">
        <v>10441</v>
      </c>
      <c r="R84">
        <v>10103</v>
      </c>
      <c r="S84" t="e">
        <f>#REF!/#REF!</f>
        <v>#REF!</v>
      </c>
    </row>
    <row r="85" spans="1:19" x14ac:dyDescent="0.3">
      <c r="A85" t="s">
        <v>1105</v>
      </c>
      <c r="B85">
        <v>2022</v>
      </c>
      <c r="C85">
        <v>4.1397454302914589</v>
      </c>
      <c r="D85">
        <v>10311875.14963235</v>
      </c>
      <c r="E85">
        <v>56</v>
      </c>
      <c r="F85">
        <v>111</v>
      </c>
      <c r="G85">
        <v>1.4038769693273999E-3</v>
      </c>
      <c r="H85">
        <v>6</v>
      </c>
      <c r="I85">
        <v>2</v>
      </c>
      <c r="J85">
        <v>0.34259315308809779</v>
      </c>
      <c r="K85">
        <v>-0.28198176463538371</v>
      </c>
      <c r="L85">
        <v>37882764.940535873</v>
      </c>
      <c r="M85" t="s">
        <v>652</v>
      </c>
      <c r="N85" t="s">
        <v>817</v>
      </c>
      <c r="O85" t="s">
        <v>466</v>
      </c>
      <c r="P85">
        <v>4689</v>
      </c>
      <c r="Q85">
        <v>3073</v>
      </c>
      <c r="R85">
        <v>1616</v>
      </c>
      <c r="S85" t="e">
        <f>#REF!/#REF!</f>
        <v>#REF!</v>
      </c>
    </row>
    <row r="86" spans="1:19" x14ac:dyDescent="0.3">
      <c r="A86" t="s">
        <v>1106</v>
      </c>
      <c r="B86">
        <v>2022</v>
      </c>
      <c r="C86">
        <v>5.8498380301395549</v>
      </c>
      <c r="D86">
        <v>308496.38909313717</v>
      </c>
      <c r="E86">
        <v>3</v>
      </c>
      <c r="F86">
        <v>111</v>
      </c>
      <c r="G86">
        <v>1.2398523985238999E-3</v>
      </c>
      <c r="H86">
        <v>9</v>
      </c>
      <c r="I86">
        <v>1</v>
      </c>
      <c r="J86">
        <v>0.4281247714109912</v>
      </c>
      <c r="K86">
        <v>-0.25537424631712902</v>
      </c>
      <c r="L86">
        <v>39127489.416809529</v>
      </c>
      <c r="M86" t="s">
        <v>406</v>
      </c>
      <c r="N86" t="s">
        <v>298</v>
      </c>
      <c r="O86" t="s">
        <v>427</v>
      </c>
      <c r="P86">
        <v>3761</v>
      </c>
      <c r="Q86">
        <v>1132</v>
      </c>
      <c r="R86">
        <v>2629</v>
      </c>
      <c r="S86" t="e">
        <f>#REF!/#REF!</f>
        <v>#REF!</v>
      </c>
    </row>
    <row r="87" spans="1:19" x14ac:dyDescent="0.3">
      <c r="A87" t="s">
        <v>1107</v>
      </c>
      <c r="B87">
        <v>2022</v>
      </c>
      <c r="C87">
        <v>6.398989844522907</v>
      </c>
      <c r="D87">
        <v>2828613.645833333</v>
      </c>
      <c r="E87">
        <v>34</v>
      </c>
      <c r="F87">
        <v>157</v>
      </c>
      <c r="G87">
        <v>3.4475609534059999E-4</v>
      </c>
      <c r="H87">
        <v>11</v>
      </c>
      <c r="I87">
        <v>0</v>
      </c>
      <c r="J87">
        <v>0.50887666948724053</v>
      </c>
      <c r="K87">
        <v>-0.32951166991253328</v>
      </c>
      <c r="L87">
        <v>24540674.514061991</v>
      </c>
      <c r="M87" t="s">
        <v>20</v>
      </c>
      <c r="N87" t="s">
        <v>59</v>
      </c>
      <c r="O87" t="s">
        <v>61</v>
      </c>
      <c r="P87">
        <v>3392</v>
      </c>
      <c r="Q87">
        <v>2030</v>
      </c>
      <c r="R87">
        <v>1362</v>
      </c>
      <c r="S87" t="e">
        <f>#REF!/#REF!</f>
        <v>#REF!</v>
      </c>
    </row>
    <row r="88" spans="1:19" x14ac:dyDescent="0.3">
      <c r="A88" t="s">
        <v>1108</v>
      </c>
      <c r="B88">
        <v>2022</v>
      </c>
      <c r="C88">
        <v>14.75400317620689</v>
      </c>
      <c r="D88">
        <v>9579240.8906862736</v>
      </c>
      <c r="E88">
        <v>25</v>
      </c>
      <c r="F88">
        <v>818</v>
      </c>
      <c r="G88">
        <v>5.3514228440339998E-4</v>
      </c>
      <c r="H88">
        <v>20</v>
      </c>
      <c r="I88">
        <v>3</v>
      </c>
      <c r="J88">
        <v>7.8912960264562501E-2</v>
      </c>
      <c r="K88">
        <v>-0.1462930698740095</v>
      </c>
      <c r="L88">
        <v>35695700.753802359</v>
      </c>
      <c r="M88" t="s">
        <v>940</v>
      </c>
      <c r="N88" t="s">
        <v>101</v>
      </c>
      <c r="O88" t="s">
        <v>1009</v>
      </c>
      <c r="P88">
        <v>36660</v>
      </c>
      <c r="Q88">
        <v>19498</v>
      </c>
      <c r="R88">
        <v>17162</v>
      </c>
      <c r="S88" t="e">
        <f>#REF!/#REF!</f>
        <v>#REF!</v>
      </c>
    </row>
    <row r="89" spans="1:19" x14ac:dyDescent="0.3">
      <c r="A89" t="s">
        <v>1109</v>
      </c>
      <c r="B89">
        <v>2022</v>
      </c>
      <c r="C89">
        <v>0.5900822306610588</v>
      </c>
      <c r="D89">
        <v>87643.080882352951</v>
      </c>
      <c r="E89">
        <v>2</v>
      </c>
      <c r="F89">
        <v>33</v>
      </c>
      <c r="G89">
        <v>3.1595576619273002E-3</v>
      </c>
      <c r="H89">
        <v>3</v>
      </c>
      <c r="I89">
        <v>0</v>
      </c>
      <c r="J89">
        <v>0.57633419595072399</v>
      </c>
      <c r="K89">
        <v>-0.21622021926962429</v>
      </c>
      <c r="L89">
        <v>243934452.9997668</v>
      </c>
      <c r="M89" t="s">
        <v>730</v>
      </c>
      <c r="N89" t="s">
        <v>743</v>
      </c>
      <c r="O89" t="s">
        <v>745</v>
      </c>
      <c r="P89">
        <v>174</v>
      </c>
      <c r="Q89">
        <v>65</v>
      </c>
      <c r="R89">
        <v>109</v>
      </c>
      <c r="S89" t="e">
        <f>#REF!/#REF!</f>
        <v>#REF!</v>
      </c>
    </row>
    <row r="90" spans="1:19" x14ac:dyDescent="0.3">
      <c r="A90" t="s">
        <v>1110</v>
      </c>
      <c r="B90">
        <v>2022</v>
      </c>
      <c r="C90">
        <v>19.156452340972571</v>
      </c>
      <c r="D90">
        <v>11986847.415073531</v>
      </c>
      <c r="E90">
        <v>84</v>
      </c>
      <c r="F90">
        <v>448</v>
      </c>
      <c r="G90">
        <v>4.112155178816E-4</v>
      </c>
      <c r="H90">
        <v>3</v>
      </c>
      <c r="I90">
        <v>12</v>
      </c>
      <c r="J90">
        <v>0.43904743302215621</v>
      </c>
      <c r="K90">
        <v>-0.32945363716600568</v>
      </c>
      <c r="L90">
        <v>75952661.447258249</v>
      </c>
      <c r="M90" t="s">
        <v>652</v>
      </c>
      <c r="N90" t="s">
        <v>772</v>
      </c>
      <c r="O90" t="s">
        <v>780</v>
      </c>
      <c r="P90">
        <v>18463</v>
      </c>
      <c r="Q90">
        <v>13594</v>
      </c>
      <c r="R90">
        <v>4869</v>
      </c>
      <c r="S90" t="e">
        <f>#REF!/#REF!</f>
        <v>#REF!</v>
      </c>
    </row>
    <row r="91" spans="1:19" x14ac:dyDescent="0.3">
      <c r="A91" t="s">
        <v>1111</v>
      </c>
      <c r="B91">
        <v>2022</v>
      </c>
      <c r="C91">
        <v>0.67686622750580949</v>
      </c>
      <c r="D91">
        <v>3483975.0509803919</v>
      </c>
      <c r="E91">
        <v>4</v>
      </c>
      <c r="F91">
        <v>191</v>
      </c>
      <c r="G91">
        <v>2.2256228674329999E-4</v>
      </c>
      <c r="H91">
        <v>6</v>
      </c>
      <c r="I91">
        <v>22</v>
      </c>
      <c r="J91">
        <v>0.39122663617682357</v>
      </c>
      <c r="K91">
        <v>-0.32431252166764862</v>
      </c>
      <c r="L91">
        <v>126041686.988334</v>
      </c>
      <c r="M91" t="s">
        <v>191</v>
      </c>
      <c r="N91" t="s">
        <v>211</v>
      </c>
      <c r="O91" t="s">
        <v>213</v>
      </c>
      <c r="P91">
        <v>4109</v>
      </c>
      <c r="Q91">
        <v>90</v>
      </c>
      <c r="R91">
        <v>4019</v>
      </c>
      <c r="S91" t="e">
        <f>#REF!/#REF!</f>
        <v>#REF!</v>
      </c>
    </row>
    <row r="92" spans="1:19" x14ac:dyDescent="0.3">
      <c r="A92" t="s">
        <v>1112</v>
      </c>
      <c r="B92">
        <v>2022</v>
      </c>
      <c r="C92">
        <v>1.686300076827207</v>
      </c>
      <c r="D92">
        <v>1020545.138357843</v>
      </c>
      <c r="E92">
        <v>5</v>
      </c>
      <c r="F92">
        <v>110</v>
      </c>
      <c r="G92">
        <v>2.0371303763440001E-3</v>
      </c>
      <c r="H92">
        <v>3</v>
      </c>
      <c r="I92">
        <v>1</v>
      </c>
      <c r="J92">
        <v>0.62299647973197592</v>
      </c>
      <c r="K92">
        <v>-0.30867113605722302</v>
      </c>
      <c r="L92">
        <v>89609156.909708321</v>
      </c>
      <c r="M92" t="s">
        <v>730</v>
      </c>
      <c r="N92" t="s">
        <v>748</v>
      </c>
      <c r="O92" t="s">
        <v>753</v>
      </c>
      <c r="P92">
        <v>2474</v>
      </c>
      <c r="Q92">
        <v>1267</v>
      </c>
      <c r="R92">
        <v>1207</v>
      </c>
      <c r="S92" t="e">
        <f>#REF!/#REF!</f>
        <v>#REF!</v>
      </c>
    </row>
    <row r="93" spans="1:19" x14ac:dyDescent="0.3">
      <c r="A93" t="s">
        <v>1113</v>
      </c>
      <c r="B93">
        <v>2022</v>
      </c>
      <c r="C93">
        <v>4.868919136958076</v>
      </c>
      <c r="D93">
        <v>293773.09754901961</v>
      </c>
      <c r="E93">
        <v>10</v>
      </c>
      <c r="F93">
        <v>56</v>
      </c>
      <c r="G93">
        <v>2.2675736961451001E-3</v>
      </c>
      <c r="H93">
        <v>7</v>
      </c>
      <c r="I93">
        <v>1</v>
      </c>
      <c r="J93">
        <v>0.59159662315331574</v>
      </c>
      <c r="K93">
        <v>-0.38290352857378851</v>
      </c>
      <c r="L93">
        <v>6535497.8823005669</v>
      </c>
      <c r="M93" t="s">
        <v>124</v>
      </c>
      <c r="N93" t="s">
        <v>133</v>
      </c>
      <c r="O93" t="s">
        <v>136</v>
      </c>
      <c r="P93">
        <v>1078</v>
      </c>
      <c r="Q93">
        <v>377</v>
      </c>
      <c r="R93">
        <v>701</v>
      </c>
      <c r="S93" t="e">
        <f>#REF!/#REF!</f>
        <v>#REF!</v>
      </c>
    </row>
    <row r="94" spans="1:19" x14ac:dyDescent="0.3">
      <c r="A94" t="s">
        <v>1114</v>
      </c>
      <c r="B94">
        <v>2022</v>
      </c>
      <c r="C94">
        <v>1.9317359860824941</v>
      </c>
      <c r="D94">
        <v>2461767.046629902</v>
      </c>
      <c r="E94">
        <v>6</v>
      </c>
      <c r="F94">
        <v>277</v>
      </c>
      <c r="G94">
        <v>5.0569141374140003E-4</v>
      </c>
      <c r="H94">
        <v>5</v>
      </c>
      <c r="I94">
        <v>4</v>
      </c>
      <c r="J94">
        <v>0.27079568191001352</v>
      </c>
      <c r="K94">
        <v>-0.2753936531540398</v>
      </c>
      <c r="L94">
        <v>125942443.6147677</v>
      </c>
      <c r="M94" t="s">
        <v>460</v>
      </c>
      <c r="N94" t="s">
        <v>461</v>
      </c>
      <c r="O94" t="s">
        <v>463</v>
      </c>
      <c r="P94">
        <v>6142</v>
      </c>
      <c r="Q94">
        <v>3892</v>
      </c>
      <c r="R94">
        <v>2250</v>
      </c>
      <c r="S94" t="e">
        <f>#REF!/#REF!</f>
        <v>#REF!</v>
      </c>
    </row>
    <row r="95" spans="1:19" x14ac:dyDescent="0.3">
      <c r="A95" t="s">
        <v>1115</v>
      </c>
      <c r="B95">
        <v>2022</v>
      </c>
      <c r="C95">
        <v>13.253881790482099</v>
      </c>
      <c r="D95">
        <v>5043379.8027573526</v>
      </c>
      <c r="E95">
        <v>19</v>
      </c>
      <c r="F95">
        <v>470</v>
      </c>
      <c r="G95">
        <v>1.1618957288997999E-3</v>
      </c>
      <c r="H95">
        <v>7</v>
      </c>
      <c r="I95">
        <v>8</v>
      </c>
      <c r="J95">
        <v>0.36783502878351271</v>
      </c>
      <c r="K95">
        <v>-0.32101547797176189</v>
      </c>
      <c r="L95">
        <v>22420950.076243792</v>
      </c>
      <c r="M95" t="s">
        <v>460</v>
      </c>
      <c r="N95" t="s">
        <v>468</v>
      </c>
      <c r="O95" t="s">
        <v>469</v>
      </c>
      <c r="P95">
        <v>28066</v>
      </c>
      <c r="Q95">
        <v>22981</v>
      </c>
      <c r="R95">
        <v>5085</v>
      </c>
      <c r="S95" t="e">
        <f>#REF!/#REF!</f>
        <v>#REF!</v>
      </c>
    </row>
    <row r="96" spans="1:19" x14ac:dyDescent="0.3">
      <c r="A96" t="s">
        <v>1116</v>
      </c>
      <c r="B96">
        <v>2022</v>
      </c>
      <c r="C96">
        <v>1.6774922327016599</v>
      </c>
      <c r="D96">
        <v>3215039.7272671568</v>
      </c>
      <c r="E96">
        <v>2</v>
      </c>
      <c r="F96">
        <v>335</v>
      </c>
      <c r="G96">
        <v>3.4091843064930002E-4</v>
      </c>
      <c r="H96">
        <v>9</v>
      </c>
      <c r="I96">
        <v>0</v>
      </c>
      <c r="J96">
        <v>0.44079350324722738</v>
      </c>
      <c r="K96">
        <v>-0.17115687084035761</v>
      </c>
      <c r="L96">
        <v>171144875.35615221</v>
      </c>
      <c r="M96" t="s">
        <v>586</v>
      </c>
      <c r="N96" t="s">
        <v>591</v>
      </c>
      <c r="O96" t="s">
        <v>591</v>
      </c>
      <c r="P96">
        <v>21564</v>
      </c>
      <c r="Q96">
        <v>5496</v>
      </c>
      <c r="R96">
        <v>16068</v>
      </c>
      <c r="S96" t="e">
        <f>#REF!/#REF!</f>
        <v>#REF!</v>
      </c>
    </row>
    <row r="97" spans="1:19" x14ac:dyDescent="0.3">
      <c r="A97" t="s">
        <v>1117</v>
      </c>
      <c r="B97">
        <v>2022</v>
      </c>
      <c r="C97">
        <v>0.88506223812493146</v>
      </c>
      <c r="D97">
        <v>938718.44454656879</v>
      </c>
      <c r="E97">
        <v>2</v>
      </c>
      <c r="F97">
        <v>150</v>
      </c>
      <c r="G97">
        <v>9.2561410321089996E-4</v>
      </c>
      <c r="H97">
        <v>2</v>
      </c>
      <c r="I97">
        <v>1</v>
      </c>
      <c r="J97">
        <v>0.42605113617997947</v>
      </c>
      <c r="K97">
        <v>-0.12741699018793939</v>
      </c>
      <c r="L97">
        <v>287341123.16906089</v>
      </c>
      <c r="M97" t="s">
        <v>674</v>
      </c>
      <c r="N97" t="s">
        <v>121</v>
      </c>
      <c r="O97" t="s">
        <v>702</v>
      </c>
      <c r="P97">
        <v>3358</v>
      </c>
      <c r="Q97">
        <v>1975</v>
      </c>
      <c r="R97">
        <v>1383</v>
      </c>
      <c r="S97" t="e">
        <f>#REF!/#REF!</f>
        <v>#REF!</v>
      </c>
    </row>
    <row r="98" spans="1:19" x14ac:dyDescent="0.3">
      <c r="A98" t="s">
        <v>1118</v>
      </c>
      <c r="B98">
        <v>2022</v>
      </c>
      <c r="C98">
        <v>0.84827329907151694</v>
      </c>
      <c r="D98">
        <v>495651.96875</v>
      </c>
      <c r="E98">
        <v>2</v>
      </c>
      <c r="F98">
        <v>64</v>
      </c>
      <c r="G98">
        <v>2.1579022468086002E-3</v>
      </c>
      <c r="H98">
        <v>5</v>
      </c>
      <c r="I98">
        <v>0</v>
      </c>
      <c r="J98">
        <v>0.57172475604231132</v>
      </c>
      <c r="K98">
        <v>-0.23065114904045131</v>
      </c>
      <c r="L98">
        <v>127403104.0982175</v>
      </c>
      <c r="M98" t="s">
        <v>874</v>
      </c>
      <c r="N98" t="s">
        <v>898</v>
      </c>
      <c r="O98" t="s">
        <v>900</v>
      </c>
      <c r="P98">
        <v>1724</v>
      </c>
      <c r="Q98">
        <v>768</v>
      </c>
      <c r="R98">
        <v>956</v>
      </c>
      <c r="S98" t="e">
        <f>#REF!/#REF!</f>
        <v>#REF!</v>
      </c>
    </row>
    <row r="99" spans="1:19" x14ac:dyDescent="0.3">
      <c r="A99" t="s">
        <v>1119</v>
      </c>
      <c r="B99">
        <v>2022</v>
      </c>
      <c r="C99">
        <v>6.9269461305052458</v>
      </c>
      <c r="D99">
        <v>2161899.6732230391</v>
      </c>
      <c r="E99">
        <v>24</v>
      </c>
      <c r="F99">
        <v>191</v>
      </c>
      <c r="G99">
        <v>2.739271465142E-4</v>
      </c>
      <c r="H99">
        <v>5</v>
      </c>
      <c r="I99">
        <v>6</v>
      </c>
      <c r="L99">
        <v>72666203.249821156</v>
      </c>
      <c r="M99" t="s">
        <v>652</v>
      </c>
      <c r="N99" t="s">
        <v>772</v>
      </c>
      <c r="O99" t="s">
        <v>796</v>
      </c>
      <c r="P99">
        <v>5152</v>
      </c>
      <c r="Q99">
        <v>3246</v>
      </c>
      <c r="R99">
        <v>1906</v>
      </c>
      <c r="S99" t="e">
        <f>#REF!/#REF!</f>
        <v>#REF!</v>
      </c>
    </row>
    <row r="100" spans="1:19" x14ac:dyDescent="0.3">
      <c r="A100" t="s">
        <v>1120</v>
      </c>
      <c r="B100">
        <v>2022</v>
      </c>
      <c r="C100">
        <v>11.251790366598501</v>
      </c>
      <c r="D100">
        <v>817035.22187500005</v>
      </c>
      <c r="E100">
        <v>11</v>
      </c>
      <c r="F100">
        <v>235</v>
      </c>
      <c r="G100">
        <v>2.020539620807E-3</v>
      </c>
      <c r="H100">
        <v>12</v>
      </c>
      <c r="I100">
        <v>4</v>
      </c>
      <c r="J100">
        <v>0.31932828937218161</v>
      </c>
      <c r="K100">
        <v>-0.25599928896283891</v>
      </c>
      <c r="L100">
        <v>10131644.96673909</v>
      </c>
      <c r="M100" t="s">
        <v>460</v>
      </c>
      <c r="N100" t="s">
        <v>481</v>
      </c>
      <c r="O100" t="s">
        <v>482</v>
      </c>
      <c r="P100">
        <v>6913</v>
      </c>
      <c r="Q100">
        <v>3583</v>
      </c>
      <c r="R100">
        <v>3330</v>
      </c>
      <c r="S100" t="e">
        <f>#REF!/#REF!</f>
        <v>#REF!</v>
      </c>
    </row>
    <row r="101" spans="1:19" x14ac:dyDescent="0.3">
      <c r="A101" t="s">
        <v>1121</v>
      </c>
      <c r="B101">
        <v>2022</v>
      </c>
      <c r="C101">
        <v>5.1461571910546704</v>
      </c>
      <c r="D101">
        <v>3204864.0896446081</v>
      </c>
      <c r="E101">
        <v>12</v>
      </c>
      <c r="F101">
        <v>282</v>
      </c>
      <c r="G101">
        <v>5.1561326863279998E-4</v>
      </c>
      <c r="H101">
        <v>3</v>
      </c>
      <c r="I101">
        <v>6</v>
      </c>
      <c r="J101">
        <v>0.4428699353274933</v>
      </c>
      <c r="K101">
        <v>-0.31951883693370742</v>
      </c>
      <c r="L101">
        <v>87698890.641658172</v>
      </c>
      <c r="M101" t="s">
        <v>652</v>
      </c>
      <c r="N101" t="s">
        <v>772</v>
      </c>
      <c r="O101" t="s">
        <v>25</v>
      </c>
      <c r="P101">
        <v>11455</v>
      </c>
      <c r="Q101">
        <v>8172</v>
      </c>
      <c r="R101">
        <v>3283</v>
      </c>
      <c r="S101" t="e">
        <f>#REF!/#REF!</f>
        <v>#REF!</v>
      </c>
    </row>
    <row r="102" spans="1:19" x14ac:dyDescent="0.3">
      <c r="A102" t="s">
        <v>1122</v>
      </c>
      <c r="B102">
        <v>2022</v>
      </c>
      <c r="C102">
        <v>4.2850521600282372</v>
      </c>
      <c r="D102">
        <v>10981029.82696078</v>
      </c>
      <c r="E102">
        <v>23</v>
      </c>
      <c r="F102">
        <v>449</v>
      </c>
      <c r="G102">
        <v>3.1135892236039999E-4</v>
      </c>
      <c r="H102">
        <v>13</v>
      </c>
      <c r="I102">
        <v>2</v>
      </c>
      <c r="J102">
        <v>0.48165275022585308</v>
      </c>
      <c r="K102">
        <v>-0.39138211025852893</v>
      </c>
      <c r="L102">
        <v>76187341.005297109</v>
      </c>
      <c r="M102" t="s">
        <v>124</v>
      </c>
      <c r="N102" t="s">
        <v>124</v>
      </c>
      <c r="O102" t="s">
        <v>124</v>
      </c>
      <c r="P102">
        <v>17183</v>
      </c>
      <c r="Q102">
        <v>13086</v>
      </c>
      <c r="R102">
        <v>4097</v>
      </c>
      <c r="S102" t="e">
        <f>#REF!/#REF!</f>
        <v>#REF!</v>
      </c>
    </row>
    <row r="103" spans="1:19" x14ac:dyDescent="0.3">
      <c r="A103" t="s">
        <v>1123</v>
      </c>
      <c r="B103">
        <v>2022</v>
      </c>
      <c r="C103">
        <v>1.6818590420920601</v>
      </c>
      <c r="D103">
        <v>1489862.375</v>
      </c>
      <c r="E103">
        <v>2</v>
      </c>
      <c r="F103">
        <v>215</v>
      </c>
      <c r="G103">
        <v>3.033126349267E-4</v>
      </c>
      <c r="H103">
        <v>9</v>
      </c>
      <c r="I103">
        <v>5</v>
      </c>
      <c r="J103">
        <v>0.44338108859278458</v>
      </c>
      <c r="K103">
        <v>-0.27764700203818538</v>
      </c>
      <c r="L103">
        <v>92605695.418687493</v>
      </c>
      <c r="M103" t="s">
        <v>156</v>
      </c>
      <c r="N103" t="s">
        <v>157</v>
      </c>
      <c r="O103" t="s">
        <v>159</v>
      </c>
      <c r="P103">
        <v>10593</v>
      </c>
      <c r="Q103">
        <v>5294</v>
      </c>
      <c r="R103">
        <v>5299</v>
      </c>
      <c r="S103" t="e">
        <f>#REF!/#REF!</f>
        <v>#REF!</v>
      </c>
    </row>
    <row r="104" spans="1:19" x14ac:dyDescent="0.3">
      <c r="A104" t="s">
        <v>1124</v>
      </c>
      <c r="B104">
        <v>2022</v>
      </c>
      <c r="C104">
        <v>0.50291289718250587</v>
      </c>
      <c r="D104">
        <v>496629.59375</v>
      </c>
      <c r="E104">
        <v>5</v>
      </c>
      <c r="F104">
        <v>4</v>
      </c>
      <c r="G104">
        <v>0.125</v>
      </c>
      <c r="H104">
        <v>1</v>
      </c>
      <c r="I104">
        <v>1</v>
      </c>
      <c r="J104">
        <v>0.5745326195490531</v>
      </c>
      <c r="K104">
        <v>-0.18243151171734781</v>
      </c>
      <c r="L104">
        <v>849485573.50067782</v>
      </c>
      <c r="M104" t="s">
        <v>959</v>
      </c>
      <c r="N104" t="s">
        <v>971</v>
      </c>
      <c r="O104" t="s">
        <v>976</v>
      </c>
      <c r="P104">
        <v>422</v>
      </c>
      <c r="Q104">
        <v>61</v>
      </c>
      <c r="R104">
        <v>361</v>
      </c>
      <c r="S104" t="e">
        <f>#REF!/#REF!</f>
        <v>#REF!</v>
      </c>
    </row>
    <row r="105" spans="1:19" x14ac:dyDescent="0.3">
      <c r="A105" t="s">
        <v>1125</v>
      </c>
      <c r="B105">
        <v>2022</v>
      </c>
      <c r="C105">
        <v>0.75207390119943873</v>
      </c>
      <c r="D105">
        <v>495559.765625</v>
      </c>
      <c r="E105">
        <v>2</v>
      </c>
      <c r="F105">
        <v>80</v>
      </c>
      <c r="G105">
        <v>3.8475271782420002E-4</v>
      </c>
      <c r="H105">
        <v>2</v>
      </c>
      <c r="I105">
        <v>3</v>
      </c>
      <c r="J105">
        <v>0.46659628600702918</v>
      </c>
      <c r="K105">
        <v>-0.3160939301082491</v>
      </c>
      <c r="L105">
        <v>108628251.6965344</v>
      </c>
      <c r="M105" t="s">
        <v>499</v>
      </c>
      <c r="N105" t="s">
        <v>499</v>
      </c>
      <c r="O105" t="s">
        <v>502</v>
      </c>
      <c r="P105">
        <v>1622</v>
      </c>
      <c r="Q105">
        <v>752</v>
      </c>
      <c r="R105">
        <v>870</v>
      </c>
      <c r="S105" t="e">
        <f>#REF!/#REF!</f>
        <v>#REF!</v>
      </c>
    </row>
    <row r="106" spans="1:19" x14ac:dyDescent="0.3">
      <c r="A106" t="s">
        <v>1126</v>
      </c>
      <c r="B106">
        <v>2022</v>
      </c>
      <c r="C106">
        <v>7.8459288258120568</v>
      </c>
      <c r="D106">
        <v>1127218.9616421571</v>
      </c>
      <c r="E106">
        <v>13</v>
      </c>
      <c r="F106">
        <v>145</v>
      </c>
      <c r="G106">
        <v>8.2532986741809999E-4</v>
      </c>
      <c r="H106">
        <v>5</v>
      </c>
      <c r="I106">
        <v>3</v>
      </c>
      <c r="J106">
        <v>0.33199848778111613</v>
      </c>
      <c r="K106">
        <v>-0.37055919278718358</v>
      </c>
      <c r="L106">
        <v>14674615.99576026</v>
      </c>
      <c r="M106" t="s">
        <v>97</v>
      </c>
      <c r="N106" t="s">
        <v>109</v>
      </c>
      <c r="O106" t="s">
        <v>110</v>
      </c>
      <c r="P106">
        <v>6015</v>
      </c>
      <c r="Q106">
        <v>4202</v>
      </c>
      <c r="R106">
        <v>1813</v>
      </c>
      <c r="S106" t="e">
        <f>#REF!/#REF!</f>
        <v>#REF!</v>
      </c>
    </row>
    <row r="107" spans="1:19" x14ac:dyDescent="0.3">
      <c r="A107" t="s">
        <v>1127</v>
      </c>
      <c r="B107">
        <v>2022</v>
      </c>
      <c r="C107">
        <v>1.513541682245368</v>
      </c>
      <c r="D107">
        <v>1058946.872794118</v>
      </c>
      <c r="E107">
        <v>5</v>
      </c>
      <c r="F107">
        <v>204</v>
      </c>
      <c r="G107">
        <v>3.8563569065520003E-4</v>
      </c>
      <c r="H107">
        <v>9</v>
      </c>
      <c r="I107">
        <v>6</v>
      </c>
      <c r="J107">
        <v>0.56346866500773662</v>
      </c>
      <c r="K107">
        <v>-0.37764555240408959</v>
      </c>
      <c r="L107">
        <v>120213890.75005411</v>
      </c>
      <c r="M107" t="s">
        <v>20</v>
      </c>
      <c r="N107" t="s">
        <v>69</v>
      </c>
      <c r="O107" t="s">
        <v>69</v>
      </c>
      <c r="P107">
        <v>2985</v>
      </c>
      <c r="Q107">
        <v>1936</v>
      </c>
      <c r="R107">
        <v>1049</v>
      </c>
      <c r="S107" t="e">
        <f>#REF!/#REF!</f>
        <v>#REF!</v>
      </c>
    </row>
    <row r="108" spans="1:19" x14ac:dyDescent="0.3">
      <c r="A108" t="s">
        <v>1128</v>
      </c>
      <c r="B108">
        <v>2022</v>
      </c>
      <c r="C108">
        <v>3.392128393306304</v>
      </c>
      <c r="D108">
        <v>3722206.15625</v>
      </c>
      <c r="E108">
        <v>12</v>
      </c>
      <c r="F108">
        <v>324</v>
      </c>
      <c r="G108">
        <v>3.1539558858259997E-4</v>
      </c>
      <c r="H108">
        <v>6</v>
      </c>
      <c r="I108">
        <v>0</v>
      </c>
      <c r="J108">
        <v>0.38605692295537852</v>
      </c>
      <c r="K108">
        <v>-0.31486935064806371</v>
      </c>
      <c r="L108">
        <v>53092715.861168183</v>
      </c>
      <c r="M108" t="s">
        <v>232</v>
      </c>
      <c r="N108" t="s">
        <v>244</v>
      </c>
      <c r="O108" t="s">
        <v>244</v>
      </c>
      <c r="P108">
        <v>10102</v>
      </c>
      <c r="Q108">
        <v>5735</v>
      </c>
      <c r="R108">
        <v>4367</v>
      </c>
      <c r="S108" t="e">
        <f>#REF!/#REF!</f>
        <v>#REF!</v>
      </c>
    </row>
    <row r="109" spans="1:19" x14ac:dyDescent="0.3">
      <c r="A109" t="s">
        <v>1129</v>
      </c>
      <c r="B109">
        <v>2022</v>
      </c>
      <c r="C109">
        <v>4.940534233041614</v>
      </c>
      <c r="D109">
        <v>7335642.8530024504</v>
      </c>
      <c r="E109">
        <v>30</v>
      </c>
      <c r="F109">
        <v>482</v>
      </c>
      <c r="G109">
        <v>2.3460252176889999E-4</v>
      </c>
      <c r="H109">
        <v>29</v>
      </c>
      <c r="I109">
        <v>6</v>
      </c>
      <c r="J109">
        <v>0.60615276227752479</v>
      </c>
      <c r="K109">
        <v>-0.38383428697768929</v>
      </c>
      <c r="L109">
        <v>59946403.568803944</v>
      </c>
      <c r="M109" t="s">
        <v>124</v>
      </c>
      <c r="N109" t="s">
        <v>133</v>
      </c>
      <c r="O109" t="s">
        <v>133</v>
      </c>
      <c r="P109">
        <v>12375</v>
      </c>
      <c r="Q109">
        <v>7825</v>
      </c>
      <c r="R109">
        <v>4550</v>
      </c>
      <c r="S109" t="e">
        <f>#REF!/#REF!</f>
        <v>#REF!</v>
      </c>
    </row>
    <row r="110" spans="1:19" x14ac:dyDescent="0.3">
      <c r="A110" t="s">
        <v>1130</v>
      </c>
      <c r="B110">
        <v>2022</v>
      </c>
      <c r="C110">
        <v>2.289243369595058</v>
      </c>
      <c r="D110">
        <v>578704.2323529413</v>
      </c>
      <c r="E110">
        <v>10</v>
      </c>
      <c r="F110">
        <v>64</v>
      </c>
      <c r="G110">
        <v>1.1737007928538999E-3</v>
      </c>
      <c r="H110">
        <v>10</v>
      </c>
      <c r="I110">
        <v>0</v>
      </c>
      <c r="J110">
        <v>0.47487280010798488</v>
      </c>
      <c r="K110">
        <v>-0.262574750730868</v>
      </c>
      <c r="L110">
        <v>30609471.61896506</v>
      </c>
      <c r="M110" t="s">
        <v>20</v>
      </c>
      <c r="N110" t="s">
        <v>46</v>
      </c>
      <c r="O110" t="s">
        <v>50</v>
      </c>
      <c r="P110">
        <v>1380</v>
      </c>
      <c r="Q110">
        <v>804</v>
      </c>
      <c r="R110">
        <v>576</v>
      </c>
      <c r="S110" t="e">
        <f>#REF!/#REF!</f>
        <v>#REF!</v>
      </c>
    </row>
    <row r="111" spans="1:19" x14ac:dyDescent="0.3">
      <c r="A111" t="s">
        <v>1131</v>
      </c>
      <c r="B111">
        <v>2022</v>
      </c>
      <c r="C111">
        <v>1.8011395138739821</v>
      </c>
      <c r="D111">
        <v>993268.703125</v>
      </c>
      <c r="E111">
        <v>8</v>
      </c>
      <c r="F111">
        <v>116</v>
      </c>
      <c r="G111">
        <v>1.1090211447543001E-3</v>
      </c>
      <c r="H111">
        <v>7</v>
      </c>
      <c r="I111">
        <v>3</v>
      </c>
      <c r="J111">
        <v>0.39225901006081831</v>
      </c>
      <c r="K111">
        <v>-0.31136607229491231</v>
      </c>
      <c r="L111">
        <v>76562607.72302264</v>
      </c>
      <c r="M111" t="s">
        <v>460</v>
      </c>
      <c r="N111" t="s">
        <v>461</v>
      </c>
      <c r="O111" t="s">
        <v>101</v>
      </c>
      <c r="P111">
        <v>2367</v>
      </c>
      <c r="Q111">
        <v>1686</v>
      </c>
      <c r="R111">
        <v>681</v>
      </c>
      <c r="S111" t="e">
        <f>#REF!/#REF!</f>
        <v>#REF!</v>
      </c>
    </row>
    <row r="112" spans="1:19" x14ac:dyDescent="0.3">
      <c r="A112" t="s">
        <v>1132</v>
      </c>
      <c r="B112">
        <v>2022</v>
      </c>
      <c r="C112">
        <v>8.252692561950397</v>
      </c>
      <c r="D112">
        <v>3971155.265625</v>
      </c>
      <c r="E112">
        <v>16</v>
      </c>
      <c r="F112">
        <v>254</v>
      </c>
      <c r="G112">
        <v>7.8807479275860002E-4</v>
      </c>
      <c r="H112">
        <v>8</v>
      </c>
      <c r="I112">
        <v>2</v>
      </c>
      <c r="J112">
        <v>0.26713928432720069</v>
      </c>
      <c r="K112">
        <v>-0.25312834911869148</v>
      </c>
      <c r="L112">
        <v>71846739.981580824</v>
      </c>
      <c r="M112" t="s">
        <v>406</v>
      </c>
      <c r="N112" t="s">
        <v>454</v>
      </c>
      <c r="O112" t="s">
        <v>454</v>
      </c>
      <c r="P112">
        <v>22188</v>
      </c>
      <c r="Q112">
        <v>9267</v>
      </c>
      <c r="R112">
        <v>12921</v>
      </c>
      <c r="S112" t="e">
        <f>#REF!/#REF!</f>
        <v>#REF!</v>
      </c>
    </row>
    <row r="113" spans="1:19" x14ac:dyDescent="0.3">
      <c r="A113" t="s">
        <v>1133</v>
      </c>
      <c r="B113">
        <v>2022</v>
      </c>
      <c r="C113">
        <v>5.9200283946735563</v>
      </c>
      <c r="D113">
        <v>248325.625</v>
      </c>
      <c r="E113">
        <v>6</v>
      </c>
      <c r="F113">
        <v>86</v>
      </c>
      <c r="G113">
        <v>1.0548400803866E-3</v>
      </c>
      <c r="H113">
        <v>8</v>
      </c>
      <c r="I113">
        <v>0</v>
      </c>
      <c r="J113">
        <v>0.66123948269754418</v>
      </c>
      <c r="K113">
        <v>-0.29532344794277299</v>
      </c>
      <c r="L113">
        <v>498796479.2906372</v>
      </c>
      <c r="M113" t="s">
        <v>922</v>
      </c>
      <c r="N113" t="s">
        <v>935</v>
      </c>
      <c r="O113" t="s">
        <v>941</v>
      </c>
      <c r="P113">
        <v>2667</v>
      </c>
      <c r="Q113">
        <v>307</v>
      </c>
      <c r="R113">
        <v>2360</v>
      </c>
      <c r="S113" t="e">
        <f>#REF!/#REF!</f>
        <v>#REF!</v>
      </c>
    </row>
    <row r="114" spans="1:19" x14ac:dyDescent="0.3">
      <c r="A114" t="s">
        <v>1134</v>
      </c>
      <c r="B114">
        <v>2022</v>
      </c>
      <c r="C114">
        <v>26.025714569778401</v>
      </c>
      <c r="D114">
        <v>5711429.796875</v>
      </c>
      <c r="E114">
        <v>64</v>
      </c>
      <c r="F114">
        <v>711</v>
      </c>
      <c r="G114">
        <v>5.8843930341020002E-4</v>
      </c>
      <c r="H114">
        <v>13</v>
      </c>
      <c r="I114">
        <v>9</v>
      </c>
      <c r="J114">
        <v>0.55820738834784522</v>
      </c>
      <c r="K114">
        <v>-0.2927019614786715</v>
      </c>
      <c r="L114">
        <v>191325549.84620291</v>
      </c>
      <c r="M114" t="s">
        <v>959</v>
      </c>
      <c r="N114" t="s">
        <v>977</v>
      </c>
      <c r="O114" t="s">
        <v>977</v>
      </c>
      <c r="P114">
        <v>25968</v>
      </c>
      <c r="Q114">
        <v>8323</v>
      </c>
      <c r="R114">
        <v>17645</v>
      </c>
      <c r="S114" t="e">
        <f>#REF!/#REF!</f>
        <v>#REF!</v>
      </c>
    </row>
    <row r="115" spans="1:19" x14ac:dyDescent="0.3">
      <c r="A115" t="s">
        <v>1135</v>
      </c>
      <c r="B115">
        <v>2022</v>
      </c>
      <c r="C115">
        <v>0.75816464102605263</v>
      </c>
      <c r="D115">
        <v>1241338.640625</v>
      </c>
      <c r="E115">
        <v>3</v>
      </c>
      <c r="F115">
        <v>170</v>
      </c>
      <c r="G115">
        <v>8.851557848114E-4</v>
      </c>
      <c r="H115">
        <v>3</v>
      </c>
      <c r="I115">
        <v>5</v>
      </c>
      <c r="J115">
        <v>0.70830227269726398</v>
      </c>
      <c r="K115">
        <v>-0.30441436734359961</v>
      </c>
      <c r="L115">
        <v>243443063.40325409</v>
      </c>
      <c r="M115" t="s">
        <v>756</v>
      </c>
      <c r="N115" t="s">
        <v>769</v>
      </c>
      <c r="O115" t="s">
        <v>769</v>
      </c>
      <c r="P115">
        <v>3642</v>
      </c>
      <c r="Q115">
        <v>1898</v>
      </c>
      <c r="R115">
        <v>1744</v>
      </c>
      <c r="S115" t="e">
        <f>#REF!/#REF!</f>
        <v>#REF!</v>
      </c>
    </row>
    <row r="116" spans="1:19" x14ac:dyDescent="0.3">
      <c r="A116" t="s">
        <v>1136</v>
      </c>
      <c r="B116">
        <v>2022</v>
      </c>
      <c r="C116">
        <v>27.94598435340972</v>
      </c>
      <c r="D116">
        <v>13991572.75116422</v>
      </c>
      <c r="E116">
        <v>132</v>
      </c>
      <c r="F116">
        <v>793</v>
      </c>
      <c r="G116">
        <v>9.4865080774009995E-4</v>
      </c>
      <c r="H116">
        <v>6</v>
      </c>
      <c r="I116">
        <v>8</v>
      </c>
      <c r="J116">
        <v>1.8730404506421501E-2</v>
      </c>
      <c r="K116">
        <v>-8.1028648066845996E-2</v>
      </c>
      <c r="L116">
        <v>17124925.87614895</v>
      </c>
      <c r="M116" t="s">
        <v>940</v>
      </c>
      <c r="N116" t="s">
        <v>101</v>
      </c>
      <c r="O116" t="s">
        <v>101</v>
      </c>
      <c r="P116">
        <v>35048</v>
      </c>
      <c r="Q116">
        <v>22347</v>
      </c>
      <c r="R116">
        <v>12701</v>
      </c>
      <c r="S116" t="e">
        <f>#REF!/#REF!</f>
        <v>#REF!</v>
      </c>
    </row>
    <row r="117" spans="1:19" x14ac:dyDescent="0.3">
      <c r="A117" t="s">
        <v>1137</v>
      </c>
      <c r="B117">
        <v>2022</v>
      </c>
      <c r="C117">
        <v>0.67432476881311454</v>
      </c>
      <c r="D117">
        <v>495756.34375</v>
      </c>
      <c r="E117">
        <v>2</v>
      </c>
      <c r="F117">
        <v>96</v>
      </c>
      <c r="G117">
        <v>3.2288586952700001E-4</v>
      </c>
      <c r="H117">
        <v>4</v>
      </c>
      <c r="I117">
        <v>0</v>
      </c>
      <c r="J117">
        <v>0.48481438333079407</v>
      </c>
      <c r="K117">
        <v>-0.33276776411048409</v>
      </c>
      <c r="L117">
        <v>181284461.5066494</v>
      </c>
      <c r="M117" t="s">
        <v>499</v>
      </c>
      <c r="N117" t="s">
        <v>557</v>
      </c>
      <c r="O117" t="s">
        <v>561</v>
      </c>
      <c r="P117">
        <v>2142</v>
      </c>
      <c r="Q117">
        <v>635</v>
      </c>
      <c r="R117">
        <v>1507</v>
      </c>
      <c r="S117" t="e">
        <f>#REF!/#REF!</f>
        <v>#REF!</v>
      </c>
    </row>
    <row r="118" spans="1:19" x14ac:dyDescent="0.3">
      <c r="A118" t="s">
        <v>1138</v>
      </c>
      <c r="B118">
        <v>2022</v>
      </c>
      <c r="C118">
        <v>0.97951838026564297</v>
      </c>
      <c r="D118">
        <v>52529.12205882353</v>
      </c>
      <c r="E118">
        <v>1</v>
      </c>
      <c r="F118">
        <v>53</v>
      </c>
      <c r="G118">
        <v>1.6233174516389001E-3</v>
      </c>
      <c r="H118">
        <v>3</v>
      </c>
      <c r="I118">
        <v>0</v>
      </c>
      <c r="J118">
        <v>0.48513553862093989</v>
      </c>
      <c r="K118">
        <v>-0.1461597836932983</v>
      </c>
      <c r="L118">
        <v>101112437.51520351</v>
      </c>
      <c r="M118" t="s">
        <v>674</v>
      </c>
      <c r="N118" t="s">
        <v>121</v>
      </c>
      <c r="O118" t="s">
        <v>704</v>
      </c>
      <c r="P118">
        <v>663</v>
      </c>
      <c r="Q118">
        <v>227</v>
      </c>
      <c r="R118">
        <v>436</v>
      </c>
      <c r="S118" t="e">
        <f>#REF!/#REF!</f>
        <v>#REF!</v>
      </c>
    </row>
    <row r="119" spans="1:19" x14ac:dyDescent="0.3">
      <c r="A119" t="s">
        <v>1139</v>
      </c>
      <c r="B119">
        <v>2022</v>
      </c>
      <c r="C119">
        <v>4.9497679313269778</v>
      </c>
      <c r="D119">
        <v>1401251.1904411761</v>
      </c>
      <c r="E119">
        <v>5</v>
      </c>
      <c r="F119">
        <v>303</v>
      </c>
      <c r="G119">
        <v>9.2579962028789997E-4</v>
      </c>
      <c r="H119">
        <v>11</v>
      </c>
      <c r="I119">
        <v>1</v>
      </c>
      <c r="J119">
        <v>0.4035942438975661</v>
      </c>
      <c r="K119">
        <v>-0.2285852572900825</v>
      </c>
      <c r="L119">
        <v>51738962.560907677</v>
      </c>
      <c r="M119" t="s">
        <v>406</v>
      </c>
      <c r="N119" t="s">
        <v>446</v>
      </c>
      <c r="O119" t="s">
        <v>449</v>
      </c>
      <c r="P119">
        <v>18180</v>
      </c>
      <c r="Q119">
        <v>8924</v>
      </c>
      <c r="R119">
        <v>9256</v>
      </c>
      <c r="S119" t="e">
        <f>#REF!/#REF!</f>
        <v>#REF!</v>
      </c>
    </row>
    <row r="120" spans="1:19" x14ac:dyDescent="0.3">
      <c r="A120" t="s">
        <v>1140</v>
      </c>
      <c r="B120">
        <v>2022</v>
      </c>
      <c r="C120">
        <v>2.314787993473375</v>
      </c>
      <c r="D120">
        <v>437553.3703431373</v>
      </c>
      <c r="E120">
        <v>5</v>
      </c>
      <c r="F120">
        <v>231</v>
      </c>
      <c r="G120">
        <v>3.1452961642929999E-4</v>
      </c>
      <c r="H120">
        <v>2</v>
      </c>
      <c r="I120">
        <v>0</v>
      </c>
      <c r="J120">
        <v>0.56760496365746149</v>
      </c>
      <c r="K120">
        <v>-0.36885299309645048</v>
      </c>
      <c r="L120">
        <v>53500496.612351149</v>
      </c>
      <c r="M120" t="s">
        <v>20</v>
      </c>
      <c r="N120" t="s">
        <v>43</v>
      </c>
      <c r="O120" t="s">
        <v>44</v>
      </c>
      <c r="P120">
        <v>2681</v>
      </c>
      <c r="Q120">
        <v>1969</v>
      </c>
      <c r="R120">
        <v>712</v>
      </c>
      <c r="S120" t="e">
        <f>#REF!/#REF!</f>
        <v>#REF!</v>
      </c>
    </row>
    <row r="121" spans="1:19" x14ac:dyDescent="0.3">
      <c r="A121" t="s">
        <v>1141</v>
      </c>
      <c r="B121">
        <v>2022</v>
      </c>
      <c r="C121">
        <v>1.9377961798011041</v>
      </c>
      <c r="D121">
        <v>2731433.3125</v>
      </c>
      <c r="E121">
        <v>10</v>
      </c>
      <c r="F121">
        <v>255</v>
      </c>
      <c r="G121">
        <v>5.5095602719229997E-4</v>
      </c>
      <c r="H121">
        <v>17</v>
      </c>
      <c r="I121">
        <v>6</v>
      </c>
      <c r="J121">
        <v>0.50236264812664044</v>
      </c>
      <c r="K121">
        <v>-0.37796099608390299</v>
      </c>
      <c r="L121">
        <v>114236110.3673362</v>
      </c>
      <c r="M121" t="s">
        <v>156</v>
      </c>
      <c r="N121" t="s">
        <v>172</v>
      </c>
      <c r="O121" t="s">
        <v>173</v>
      </c>
      <c r="P121">
        <v>7075</v>
      </c>
      <c r="Q121">
        <v>4809</v>
      </c>
      <c r="R121">
        <v>2266</v>
      </c>
      <c r="S121" t="e">
        <f>#REF!/#REF!</f>
        <v>#REF!</v>
      </c>
    </row>
    <row r="122" spans="1:19" x14ac:dyDescent="0.3">
      <c r="A122" t="s">
        <v>1142</v>
      </c>
      <c r="B122">
        <v>2022</v>
      </c>
      <c r="C122">
        <v>3.6546354223391928</v>
      </c>
      <c r="D122">
        <v>1228527.481801471</v>
      </c>
      <c r="E122">
        <v>25</v>
      </c>
      <c r="F122">
        <v>116</v>
      </c>
      <c r="G122">
        <v>8.1765577855520005E-4</v>
      </c>
      <c r="H122">
        <v>14</v>
      </c>
      <c r="I122">
        <v>1</v>
      </c>
      <c r="J122">
        <v>0.60277123857967296</v>
      </c>
      <c r="K122">
        <v>-0.37586560578324257</v>
      </c>
      <c r="L122">
        <v>20940358.185414221</v>
      </c>
      <c r="M122" t="s">
        <v>20</v>
      </c>
      <c r="N122" t="s">
        <v>21</v>
      </c>
      <c r="O122" t="s">
        <v>30</v>
      </c>
      <c r="P122">
        <v>2516</v>
      </c>
      <c r="Q122">
        <v>1552</v>
      </c>
      <c r="R122">
        <v>964</v>
      </c>
      <c r="S122" t="e">
        <f>#REF!/#REF!</f>
        <v>#REF!</v>
      </c>
    </row>
    <row r="123" spans="1:19" x14ac:dyDescent="0.3">
      <c r="A123" t="s">
        <v>1143</v>
      </c>
      <c r="B123">
        <v>2022</v>
      </c>
      <c r="C123">
        <v>20.46628784731033</v>
      </c>
      <c r="D123">
        <v>2742297.7333333329</v>
      </c>
      <c r="E123">
        <v>205</v>
      </c>
      <c r="F123">
        <v>420</v>
      </c>
      <c r="G123">
        <v>7.3721653627289996E-4</v>
      </c>
      <c r="H123">
        <v>7</v>
      </c>
      <c r="I123">
        <v>6</v>
      </c>
      <c r="L123">
        <v>25376239.79687769</v>
      </c>
      <c r="M123" t="s">
        <v>652</v>
      </c>
      <c r="N123" t="s">
        <v>772</v>
      </c>
      <c r="O123" t="s">
        <v>799</v>
      </c>
      <c r="P123">
        <v>3846</v>
      </c>
      <c r="Q123">
        <v>2983</v>
      </c>
      <c r="R123">
        <v>863</v>
      </c>
      <c r="S123" t="e">
        <f>#REF!/#REF!</f>
        <v>#REF!</v>
      </c>
    </row>
    <row r="124" spans="1:19" x14ac:dyDescent="0.3">
      <c r="A124" t="s">
        <v>1144</v>
      </c>
      <c r="B124">
        <v>2022</v>
      </c>
      <c r="C124">
        <v>1.04434447909058</v>
      </c>
      <c r="D124">
        <v>337792.17126225488</v>
      </c>
      <c r="E124">
        <v>2</v>
      </c>
      <c r="F124">
        <v>89</v>
      </c>
      <c r="G124">
        <v>5.0876134663259995E-4</v>
      </c>
      <c r="H124">
        <v>4</v>
      </c>
      <c r="I124">
        <v>13</v>
      </c>
      <c r="J124">
        <v>0.49880531535199779</v>
      </c>
      <c r="K124">
        <v>-0.308134154999607</v>
      </c>
      <c r="L124">
        <v>83279343.071894914</v>
      </c>
      <c r="M124" t="s">
        <v>97</v>
      </c>
      <c r="N124" t="s">
        <v>98</v>
      </c>
      <c r="O124" t="s">
        <v>100</v>
      </c>
      <c r="P124">
        <v>2527</v>
      </c>
      <c r="Q124">
        <v>143</v>
      </c>
      <c r="R124">
        <v>2384</v>
      </c>
      <c r="S124" t="e">
        <f>#REF!/#REF!</f>
        <v>#REF!</v>
      </c>
    </row>
    <row r="125" spans="1:19" x14ac:dyDescent="0.3">
      <c r="A125" t="s">
        <v>1145</v>
      </c>
      <c r="B125">
        <v>2022</v>
      </c>
      <c r="C125">
        <v>3.477368556894048</v>
      </c>
      <c r="D125">
        <v>67187.868933823527</v>
      </c>
      <c r="E125">
        <v>2</v>
      </c>
      <c r="F125">
        <v>58</v>
      </c>
      <c r="G125">
        <v>1.0712153518122999E-3</v>
      </c>
      <c r="H125">
        <v>7</v>
      </c>
      <c r="I125">
        <v>1</v>
      </c>
      <c r="J125">
        <v>0.41863521490544298</v>
      </c>
      <c r="K125">
        <v>-0.29327576903822727</v>
      </c>
      <c r="L125">
        <v>39918328.212049998</v>
      </c>
      <c r="M125" t="s">
        <v>156</v>
      </c>
      <c r="N125" t="s">
        <v>157</v>
      </c>
      <c r="O125" t="s">
        <v>164</v>
      </c>
      <c r="P125">
        <v>1769</v>
      </c>
      <c r="Q125">
        <v>578</v>
      </c>
      <c r="R125">
        <v>1191</v>
      </c>
      <c r="S125" t="e">
        <f>#REF!/#REF!</f>
        <v>#REF!</v>
      </c>
    </row>
    <row r="126" spans="1:19" x14ac:dyDescent="0.3">
      <c r="A126" t="s">
        <v>1146</v>
      </c>
      <c r="B126">
        <v>2022</v>
      </c>
      <c r="C126">
        <v>1.8049903721932219</v>
      </c>
      <c r="D126">
        <v>1982727.3794117649</v>
      </c>
      <c r="E126">
        <v>20</v>
      </c>
      <c r="F126">
        <v>82</v>
      </c>
      <c r="G126">
        <v>8.8731109748230001E-4</v>
      </c>
      <c r="H126">
        <v>11</v>
      </c>
      <c r="I126">
        <v>0</v>
      </c>
      <c r="J126">
        <v>0.39386403052026059</v>
      </c>
      <c r="K126">
        <v>-0.33582294529331169</v>
      </c>
      <c r="L126">
        <v>44526706.593909927</v>
      </c>
      <c r="M126" t="s">
        <v>232</v>
      </c>
      <c r="N126" t="s">
        <v>233</v>
      </c>
      <c r="O126" t="s">
        <v>237</v>
      </c>
      <c r="P126">
        <v>2731</v>
      </c>
      <c r="Q126">
        <v>126</v>
      </c>
      <c r="R126">
        <v>2605</v>
      </c>
      <c r="S126" t="e">
        <f>#REF!/#REF!</f>
        <v>#REF!</v>
      </c>
    </row>
    <row r="127" spans="1:19" x14ac:dyDescent="0.3">
      <c r="A127" t="s">
        <v>1147</v>
      </c>
      <c r="B127">
        <v>2022</v>
      </c>
      <c r="C127">
        <v>1.783463090798568</v>
      </c>
      <c r="D127">
        <v>34029732.617034309</v>
      </c>
      <c r="E127">
        <v>65</v>
      </c>
      <c r="F127">
        <v>578</v>
      </c>
      <c r="G127">
        <v>1.5126698804930001E-4</v>
      </c>
      <c r="H127">
        <v>22</v>
      </c>
      <c r="I127">
        <v>0</v>
      </c>
      <c r="J127">
        <v>0.45249074495450492</v>
      </c>
      <c r="K127">
        <v>-0.38408934049433319</v>
      </c>
      <c r="L127">
        <v>219885547.920333</v>
      </c>
      <c r="M127" t="s">
        <v>232</v>
      </c>
      <c r="N127" t="s">
        <v>254</v>
      </c>
      <c r="O127" t="s">
        <v>255</v>
      </c>
      <c r="P127">
        <v>14387</v>
      </c>
      <c r="Q127">
        <v>4606</v>
      </c>
      <c r="R127">
        <v>9781</v>
      </c>
      <c r="S127" t="e">
        <f>#REF!/#REF!</f>
        <v>#REF!</v>
      </c>
    </row>
    <row r="128" spans="1:19" x14ac:dyDescent="0.3">
      <c r="A128" t="s">
        <v>1148</v>
      </c>
      <c r="B128">
        <v>2022</v>
      </c>
      <c r="C128">
        <v>1.3483665033950101</v>
      </c>
      <c r="D128">
        <v>3698736.2879901961</v>
      </c>
      <c r="E128">
        <v>2</v>
      </c>
      <c r="F128">
        <v>416</v>
      </c>
      <c r="G128">
        <v>2.4350915609369999E-4</v>
      </c>
      <c r="H128">
        <v>8</v>
      </c>
      <c r="I128">
        <v>20</v>
      </c>
      <c r="J128">
        <v>0.30014298465672851</v>
      </c>
      <c r="K128">
        <v>-0.3106947232176801</v>
      </c>
      <c r="L128">
        <v>520179189.54845822</v>
      </c>
      <c r="M128" t="s">
        <v>406</v>
      </c>
      <c r="N128" t="s">
        <v>436</v>
      </c>
      <c r="O128" t="s">
        <v>436</v>
      </c>
      <c r="P128">
        <v>38306</v>
      </c>
      <c r="Q128">
        <v>12653</v>
      </c>
      <c r="R128">
        <v>25653</v>
      </c>
      <c r="S128" t="e">
        <f>#REF!/#REF!</f>
        <v>#REF!</v>
      </c>
    </row>
    <row r="129" spans="1:19" x14ac:dyDescent="0.3">
      <c r="A129" t="s">
        <v>1149</v>
      </c>
      <c r="B129">
        <v>2022</v>
      </c>
      <c r="C129">
        <v>1.630928719253526</v>
      </c>
      <c r="D129">
        <v>1665232.7466299019</v>
      </c>
      <c r="E129">
        <v>5</v>
      </c>
      <c r="F129">
        <v>220</v>
      </c>
      <c r="G129">
        <v>2.8591239951850003E-4</v>
      </c>
      <c r="H129">
        <v>11</v>
      </c>
      <c r="I129">
        <v>2</v>
      </c>
      <c r="J129">
        <v>0.4316533138167471</v>
      </c>
      <c r="K129">
        <v>-0.30520507124718987</v>
      </c>
      <c r="L129">
        <v>165127451.38143101</v>
      </c>
      <c r="M129" t="s">
        <v>460</v>
      </c>
      <c r="N129" t="s">
        <v>481</v>
      </c>
      <c r="O129" t="s">
        <v>486</v>
      </c>
      <c r="P129">
        <v>8435</v>
      </c>
      <c r="Q129">
        <v>2897</v>
      </c>
      <c r="R129">
        <v>5538</v>
      </c>
      <c r="S129" t="e">
        <f>#REF!/#REF!</f>
        <v>#REF!</v>
      </c>
    </row>
    <row r="130" spans="1:19" x14ac:dyDescent="0.3">
      <c r="A130" t="s">
        <v>1150</v>
      </c>
      <c r="B130">
        <v>2022</v>
      </c>
      <c r="C130">
        <v>5.6376269247302968</v>
      </c>
      <c r="D130">
        <v>1489090.03125</v>
      </c>
      <c r="E130">
        <v>8</v>
      </c>
      <c r="F130">
        <v>338</v>
      </c>
      <c r="G130">
        <v>9.913233213143999E-4</v>
      </c>
      <c r="H130">
        <v>21</v>
      </c>
      <c r="I130">
        <v>1</v>
      </c>
      <c r="J130">
        <v>0.50814735358045748</v>
      </c>
      <c r="K130">
        <v>-0.14519401713746991</v>
      </c>
      <c r="L130">
        <v>93161981.380779594</v>
      </c>
      <c r="M130" t="s">
        <v>406</v>
      </c>
      <c r="N130" t="s">
        <v>439</v>
      </c>
      <c r="O130" t="s">
        <v>440</v>
      </c>
      <c r="P130">
        <v>16686</v>
      </c>
      <c r="Q130">
        <v>6143</v>
      </c>
      <c r="R130">
        <v>10543</v>
      </c>
      <c r="S130" t="e">
        <f>#REF!/#REF!</f>
        <v>#REF!</v>
      </c>
    </row>
    <row r="131" spans="1:19" x14ac:dyDescent="0.3">
      <c r="A131" t="s">
        <v>1151</v>
      </c>
      <c r="B131">
        <v>2022</v>
      </c>
      <c r="C131">
        <v>7.2104669413260796</v>
      </c>
      <c r="D131">
        <v>14405479.776899509</v>
      </c>
      <c r="E131">
        <v>85</v>
      </c>
      <c r="F131">
        <v>504</v>
      </c>
      <c r="G131">
        <v>5.2319836414829995E-4</v>
      </c>
      <c r="H131">
        <v>15</v>
      </c>
      <c r="I131">
        <v>0</v>
      </c>
      <c r="J131">
        <v>0.38323304439784828</v>
      </c>
      <c r="K131">
        <v>-0.28658242088687208</v>
      </c>
      <c r="L131">
        <v>29871441.9154393</v>
      </c>
      <c r="M131" t="s">
        <v>232</v>
      </c>
      <c r="N131" t="s">
        <v>233</v>
      </c>
      <c r="O131" t="s">
        <v>243</v>
      </c>
      <c r="P131">
        <v>19061</v>
      </c>
      <c r="Q131">
        <v>10119</v>
      </c>
      <c r="R131">
        <v>8942</v>
      </c>
      <c r="S131" t="e">
        <f>#REF!/#REF!</f>
        <v>#REF!</v>
      </c>
    </row>
    <row r="132" spans="1:19" x14ac:dyDescent="0.3">
      <c r="A132" t="s">
        <v>1152</v>
      </c>
      <c r="B132">
        <v>2022</v>
      </c>
      <c r="C132">
        <v>3.510164948065047</v>
      </c>
      <c r="D132">
        <v>1986492.921875</v>
      </c>
      <c r="E132">
        <v>18</v>
      </c>
      <c r="F132">
        <v>179</v>
      </c>
      <c r="G132">
        <v>5.2643389412090002E-4</v>
      </c>
      <c r="H132">
        <v>6</v>
      </c>
      <c r="I132">
        <v>5</v>
      </c>
      <c r="J132">
        <v>0.43064723663116838</v>
      </c>
      <c r="K132">
        <v>-0.26217216758432882</v>
      </c>
      <c r="L132">
        <v>43251462.597660869</v>
      </c>
      <c r="M132" t="s">
        <v>156</v>
      </c>
      <c r="N132" t="s">
        <v>188</v>
      </c>
      <c r="O132" t="s">
        <v>189</v>
      </c>
      <c r="P132">
        <v>6391</v>
      </c>
      <c r="Q132">
        <v>4599</v>
      </c>
      <c r="R132">
        <v>1792</v>
      </c>
      <c r="S132" t="e">
        <f>#REF!/#REF!</f>
        <v>#REF!</v>
      </c>
    </row>
    <row r="133" spans="1:19" x14ac:dyDescent="0.3">
      <c r="A133" t="s">
        <v>1153</v>
      </c>
      <c r="B133">
        <v>2022</v>
      </c>
      <c r="C133">
        <v>7.6194333908433736</v>
      </c>
      <c r="D133">
        <v>6121937.6761642164</v>
      </c>
      <c r="E133">
        <v>296</v>
      </c>
      <c r="F133">
        <v>101</v>
      </c>
      <c r="G133">
        <v>9.7177608041919999E-4</v>
      </c>
      <c r="H133">
        <v>13</v>
      </c>
      <c r="I133">
        <v>1</v>
      </c>
      <c r="J133">
        <v>0.41806354889764558</v>
      </c>
      <c r="K133">
        <v>-0.33285216640189458</v>
      </c>
      <c r="L133">
        <v>11615794.32999501</v>
      </c>
      <c r="M133" t="s">
        <v>830</v>
      </c>
      <c r="N133" t="s">
        <v>857</v>
      </c>
      <c r="O133" t="s">
        <v>425</v>
      </c>
      <c r="P133">
        <v>2674</v>
      </c>
      <c r="Q133">
        <v>551</v>
      </c>
      <c r="R133">
        <v>2123</v>
      </c>
      <c r="S133" t="e">
        <f>#REF!/#REF!</f>
        <v>#REF!</v>
      </c>
    </row>
    <row r="134" spans="1:19" x14ac:dyDescent="0.3">
      <c r="A134" t="s">
        <v>1154</v>
      </c>
      <c r="B134">
        <v>2022</v>
      </c>
      <c r="C134">
        <v>47.165561070140363</v>
      </c>
      <c r="D134">
        <v>17913957.325980391</v>
      </c>
      <c r="E134">
        <v>132</v>
      </c>
      <c r="F134">
        <v>1094</v>
      </c>
      <c r="G134">
        <v>4.4410556822079998E-4</v>
      </c>
      <c r="H134">
        <v>50</v>
      </c>
      <c r="I134">
        <v>6</v>
      </c>
      <c r="J134">
        <v>7.9652965956861096E-2</v>
      </c>
      <c r="K134">
        <v>-0.20947034992972149</v>
      </c>
      <c r="L134">
        <v>25279089.335742369</v>
      </c>
      <c r="M134" t="s">
        <v>940</v>
      </c>
      <c r="N134" t="s">
        <v>175</v>
      </c>
      <c r="O134" t="s">
        <v>175</v>
      </c>
      <c r="P134">
        <v>112114</v>
      </c>
      <c r="Q134">
        <v>62143</v>
      </c>
      <c r="R134">
        <v>49971</v>
      </c>
      <c r="S134" t="e">
        <f>#REF!/#REF!</f>
        <v>#REF!</v>
      </c>
    </row>
    <row r="135" spans="1:19" x14ac:dyDescent="0.3">
      <c r="A135" t="s">
        <v>1155</v>
      </c>
      <c r="B135">
        <v>2022</v>
      </c>
      <c r="C135">
        <v>5.3935477050384089</v>
      </c>
      <c r="D135">
        <v>9358460.5775735285</v>
      </c>
      <c r="E135">
        <v>15</v>
      </c>
      <c r="F135">
        <v>999</v>
      </c>
      <c r="G135">
        <v>5.5073472108949995E-4</v>
      </c>
      <c r="H135">
        <v>5</v>
      </c>
      <c r="I135">
        <v>23</v>
      </c>
      <c r="J135">
        <v>0.40986011521564919</v>
      </c>
      <c r="K135">
        <v>-0.15830631861593819</v>
      </c>
      <c r="L135">
        <v>141817149.76429909</v>
      </c>
      <c r="M135" t="s">
        <v>287</v>
      </c>
      <c r="N135" t="s">
        <v>330</v>
      </c>
      <c r="O135" t="s">
        <v>330</v>
      </c>
      <c r="P135">
        <v>61430</v>
      </c>
      <c r="Q135">
        <v>45080</v>
      </c>
      <c r="R135">
        <v>16350</v>
      </c>
      <c r="S135" t="e">
        <f>#REF!/#REF!</f>
        <v>#REF!</v>
      </c>
    </row>
    <row r="136" spans="1:19" x14ac:dyDescent="0.3">
      <c r="A136" t="s">
        <v>1156</v>
      </c>
      <c r="B136">
        <v>2022</v>
      </c>
      <c r="C136">
        <v>0.65366090933568088</v>
      </c>
      <c r="D136">
        <v>991357.21875</v>
      </c>
      <c r="E136">
        <v>4</v>
      </c>
      <c r="F136">
        <v>136</v>
      </c>
      <c r="G136">
        <v>4.0645703121740002E-4</v>
      </c>
      <c r="H136">
        <v>5</v>
      </c>
      <c r="I136">
        <v>2</v>
      </c>
      <c r="J136">
        <v>0.53798497969851067</v>
      </c>
      <c r="K136">
        <v>-0.24995011704385639</v>
      </c>
      <c r="L136">
        <v>430341752.68475097</v>
      </c>
      <c r="M136" t="s">
        <v>874</v>
      </c>
      <c r="N136" t="s">
        <v>892</v>
      </c>
      <c r="O136" t="s">
        <v>893</v>
      </c>
      <c r="P136">
        <v>2979</v>
      </c>
      <c r="Q136">
        <v>980</v>
      </c>
      <c r="R136">
        <v>1999</v>
      </c>
      <c r="S136" t="e">
        <f>#REF!/#REF!</f>
        <v>#REF!</v>
      </c>
    </row>
    <row r="137" spans="1:19" x14ac:dyDescent="0.3">
      <c r="A137" t="s">
        <v>1157</v>
      </c>
      <c r="B137">
        <v>2022</v>
      </c>
      <c r="C137">
        <v>4.0301949292020716</v>
      </c>
      <c r="D137">
        <v>1985058.609375</v>
      </c>
      <c r="E137">
        <v>19</v>
      </c>
      <c r="F137">
        <v>331</v>
      </c>
      <c r="G137">
        <v>3.8851052481549998E-4</v>
      </c>
      <c r="H137">
        <v>4</v>
      </c>
      <c r="I137">
        <v>7</v>
      </c>
      <c r="J137">
        <v>0.17551992036885489</v>
      </c>
      <c r="K137">
        <v>-0.34647961003491429</v>
      </c>
      <c r="L137">
        <v>65755370.373904079</v>
      </c>
      <c r="M137" t="s">
        <v>940</v>
      </c>
      <c r="N137" t="s">
        <v>940</v>
      </c>
      <c r="O137" t="s">
        <v>1007</v>
      </c>
      <c r="P137">
        <v>7895</v>
      </c>
      <c r="Q137">
        <v>4785</v>
      </c>
      <c r="R137">
        <v>3110</v>
      </c>
      <c r="S137" t="e">
        <f>#REF!/#REF!</f>
        <v>#REF!</v>
      </c>
    </row>
    <row r="138" spans="1:19" x14ac:dyDescent="0.3">
      <c r="A138" t="s">
        <v>1158</v>
      </c>
      <c r="B138">
        <v>2022</v>
      </c>
      <c r="C138">
        <v>12.250827865651081</v>
      </c>
      <c r="D138">
        <v>931938.80686274497</v>
      </c>
      <c r="E138">
        <v>27</v>
      </c>
      <c r="F138">
        <v>173</v>
      </c>
      <c r="G138">
        <v>3.8859870587035E-3</v>
      </c>
      <c r="H138">
        <v>15</v>
      </c>
      <c r="I138">
        <v>2</v>
      </c>
      <c r="J138">
        <v>0.35739066577488898</v>
      </c>
      <c r="K138">
        <v>-0.33088921269450589</v>
      </c>
      <c r="L138">
        <v>10608826.07083467</v>
      </c>
      <c r="M138" t="s">
        <v>460</v>
      </c>
      <c r="N138" t="s">
        <v>468</v>
      </c>
      <c r="O138" t="s">
        <v>471</v>
      </c>
      <c r="P138">
        <v>7974</v>
      </c>
      <c r="Q138">
        <v>5749</v>
      </c>
      <c r="R138">
        <v>2225</v>
      </c>
      <c r="S138" t="e">
        <f>#REF!/#REF!</f>
        <v>#REF!</v>
      </c>
    </row>
    <row r="139" spans="1:19" x14ac:dyDescent="0.3">
      <c r="A139" t="s">
        <v>1159</v>
      </c>
      <c r="B139">
        <v>2022</v>
      </c>
      <c r="C139">
        <v>1.701509381623592</v>
      </c>
      <c r="D139">
        <v>2233977.9375</v>
      </c>
      <c r="E139">
        <v>11</v>
      </c>
      <c r="F139">
        <v>164</v>
      </c>
      <c r="G139">
        <v>2.3893530602519001E-3</v>
      </c>
      <c r="H139">
        <v>1</v>
      </c>
      <c r="I139">
        <v>4</v>
      </c>
      <c r="J139">
        <v>0.64411923503398871</v>
      </c>
      <c r="K139">
        <v>-0.31619309177259181</v>
      </c>
      <c r="L139">
        <v>120848770.5861191</v>
      </c>
      <c r="M139" t="s">
        <v>674</v>
      </c>
      <c r="N139" t="s">
        <v>698</v>
      </c>
      <c r="O139" t="s">
        <v>698</v>
      </c>
      <c r="P139">
        <v>6706</v>
      </c>
      <c r="Q139">
        <v>4474</v>
      </c>
      <c r="R139">
        <v>2232</v>
      </c>
      <c r="S139" t="e">
        <f>#REF!/#REF!</f>
        <v>#REF!</v>
      </c>
    </row>
    <row r="140" spans="1:19" x14ac:dyDescent="0.3">
      <c r="A140" t="s">
        <v>1160</v>
      </c>
      <c r="B140">
        <v>2022</v>
      </c>
      <c r="C140">
        <v>1.8306409724817241</v>
      </c>
      <c r="D140">
        <v>248312.96875</v>
      </c>
      <c r="E140">
        <v>3</v>
      </c>
      <c r="F140">
        <v>127</v>
      </c>
      <c r="G140">
        <v>8.7743099351730001E-4</v>
      </c>
      <c r="H140">
        <v>11</v>
      </c>
      <c r="I140">
        <v>2</v>
      </c>
      <c r="J140">
        <v>0.48056218967250658</v>
      </c>
      <c r="K140">
        <v>-0.36790015398109871</v>
      </c>
      <c r="L140">
        <v>46420833.582064718</v>
      </c>
      <c r="M140" t="s">
        <v>156</v>
      </c>
      <c r="N140" t="s">
        <v>172</v>
      </c>
      <c r="O140" t="s">
        <v>176</v>
      </c>
      <c r="P140">
        <v>2982</v>
      </c>
      <c r="Q140">
        <v>2048</v>
      </c>
      <c r="R140">
        <v>934</v>
      </c>
      <c r="S140" t="e">
        <f>#REF!/#REF!</f>
        <v>#REF!</v>
      </c>
    </row>
    <row r="141" spans="1:19" x14ac:dyDescent="0.3">
      <c r="A141" t="s">
        <v>1161</v>
      </c>
      <c r="B141">
        <v>2022</v>
      </c>
      <c r="C141">
        <v>7.3970698246191766</v>
      </c>
      <c r="D141">
        <v>6936724.421875</v>
      </c>
      <c r="E141">
        <v>36</v>
      </c>
      <c r="F141">
        <v>973</v>
      </c>
      <c r="G141">
        <v>1.9106827891320001E-4</v>
      </c>
      <c r="H141">
        <v>3</v>
      </c>
      <c r="I141">
        <v>8</v>
      </c>
      <c r="J141">
        <v>0.37068881692276651</v>
      </c>
      <c r="K141">
        <v>-0.30801576463473218</v>
      </c>
      <c r="L141">
        <v>147408320.92059529</v>
      </c>
      <c r="M141" t="s">
        <v>499</v>
      </c>
      <c r="N141" t="s">
        <v>518</v>
      </c>
      <c r="O141" t="s">
        <v>518</v>
      </c>
      <c r="P141">
        <v>28123</v>
      </c>
      <c r="Q141">
        <v>20273</v>
      </c>
      <c r="R141">
        <v>7850</v>
      </c>
      <c r="S141" t="e">
        <f>#REF!/#REF!</f>
        <v>#REF!</v>
      </c>
    </row>
    <row r="142" spans="1:19" x14ac:dyDescent="0.3">
      <c r="A142" t="s">
        <v>1162</v>
      </c>
      <c r="B142">
        <v>2022</v>
      </c>
      <c r="C142">
        <v>20.597490019697421</v>
      </c>
      <c r="D142">
        <v>4290670.4570465675</v>
      </c>
      <c r="E142">
        <v>80</v>
      </c>
      <c r="F142">
        <v>849</v>
      </c>
      <c r="G142">
        <v>4.2451217034009998E-4</v>
      </c>
      <c r="H142">
        <v>8</v>
      </c>
      <c r="I142">
        <v>11</v>
      </c>
      <c r="L142">
        <v>17717212.355703101</v>
      </c>
      <c r="M142" t="s">
        <v>652</v>
      </c>
      <c r="N142" t="s">
        <v>772</v>
      </c>
      <c r="O142" t="s">
        <v>789</v>
      </c>
      <c r="P142">
        <v>22052</v>
      </c>
      <c r="Q142">
        <v>19363</v>
      </c>
      <c r="R142">
        <v>2689</v>
      </c>
      <c r="S142" t="e">
        <f>#REF!/#REF!</f>
        <v>#REF!</v>
      </c>
    </row>
    <row r="143" spans="1:19" x14ac:dyDescent="0.3">
      <c r="A143" t="s">
        <v>1163</v>
      </c>
      <c r="B143">
        <v>2022</v>
      </c>
      <c r="C143">
        <v>4.138718510443363</v>
      </c>
      <c r="D143">
        <v>744876.390625</v>
      </c>
      <c r="E143">
        <v>9</v>
      </c>
      <c r="F143">
        <v>112</v>
      </c>
      <c r="G143">
        <v>1.6191537930668001E-3</v>
      </c>
      <c r="H143">
        <v>7</v>
      </c>
      <c r="I143">
        <v>1</v>
      </c>
      <c r="J143">
        <v>0.48145098566863181</v>
      </c>
      <c r="K143">
        <v>-0.1586101202628411</v>
      </c>
      <c r="L143">
        <v>39438859.324688137</v>
      </c>
      <c r="M143" t="s">
        <v>586</v>
      </c>
      <c r="N143" t="s">
        <v>597</v>
      </c>
      <c r="O143" t="s">
        <v>466</v>
      </c>
      <c r="P143">
        <v>6868</v>
      </c>
      <c r="Q143">
        <v>2365</v>
      </c>
      <c r="R143">
        <v>4503</v>
      </c>
      <c r="S143" t="e">
        <f>#REF!/#REF!</f>
        <v>#REF!</v>
      </c>
    </row>
    <row r="144" spans="1:19" x14ac:dyDescent="0.3">
      <c r="A144" t="s">
        <v>1164</v>
      </c>
      <c r="B144">
        <v>2022</v>
      </c>
      <c r="C144">
        <v>1.252252192760732</v>
      </c>
      <c r="D144">
        <v>991172.77892156865</v>
      </c>
      <c r="E144">
        <v>8</v>
      </c>
      <c r="F144">
        <v>147</v>
      </c>
      <c r="G144">
        <v>5.0336063585330003E-4</v>
      </c>
      <c r="H144">
        <v>3</v>
      </c>
      <c r="I144">
        <v>1</v>
      </c>
      <c r="J144">
        <v>0.4657103396510443</v>
      </c>
      <c r="K144">
        <v>-0.40076426442150248</v>
      </c>
      <c r="L144">
        <v>110846975.09621421</v>
      </c>
      <c r="M144" t="s">
        <v>20</v>
      </c>
      <c r="N144" t="s">
        <v>21</v>
      </c>
      <c r="O144" t="s">
        <v>25</v>
      </c>
      <c r="P144">
        <v>3184</v>
      </c>
      <c r="Q144">
        <v>2157</v>
      </c>
      <c r="R144">
        <v>1027</v>
      </c>
      <c r="S144" t="e">
        <f>#REF!/#REF!</f>
        <v>#REF!</v>
      </c>
    </row>
    <row r="145" spans="1:19" x14ac:dyDescent="0.3">
      <c r="A145" t="s">
        <v>1165</v>
      </c>
      <c r="B145">
        <v>2022</v>
      </c>
      <c r="C145">
        <v>1.8178741490300621</v>
      </c>
      <c r="D145">
        <v>991220.21875</v>
      </c>
      <c r="E145">
        <v>6</v>
      </c>
      <c r="F145">
        <v>204</v>
      </c>
      <c r="G145">
        <v>4.206206587169E-4</v>
      </c>
      <c r="H145">
        <v>2</v>
      </c>
      <c r="I145">
        <v>3</v>
      </c>
      <c r="J145">
        <v>0.29354788697565481</v>
      </c>
      <c r="K145">
        <v>-0.1591195388939661</v>
      </c>
      <c r="L145">
        <v>55821946.8022938</v>
      </c>
      <c r="M145" t="s">
        <v>287</v>
      </c>
      <c r="N145" t="s">
        <v>301</v>
      </c>
      <c r="O145" t="s">
        <v>301</v>
      </c>
      <c r="P145">
        <v>6283</v>
      </c>
      <c r="Q145">
        <v>2823</v>
      </c>
      <c r="R145">
        <v>3460</v>
      </c>
      <c r="S145" t="e">
        <f>#REF!/#REF!</f>
        <v>#REF!</v>
      </c>
    </row>
    <row r="146" spans="1:19" x14ac:dyDescent="0.3">
      <c r="A146" t="s">
        <v>1166</v>
      </c>
      <c r="B146">
        <v>2022</v>
      </c>
      <c r="C146">
        <v>0.83308951827834321</v>
      </c>
      <c r="D146">
        <v>2454944.06317402</v>
      </c>
      <c r="E146">
        <v>20</v>
      </c>
      <c r="F146">
        <v>104</v>
      </c>
      <c r="G146">
        <v>1.5981796686705999E-3</v>
      </c>
      <c r="H146">
        <v>3</v>
      </c>
      <c r="I146">
        <v>1</v>
      </c>
      <c r="J146">
        <v>0.59262590794778336</v>
      </c>
      <c r="K146">
        <v>-0.27910091633919798</v>
      </c>
      <c r="L146">
        <v>161111785.57104471</v>
      </c>
      <c r="M146" t="s">
        <v>730</v>
      </c>
      <c r="N146" t="s">
        <v>748</v>
      </c>
      <c r="O146" t="s">
        <v>749</v>
      </c>
      <c r="P146">
        <v>2243</v>
      </c>
      <c r="Q146">
        <v>1739</v>
      </c>
      <c r="R146">
        <v>504</v>
      </c>
      <c r="S146" t="e">
        <f>#REF!/#REF!</f>
        <v>#REF!</v>
      </c>
    </row>
    <row r="147" spans="1:19" x14ac:dyDescent="0.3">
      <c r="A147" t="s">
        <v>1167</v>
      </c>
      <c r="B147">
        <v>2022</v>
      </c>
      <c r="C147">
        <v>2.594486943992083</v>
      </c>
      <c r="D147">
        <v>141145.16035539209</v>
      </c>
      <c r="E147">
        <v>7</v>
      </c>
      <c r="F147">
        <v>70</v>
      </c>
      <c r="G147">
        <v>8.5214062483100002E-4</v>
      </c>
      <c r="H147">
        <v>6</v>
      </c>
      <c r="I147">
        <v>1</v>
      </c>
      <c r="J147">
        <v>0.33626718945597062</v>
      </c>
      <c r="K147">
        <v>-0.34637166617014498</v>
      </c>
      <c r="L147">
        <v>10569541.37448634</v>
      </c>
      <c r="M147" t="s">
        <v>97</v>
      </c>
      <c r="N147" t="s">
        <v>109</v>
      </c>
      <c r="O147" t="s">
        <v>113</v>
      </c>
      <c r="P147">
        <v>1176</v>
      </c>
      <c r="Q147">
        <v>328</v>
      </c>
      <c r="R147">
        <v>848</v>
      </c>
      <c r="S147" t="e">
        <f>#REF!/#REF!</f>
        <v>#REF!</v>
      </c>
    </row>
    <row r="148" spans="1:19" x14ac:dyDescent="0.3">
      <c r="A148" t="s">
        <v>1168</v>
      </c>
      <c r="B148">
        <v>2022</v>
      </c>
      <c r="C148">
        <v>2.13268852940076</v>
      </c>
      <c r="D148">
        <v>4461500.9375</v>
      </c>
      <c r="E148">
        <v>9</v>
      </c>
      <c r="F148">
        <v>985</v>
      </c>
      <c r="G148">
        <v>2.5435443887620001E-4</v>
      </c>
      <c r="H148">
        <v>18</v>
      </c>
      <c r="I148">
        <v>19</v>
      </c>
      <c r="J148">
        <v>0.35717125580396231</v>
      </c>
      <c r="K148">
        <v>-0.23147134159302851</v>
      </c>
      <c r="L148">
        <v>260373297.55376741</v>
      </c>
      <c r="M148" t="s">
        <v>287</v>
      </c>
      <c r="N148" t="s">
        <v>290</v>
      </c>
      <c r="O148" t="s">
        <v>290</v>
      </c>
      <c r="P148">
        <v>23915</v>
      </c>
      <c r="Q148">
        <v>15806</v>
      </c>
      <c r="R148">
        <v>8109</v>
      </c>
      <c r="S148" t="e">
        <f>#REF!/#REF!</f>
        <v>#REF!</v>
      </c>
    </row>
    <row r="149" spans="1:19" x14ac:dyDescent="0.3">
      <c r="A149" t="s">
        <v>1169</v>
      </c>
      <c r="B149">
        <v>2022</v>
      </c>
      <c r="C149">
        <v>8.8457011833304868</v>
      </c>
      <c r="D149">
        <v>5027592.009681372</v>
      </c>
      <c r="E149">
        <v>38</v>
      </c>
      <c r="F149">
        <v>748</v>
      </c>
      <c r="G149">
        <v>2.6150150251560002E-4</v>
      </c>
      <c r="H149">
        <v>45</v>
      </c>
      <c r="I149">
        <v>7</v>
      </c>
      <c r="J149">
        <v>0.51690846793519019</v>
      </c>
      <c r="K149">
        <v>-0.3796345126504041</v>
      </c>
      <c r="L149">
        <v>46660249.90330404</v>
      </c>
      <c r="M149" t="s">
        <v>20</v>
      </c>
      <c r="N149" t="s">
        <v>21</v>
      </c>
      <c r="O149" t="s">
        <v>38</v>
      </c>
      <c r="P149">
        <v>26720</v>
      </c>
      <c r="Q149">
        <v>17784</v>
      </c>
      <c r="R149">
        <v>8936</v>
      </c>
      <c r="S149" t="e">
        <f>#REF!/#REF!</f>
        <v>#REF!</v>
      </c>
    </row>
    <row r="150" spans="1:19" x14ac:dyDescent="0.3">
      <c r="A150" t="s">
        <v>1170</v>
      </c>
      <c r="B150">
        <v>2022</v>
      </c>
      <c r="C150">
        <v>0.7252912147539925</v>
      </c>
      <c r="D150">
        <v>552126.33566176472</v>
      </c>
      <c r="E150">
        <v>16</v>
      </c>
      <c r="F150">
        <v>41</v>
      </c>
      <c r="G150">
        <v>1.4902055828668001E-3</v>
      </c>
      <c r="H150">
        <v>1</v>
      </c>
      <c r="I150">
        <v>0</v>
      </c>
      <c r="J150">
        <v>0.57419429200308136</v>
      </c>
      <c r="K150">
        <v>-0.24619301776992411</v>
      </c>
      <c r="L150">
        <v>89025920.345823184</v>
      </c>
      <c r="M150" t="s">
        <v>922</v>
      </c>
      <c r="N150" t="s">
        <v>922</v>
      </c>
      <c r="O150" t="s">
        <v>951</v>
      </c>
      <c r="P150">
        <v>597</v>
      </c>
      <c r="Q150">
        <v>268</v>
      </c>
      <c r="R150">
        <v>329</v>
      </c>
      <c r="S150" t="e">
        <f>#REF!/#REF!</f>
        <v>#REF!</v>
      </c>
    </row>
    <row r="151" spans="1:19" x14ac:dyDescent="0.3">
      <c r="A151" t="s">
        <v>1171</v>
      </c>
      <c r="B151">
        <v>2022</v>
      </c>
      <c r="C151">
        <v>8.302824638953167</v>
      </c>
      <c r="D151">
        <v>4673154.3247549012</v>
      </c>
      <c r="E151">
        <v>28</v>
      </c>
      <c r="F151">
        <v>460</v>
      </c>
      <c r="G151">
        <v>9.0857556028560004E-4</v>
      </c>
      <c r="H151">
        <v>3</v>
      </c>
      <c r="I151">
        <v>4</v>
      </c>
      <c r="J151">
        <v>0.1553858626100332</v>
      </c>
      <c r="K151">
        <v>-0.1146024685260375</v>
      </c>
      <c r="L151">
        <v>73829736.596663207</v>
      </c>
      <c r="M151" t="s">
        <v>406</v>
      </c>
      <c r="N151" t="s">
        <v>407</v>
      </c>
      <c r="O151" t="s">
        <v>410</v>
      </c>
      <c r="P151">
        <v>33691</v>
      </c>
      <c r="Q151">
        <v>18122</v>
      </c>
      <c r="R151">
        <v>15569</v>
      </c>
      <c r="S151" t="e">
        <f>#REF!/#REF!</f>
        <v>#REF!</v>
      </c>
    </row>
    <row r="152" spans="1:19" x14ac:dyDescent="0.3">
      <c r="A152" t="s">
        <v>1172</v>
      </c>
      <c r="B152">
        <v>2022</v>
      </c>
      <c r="C152">
        <v>0.64456444435579485</v>
      </c>
      <c r="D152">
        <v>954871.5431985294</v>
      </c>
      <c r="E152">
        <v>6</v>
      </c>
      <c r="F152">
        <v>83</v>
      </c>
      <c r="G152">
        <v>2.1677445856616E-3</v>
      </c>
      <c r="H152">
        <v>8</v>
      </c>
      <c r="I152">
        <v>10</v>
      </c>
      <c r="J152">
        <v>0.63764186870205153</v>
      </c>
      <c r="K152">
        <v>-0.29723277699341327</v>
      </c>
      <c r="L152">
        <v>202212905.1262562</v>
      </c>
      <c r="M152" t="s">
        <v>674</v>
      </c>
      <c r="N152" t="s">
        <v>698</v>
      </c>
      <c r="O152" t="s">
        <v>700</v>
      </c>
      <c r="P152">
        <v>2515</v>
      </c>
      <c r="Q152">
        <v>511</v>
      </c>
      <c r="R152">
        <v>2004</v>
      </c>
      <c r="S152" t="e">
        <f>#REF!/#REF!</f>
        <v>#REF!</v>
      </c>
    </row>
    <row r="153" spans="1:19" x14ac:dyDescent="0.3">
      <c r="A153" t="s">
        <v>1173</v>
      </c>
      <c r="B153">
        <v>2022</v>
      </c>
      <c r="C153">
        <v>1.9116473402348779</v>
      </c>
      <c r="D153">
        <v>2234049.65625</v>
      </c>
      <c r="E153">
        <v>6</v>
      </c>
      <c r="F153">
        <v>393</v>
      </c>
      <c r="G153">
        <v>3.910934426472E-4</v>
      </c>
      <c r="H153">
        <v>13</v>
      </c>
      <c r="I153">
        <v>7</v>
      </c>
      <c r="J153">
        <v>0.2976380776841987</v>
      </c>
      <c r="K153">
        <v>-0.25954290012219727</v>
      </c>
      <c r="L153">
        <v>186468253.3336665</v>
      </c>
      <c r="M153" t="s">
        <v>406</v>
      </c>
      <c r="N153" t="s">
        <v>435</v>
      </c>
      <c r="O153" t="s">
        <v>435</v>
      </c>
      <c r="P153">
        <v>17991</v>
      </c>
      <c r="Q153">
        <v>5872</v>
      </c>
      <c r="R153">
        <v>12119</v>
      </c>
      <c r="S153" t="e">
        <f>#REF!/#REF!</f>
        <v>#REF!</v>
      </c>
    </row>
    <row r="154" spans="1:19" x14ac:dyDescent="0.3">
      <c r="A154" t="s">
        <v>1174</v>
      </c>
      <c r="B154">
        <v>2022</v>
      </c>
      <c r="C154">
        <v>16.28929995304031</v>
      </c>
      <c r="D154">
        <v>14311956.00520833</v>
      </c>
      <c r="E154">
        <v>145</v>
      </c>
      <c r="F154">
        <v>1627</v>
      </c>
      <c r="G154">
        <v>1.9825289392540001E-4</v>
      </c>
      <c r="H154">
        <v>51</v>
      </c>
      <c r="I154">
        <v>36</v>
      </c>
      <c r="J154">
        <v>0.52227352134283933</v>
      </c>
      <c r="K154">
        <v>-0.35140561392788089</v>
      </c>
      <c r="L154">
        <v>56554971.235437408</v>
      </c>
      <c r="M154" t="s">
        <v>124</v>
      </c>
      <c r="N154" t="s">
        <v>125</v>
      </c>
      <c r="O154" t="s">
        <v>125</v>
      </c>
      <c r="P154">
        <v>40922</v>
      </c>
      <c r="Q154">
        <v>34618</v>
      </c>
      <c r="R154">
        <v>6304</v>
      </c>
      <c r="S154" t="e">
        <f>#REF!/#REF!</f>
        <v>#REF!</v>
      </c>
    </row>
    <row r="155" spans="1:19" x14ac:dyDescent="0.3">
      <c r="A155" t="s">
        <v>1175</v>
      </c>
      <c r="B155">
        <v>2022</v>
      </c>
      <c r="C155">
        <v>9.9184972171023364</v>
      </c>
      <c r="D155">
        <v>852984.04301470588</v>
      </c>
      <c r="E155">
        <v>103</v>
      </c>
      <c r="F155">
        <v>73</v>
      </c>
      <c r="G155">
        <v>5.1620947630922004E-3</v>
      </c>
      <c r="H155">
        <v>7</v>
      </c>
      <c r="I155">
        <v>2</v>
      </c>
      <c r="L155">
        <v>4710646.1177028902</v>
      </c>
      <c r="M155" t="s">
        <v>191</v>
      </c>
      <c r="N155" t="s">
        <v>224</v>
      </c>
      <c r="O155" t="s">
        <v>225</v>
      </c>
      <c r="P155">
        <v>2125</v>
      </c>
      <c r="Q155">
        <v>799</v>
      </c>
      <c r="R155">
        <v>1326</v>
      </c>
      <c r="S155" t="e">
        <f>#REF!/#REF!</f>
        <v>#REF!</v>
      </c>
    </row>
    <row r="156" spans="1:19" x14ac:dyDescent="0.3">
      <c r="A156" t="s">
        <v>1176</v>
      </c>
      <c r="B156">
        <v>2022</v>
      </c>
      <c r="C156">
        <v>10.66496326637197</v>
      </c>
      <c r="D156">
        <v>4326591.290808823</v>
      </c>
      <c r="E156">
        <v>154</v>
      </c>
      <c r="F156">
        <v>208</v>
      </c>
      <c r="G156">
        <v>6.7473788984880002E-4</v>
      </c>
      <c r="H156">
        <v>25</v>
      </c>
      <c r="I156">
        <v>4</v>
      </c>
      <c r="J156">
        <v>0.43028870883625869</v>
      </c>
      <c r="K156">
        <v>-0.33198845701487689</v>
      </c>
      <c r="L156">
        <v>15663178.47386058</v>
      </c>
      <c r="M156" t="s">
        <v>830</v>
      </c>
      <c r="N156" t="s">
        <v>857</v>
      </c>
      <c r="O156" t="s">
        <v>167</v>
      </c>
      <c r="P156">
        <v>7836</v>
      </c>
      <c r="Q156">
        <v>4288</v>
      </c>
      <c r="R156">
        <v>3548</v>
      </c>
      <c r="S156" t="e">
        <f>#REF!/#REF!</f>
        <v>#REF!</v>
      </c>
    </row>
    <row r="157" spans="1:19" x14ac:dyDescent="0.3">
      <c r="A157" t="s">
        <v>1177</v>
      </c>
      <c r="B157">
        <v>2022</v>
      </c>
      <c r="C157">
        <v>3.0232377690873218</v>
      </c>
      <c r="D157">
        <v>2233833.328125</v>
      </c>
      <c r="E157">
        <v>6</v>
      </c>
      <c r="F157">
        <v>313</v>
      </c>
      <c r="G157">
        <v>4.9359869431570003E-4</v>
      </c>
      <c r="H157">
        <v>25</v>
      </c>
      <c r="I157">
        <v>12</v>
      </c>
      <c r="J157">
        <v>0.4525015149671327</v>
      </c>
      <c r="K157">
        <v>-0.25697012265947511</v>
      </c>
      <c r="L157">
        <v>132360032.75546069</v>
      </c>
      <c r="M157" t="s">
        <v>406</v>
      </c>
      <c r="N157" t="s">
        <v>442</v>
      </c>
      <c r="O157" t="s">
        <v>443</v>
      </c>
      <c r="P157">
        <v>30540</v>
      </c>
      <c r="Q157">
        <v>5526</v>
      </c>
      <c r="R157">
        <v>25014</v>
      </c>
      <c r="S157" t="e">
        <f>#REF!/#REF!</f>
        <v>#REF!</v>
      </c>
    </row>
    <row r="158" spans="1:19" x14ac:dyDescent="0.3">
      <c r="A158" t="s">
        <v>1178</v>
      </c>
      <c r="B158">
        <v>2022</v>
      </c>
      <c r="C158">
        <v>7.4661543572232807</v>
      </c>
      <c r="D158">
        <v>5540038.8656249996</v>
      </c>
      <c r="E158">
        <v>54</v>
      </c>
      <c r="F158">
        <v>382</v>
      </c>
      <c r="G158">
        <v>4.8774235888429998E-4</v>
      </c>
      <c r="H158">
        <v>6</v>
      </c>
      <c r="I158">
        <v>5</v>
      </c>
      <c r="J158">
        <v>0.42286521125330262</v>
      </c>
      <c r="K158">
        <v>-0.3635633156959408</v>
      </c>
      <c r="L158">
        <v>65791411.942562163</v>
      </c>
      <c r="M158" t="s">
        <v>460</v>
      </c>
      <c r="N158" t="s">
        <v>473</v>
      </c>
      <c r="O158" t="s">
        <v>473</v>
      </c>
      <c r="P158">
        <v>21362</v>
      </c>
      <c r="Q158">
        <v>13350</v>
      </c>
      <c r="R158">
        <v>8012</v>
      </c>
      <c r="S158" t="e">
        <f>#REF!/#REF!</f>
        <v>#REF!</v>
      </c>
    </row>
    <row r="159" spans="1:19" x14ac:dyDescent="0.3">
      <c r="A159" t="s">
        <v>1179</v>
      </c>
      <c r="B159">
        <v>2022</v>
      </c>
      <c r="C159">
        <v>0.92601184524596925</v>
      </c>
      <c r="D159">
        <v>75945.425367647069</v>
      </c>
      <c r="E159">
        <v>1</v>
      </c>
      <c r="F159">
        <v>122</v>
      </c>
      <c r="G159">
        <v>7.4810836431559997E-4</v>
      </c>
      <c r="H159">
        <v>6</v>
      </c>
      <c r="I159">
        <v>0</v>
      </c>
      <c r="J159">
        <v>0.63747732659762935</v>
      </c>
      <c r="K159">
        <v>-0.2884355588147795</v>
      </c>
      <c r="L159">
        <v>218723675.1961152</v>
      </c>
      <c r="M159" t="s">
        <v>348</v>
      </c>
      <c r="N159" t="s">
        <v>102</v>
      </c>
      <c r="O159" t="s">
        <v>178</v>
      </c>
      <c r="P159">
        <v>1976</v>
      </c>
      <c r="Q159">
        <v>22</v>
      </c>
      <c r="R159">
        <v>1954</v>
      </c>
      <c r="S159" t="e">
        <f>#REF!/#REF!</f>
        <v>#REF!</v>
      </c>
    </row>
    <row r="160" spans="1:19" x14ac:dyDescent="0.3">
      <c r="A160" t="s">
        <v>1180</v>
      </c>
      <c r="B160">
        <v>2022</v>
      </c>
      <c r="C160">
        <v>3.6138756181169271</v>
      </c>
      <c r="D160">
        <v>7627040.3794730389</v>
      </c>
      <c r="E160">
        <v>233</v>
      </c>
      <c r="F160">
        <v>142</v>
      </c>
      <c r="G160">
        <v>1.7130127083602E-3</v>
      </c>
      <c r="H160">
        <v>10</v>
      </c>
      <c r="I160">
        <v>2</v>
      </c>
      <c r="J160">
        <v>0.3411251394231184</v>
      </c>
      <c r="K160">
        <v>-0.37138078022007498</v>
      </c>
      <c r="L160">
        <v>18657909.866692249</v>
      </c>
      <c r="M160" t="s">
        <v>191</v>
      </c>
      <c r="N160" t="s">
        <v>211</v>
      </c>
      <c r="O160" t="s">
        <v>214</v>
      </c>
      <c r="P160">
        <v>3556</v>
      </c>
      <c r="Q160">
        <v>1263</v>
      </c>
      <c r="R160">
        <v>2293</v>
      </c>
      <c r="S160" t="e">
        <f>#REF!/#REF!</f>
        <v>#REF!</v>
      </c>
    </row>
    <row r="161" spans="1:19" x14ac:dyDescent="0.3">
      <c r="A161" t="s">
        <v>1181</v>
      </c>
      <c r="B161">
        <v>2022</v>
      </c>
      <c r="C161">
        <v>1.817560973041862</v>
      </c>
      <c r="D161">
        <v>2234852.875</v>
      </c>
      <c r="E161">
        <v>21</v>
      </c>
      <c r="F161">
        <v>266</v>
      </c>
      <c r="G161">
        <v>4.055977344816E-4</v>
      </c>
      <c r="H161">
        <v>3</v>
      </c>
      <c r="I161">
        <v>6</v>
      </c>
      <c r="J161">
        <v>0.39028938414712389</v>
      </c>
      <c r="K161">
        <v>-0.30194580212479738</v>
      </c>
      <c r="L161">
        <v>99654807.710796326</v>
      </c>
      <c r="M161" t="s">
        <v>156</v>
      </c>
      <c r="N161" t="s">
        <v>97</v>
      </c>
      <c r="O161" t="s">
        <v>97</v>
      </c>
      <c r="P161">
        <v>5872</v>
      </c>
      <c r="Q161">
        <v>3972</v>
      </c>
      <c r="R161">
        <v>1900</v>
      </c>
      <c r="S161" t="e">
        <f>#REF!/#REF!</f>
        <v>#REF!</v>
      </c>
    </row>
    <row r="162" spans="1:19" x14ac:dyDescent="0.3">
      <c r="A162" t="s">
        <v>1182</v>
      </c>
      <c r="B162">
        <v>2022</v>
      </c>
      <c r="C162">
        <v>1.804389975547088</v>
      </c>
      <c r="D162">
        <v>744636.03125</v>
      </c>
      <c r="E162">
        <v>4</v>
      </c>
      <c r="F162">
        <v>168</v>
      </c>
      <c r="G162">
        <v>8.5174378213139998E-4</v>
      </c>
      <c r="H162">
        <v>6</v>
      </c>
      <c r="I162">
        <v>3</v>
      </c>
      <c r="J162">
        <v>0.54599712946136003</v>
      </c>
      <c r="K162">
        <v>-0.2733730252793436</v>
      </c>
      <c r="L162">
        <v>85101810.389026284</v>
      </c>
      <c r="M162" t="s">
        <v>406</v>
      </c>
      <c r="N162" t="s">
        <v>442</v>
      </c>
      <c r="O162" t="s">
        <v>444</v>
      </c>
      <c r="P162">
        <v>10518</v>
      </c>
      <c r="Q162">
        <v>410</v>
      </c>
      <c r="R162">
        <v>10108</v>
      </c>
      <c r="S162" t="e">
        <f>#REF!/#REF!</f>
        <v>#REF!</v>
      </c>
    </row>
    <row r="163" spans="1:19" x14ac:dyDescent="0.3">
      <c r="A163" t="s">
        <v>1183</v>
      </c>
      <c r="B163">
        <v>2022</v>
      </c>
      <c r="C163">
        <v>9.8972878462424241</v>
      </c>
      <c r="D163">
        <v>1439907.361642157</v>
      </c>
      <c r="E163">
        <v>173</v>
      </c>
      <c r="F163">
        <v>121</v>
      </c>
      <c r="G163">
        <v>2.8357286354503998E-3</v>
      </c>
      <c r="H163">
        <v>15</v>
      </c>
      <c r="I163">
        <v>1</v>
      </c>
      <c r="J163">
        <v>0.39705511127445681</v>
      </c>
      <c r="K163">
        <v>-0.26002644821155851</v>
      </c>
      <c r="L163">
        <v>5167582.5092525957</v>
      </c>
      <c r="M163" t="s">
        <v>830</v>
      </c>
      <c r="N163" t="s">
        <v>857</v>
      </c>
      <c r="O163" t="s">
        <v>859</v>
      </c>
      <c r="P163">
        <v>2626</v>
      </c>
      <c r="Q163">
        <v>1718</v>
      </c>
      <c r="R163">
        <v>908</v>
      </c>
      <c r="S163" t="e">
        <f>#REF!/#REF!</f>
        <v>#REF!</v>
      </c>
    </row>
    <row r="164" spans="1:19" x14ac:dyDescent="0.3">
      <c r="A164" t="s">
        <v>1184</v>
      </c>
      <c r="B164">
        <v>2022</v>
      </c>
      <c r="C164">
        <v>0.51564568319505044</v>
      </c>
      <c r="D164">
        <v>993223.75</v>
      </c>
      <c r="E164">
        <v>3</v>
      </c>
      <c r="F164">
        <v>112</v>
      </c>
      <c r="G164">
        <v>7.8342649276900002E-4</v>
      </c>
      <c r="H164">
        <v>3</v>
      </c>
      <c r="I164">
        <v>0</v>
      </c>
      <c r="J164">
        <v>0.67824776984119739</v>
      </c>
      <c r="K164">
        <v>-0.30045738628360957</v>
      </c>
      <c r="L164">
        <v>501395987.91494077</v>
      </c>
      <c r="M164" t="s">
        <v>959</v>
      </c>
      <c r="N164" t="s">
        <v>984</v>
      </c>
      <c r="O164" t="s">
        <v>988</v>
      </c>
      <c r="P164">
        <v>5461</v>
      </c>
      <c r="Q164">
        <v>250</v>
      </c>
      <c r="R164">
        <v>5211</v>
      </c>
      <c r="S164" t="e">
        <f>#REF!/#REF!</f>
        <v>#REF!</v>
      </c>
    </row>
    <row r="165" spans="1:19" x14ac:dyDescent="0.3">
      <c r="A165" t="s">
        <v>1185</v>
      </c>
      <c r="B165">
        <v>2022</v>
      </c>
      <c r="C165">
        <v>1.7681200540719451</v>
      </c>
      <c r="D165">
        <v>1488800.40625</v>
      </c>
      <c r="E165">
        <v>13</v>
      </c>
      <c r="F165">
        <v>204</v>
      </c>
      <c r="G165">
        <v>2.6401235481479998E-4</v>
      </c>
      <c r="H165">
        <v>2</v>
      </c>
      <c r="I165">
        <v>4</v>
      </c>
      <c r="J165">
        <v>0.50336488629821052</v>
      </c>
      <c r="K165">
        <v>-0.37541085409013081</v>
      </c>
      <c r="L165">
        <v>126895255.7567421</v>
      </c>
      <c r="M165" t="s">
        <v>232</v>
      </c>
      <c r="N165" t="s">
        <v>261</v>
      </c>
      <c r="O165" t="s">
        <v>261</v>
      </c>
      <c r="P165">
        <v>6796</v>
      </c>
      <c r="Q165">
        <v>3728</v>
      </c>
      <c r="R165">
        <v>3068</v>
      </c>
      <c r="S165" t="e">
        <f>#REF!/#REF!</f>
        <v>#REF!</v>
      </c>
    </row>
    <row r="166" spans="1:19" x14ac:dyDescent="0.3">
      <c r="A166" t="s">
        <v>1186</v>
      </c>
      <c r="B166">
        <v>2022</v>
      </c>
      <c r="C166">
        <v>2.9095682783581438</v>
      </c>
      <c r="D166">
        <v>3724699.53125</v>
      </c>
      <c r="E166">
        <v>18</v>
      </c>
      <c r="F166">
        <v>593</v>
      </c>
      <c r="G166">
        <v>2.0159282541660001E-4</v>
      </c>
      <c r="H166">
        <v>15</v>
      </c>
      <c r="I166">
        <v>16</v>
      </c>
      <c r="J166">
        <v>0.44604731485517801</v>
      </c>
      <c r="K166">
        <v>-0.28788381161457421</v>
      </c>
      <c r="L166">
        <v>145817883.9327639</v>
      </c>
      <c r="M166" t="s">
        <v>156</v>
      </c>
      <c r="N166" t="s">
        <v>181</v>
      </c>
      <c r="O166" t="s">
        <v>182</v>
      </c>
      <c r="P166">
        <v>20567</v>
      </c>
      <c r="Q166">
        <v>14310</v>
      </c>
      <c r="R166">
        <v>6257</v>
      </c>
      <c r="S166" t="e">
        <f>#REF!/#REF!</f>
        <v>#REF!</v>
      </c>
    </row>
    <row r="167" spans="1:19" x14ac:dyDescent="0.3">
      <c r="A167" t="s">
        <v>1187</v>
      </c>
      <c r="B167">
        <v>2022</v>
      </c>
      <c r="C167">
        <v>3.3159357355696901</v>
      </c>
      <c r="D167">
        <v>2101440.7673406862</v>
      </c>
      <c r="E167">
        <v>36</v>
      </c>
      <c r="F167">
        <v>251</v>
      </c>
      <c r="G167">
        <v>4.1983687982230001E-4</v>
      </c>
      <c r="H167">
        <v>3</v>
      </c>
      <c r="I167">
        <v>10</v>
      </c>
      <c r="J167">
        <v>0.36646844883779051</v>
      </c>
      <c r="K167">
        <v>-0.31954478695184119</v>
      </c>
      <c r="L167">
        <v>100734569.5577791</v>
      </c>
      <c r="M167" t="s">
        <v>156</v>
      </c>
      <c r="N167" t="s">
        <v>177</v>
      </c>
      <c r="O167" t="s">
        <v>177</v>
      </c>
      <c r="P167">
        <v>6701</v>
      </c>
      <c r="Q167">
        <v>5083</v>
      </c>
      <c r="R167">
        <v>1618</v>
      </c>
      <c r="S167" t="e">
        <f>#REF!/#REF!</f>
        <v>#REF!</v>
      </c>
    </row>
    <row r="168" spans="1:19" x14ac:dyDescent="0.3">
      <c r="A168" t="s">
        <v>1188</v>
      </c>
      <c r="B168">
        <v>2022</v>
      </c>
      <c r="C168">
        <v>18.882092878835369</v>
      </c>
      <c r="D168">
        <v>1867797.3920955879</v>
      </c>
      <c r="E168">
        <v>72</v>
      </c>
      <c r="F168">
        <v>742</v>
      </c>
      <c r="G168">
        <v>5.5624840416210002E-4</v>
      </c>
      <c r="H168">
        <v>6</v>
      </c>
      <c r="I168">
        <v>8</v>
      </c>
      <c r="L168">
        <v>31743816.08391498</v>
      </c>
      <c r="M168" t="s">
        <v>652</v>
      </c>
      <c r="N168" t="s">
        <v>772</v>
      </c>
      <c r="O168" t="s">
        <v>797</v>
      </c>
      <c r="P168">
        <v>17779</v>
      </c>
      <c r="Q168">
        <v>14404</v>
      </c>
      <c r="R168">
        <v>3375</v>
      </c>
      <c r="S168" t="e">
        <f>#REF!/#REF!</f>
        <v>#REF!</v>
      </c>
    </row>
    <row r="169" spans="1:19" x14ac:dyDescent="0.3">
      <c r="A169" t="s">
        <v>1189</v>
      </c>
      <c r="B169">
        <v>2022</v>
      </c>
      <c r="C169">
        <v>0.54351599534291506</v>
      </c>
      <c r="D169">
        <v>1241629.46875</v>
      </c>
      <c r="E169">
        <v>8</v>
      </c>
      <c r="F169">
        <v>53</v>
      </c>
      <c r="G169">
        <v>4.1911203086544002E-3</v>
      </c>
      <c r="H169">
        <v>2</v>
      </c>
      <c r="I169">
        <v>0</v>
      </c>
      <c r="J169">
        <v>0.58809244961333684</v>
      </c>
      <c r="K169">
        <v>-0.22076825904822411</v>
      </c>
      <c r="L169">
        <v>1076216148.3011069</v>
      </c>
      <c r="M169" t="s">
        <v>922</v>
      </c>
      <c r="N169" t="s">
        <v>935</v>
      </c>
      <c r="O169" t="s">
        <v>936</v>
      </c>
      <c r="P169">
        <v>3066</v>
      </c>
      <c r="Q169">
        <v>1292</v>
      </c>
      <c r="R169">
        <v>1774</v>
      </c>
      <c r="S169" t="e">
        <f>#REF!/#REF!</f>
        <v>#REF!</v>
      </c>
    </row>
    <row r="170" spans="1:19" x14ac:dyDescent="0.3">
      <c r="A170" t="s">
        <v>1190</v>
      </c>
      <c r="B170">
        <v>2022</v>
      </c>
      <c r="C170">
        <v>1.293401308282895</v>
      </c>
      <c r="D170">
        <v>248284.515625</v>
      </c>
      <c r="E170">
        <v>2</v>
      </c>
      <c r="F170">
        <v>92</v>
      </c>
      <c r="G170">
        <v>1.8724409326464999E-3</v>
      </c>
      <c r="H170">
        <v>7</v>
      </c>
      <c r="I170">
        <v>0</v>
      </c>
      <c r="J170">
        <v>0.42228515987310722</v>
      </c>
      <c r="K170">
        <v>-0.16467823455262601</v>
      </c>
      <c r="L170">
        <v>154629055.6650863</v>
      </c>
      <c r="M170" t="s">
        <v>348</v>
      </c>
      <c r="N170" t="s">
        <v>400</v>
      </c>
      <c r="O170" t="s">
        <v>405</v>
      </c>
      <c r="P170">
        <v>6173</v>
      </c>
      <c r="Q170">
        <v>963</v>
      </c>
      <c r="R170">
        <v>5210</v>
      </c>
      <c r="S170" t="e">
        <f>#REF!/#REF!</f>
        <v>#REF!</v>
      </c>
    </row>
    <row r="171" spans="1:19" x14ac:dyDescent="0.3">
      <c r="A171" t="s">
        <v>1191</v>
      </c>
      <c r="B171">
        <v>2022</v>
      </c>
      <c r="C171">
        <v>9.1064468513855896</v>
      </c>
      <c r="D171">
        <v>6443013.4837622549</v>
      </c>
      <c r="E171">
        <v>700</v>
      </c>
      <c r="F171">
        <v>115</v>
      </c>
      <c r="G171">
        <v>3.004830712264E-3</v>
      </c>
      <c r="H171">
        <v>16</v>
      </c>
      <c r="I171">
        <v>1</v>
      </c>
      <c r="J171">
        <v>0.2480081612911664</v>
      </c>
      <c r="K171">
        <v>-0.33313752735143187</v>
      </c>
      <c r="L171">
        <v>10400715.2846606</v>
      </c>
      <c r="M171" t="s">
        <v>191</v>
      </c>
      <c r="N171" t="s">
        <v>192</v>
      </c>
      <c r="O171" t="s">
        <v>198</v>
      </c>
      <c r="P171">
        <v>3230</v>
      </c>
      <c r="Q171">
        <v>1524</v>
      </c>
      <c r="R171">
        <v>1706</v>
      </c>
      <c r="S171" t="e">
        <f>#REF!/#REF!</f>
        <v>#REF!</v>
      </c>
    </row>
    <row r="172" spans="1:19" x14ac:dyDescent="0.3">
      <c r="A172" t="s">
        <v>1192</v>
      </c>
      <c r="B172">
        <v>2022</v>
      </c>
      <c r="C172">
        <v>1.5178901316596469</v>
      </c>
      <c r="D172">
        <v>170392.29932598039</v>
      </c>
      <c r="E172">
        <v>1</v>
      </c>
      <c r="F172">
        <v>147</v>
      </c>
      <c r="G172">
        <v>4.4046665400249998E-4</v>
      </c>
      <c r="H172">
        <v>2</v>
      </c>
      <c r="I172">
        <v>9</v>
      </c>
      <c r="J172">
        <v>0.2301782444435149</v>
      </c>
      <c r="K172">
        <v>-0.21557946951513751</v>
      </c>
      <c r="L172">
        <v>137385853.31914711</v>
      </c>
      <c r="M172" t="s">
        <v>406</v>
      </c>
      <c r="N172" t="s">
        <v>423</v>
      </c>
      <c r="O172" t="s">
        <v>425</v>
      </c>
      <c r="P172">
        <v>10080</v>
      </c>
      <c r="Q172">
        <v>1529</v>
      </c>
      <c r="R172">
        <v>8551</v>
      </c>
      <c r="S172" t="e">
        <f>#REF!/#REF!</f>
        <v>#REF!</v>
      </c>
    </row>
    <row r="173" spans="1:19" x14ac:dyDescent="0.3">
      <c r="A173" t="s">
        <v>1193</v>
      </c>
      <c r="B173">
        <v>2022</v>
      </c>
      <c r="C173">
        <v>1.5158755142226441</v>
      </c>
      <c r="D173">
        <v>506386.50821078429</v>
      </c>
      <c r="E173">
        <v>13</v>
      </c>
      <c r="F173">
        <v>124</v>
      </c>
      <c r="G173">
        <v>6.9659866034290003E-4</v>
      </c>
      <c r="H173">
        <v>9</v>
      </c>
      <c r="I173">
        <v>0</v>
      </c>
      <c r="J173">
        <v>0.64828022007353758</v>
      </c>
      <c r="K173">
        <v>-0.33581229964453468</v>
      </c>
      <c r="L173">
        <v>47401944.281787887</v>
      </c>
      <c r="M173" t="s">
        <v>287</v>
      </c>
      <c r="N173" t="s">
        <v>336</v>
      </c>
      <c r="O173" t="s">
        <v>341</v>
      </c>
      <c r="P173">
        <v>2308</v>
      </c>
      <c r="Q173">
        <v>1222</v>
      </c>
      <c r="R173">
        <v>1086</v>
      </c>
      <c r="S173" t="e">
        <f>#REF!/#REF!</f>
        <v>#REF!</v>
      </c>
    </row>
    <row r="174" spans="1:19" x14ac:dyDescent="0.3">
      <c r="A174" t="s">
        <v>1194</v>
      </c>
      <c r="B174">
        <v>2022</v>
      </c>
      <c r="C174">
        <v>16.183488412157629</v>
      </c>
      <c r="D174">
        <v>18210596.126286771</v>
      </c>
      <c r="E174">
        <v>315</v>
      </c>
      <c r="F174">
        <v>1168</v>
      </c>
      <c r="G174">
        <v>3.5066307522180001E-4</v>
      </c>
      <c r="H174">
        <v>22</v>
      </c>
      <c r="I174">
        <v>11</v>
      </c>
      <c r="L174">
        <v>23720313.57290297</v>
      </c>
      <c r="M174" t="s">
        <v>652</v>
      </c>
      <c r="N174" t="s">
        <v>772</v>
      </c>
      <c r="O174" t="s">
        <v>795</v>
      </c>
      <c r="P174">
        <v>36749</v>
      </c>
      <c r="Q174">
        <v>31877</v>
      </c>
      <c r="R174">
        <v>4872</v>
      </c>
      <c r="S174" t="e">
        <f>#REF!/#REF!</f>
        <v>#REF!</v>
      </c>
    </row>
    <row r="175" spans="1:19" x14ac:dyDescent="0.3">
      <c r="A175" t="s">
        <v>1195</v>
      </c>
      <c r="B175">
        <v>2022</v>
      </c>
      <c r="C175">
        <v>4.4082035689426071</v>
      </c>
      <c r="D175">
        <v>1481752.5919730391</v>
      </c>
      <c r="E175">
        <v>28</v>
      </c>
      <c r="F175">
        <v>406</v>
      </c>
      <c r="G175">
        <v>4.0797172191539999E-4</v>
      </c>
      <c r="H175">
        <v>3</v>
      </c>
      <c r="I175">
        <v>5</v>
      </c>
      <c r="J175">
        <v>0.50082799910391795</v>
      </c>
      <c r="K175">
        <v>-0.39452571823347171</v>
      </c>
      <c r="L175">
        <v>63104682.145040959</v>
      </c>
      <c r="M175" t="s">
        <v>124</v>
      </c>
      <c r="N175" t="s">
        <v>152</v>
      </c>
      <c r="O175" t="s">
        <v>152</v>
      </c>
      <c r="P175">
        <v>9264</v>
      </c>
      <c r="Q175">
        <v>6055</v>
      </c>
      <c r="R175">
        <v>3209</v>
      </c>
      <c r="S175" t="e">
        <f>#REF!/#REF!</f>
        <v>#REF!</v>
      </c>
    </row>
    <row r="176" spans="1:19" x14ac:dyDescent="0.3">
      <c r="A176" t="s">
        <v>1196</v>
      </c>
      <c r="B176">
        <v>2022</v>
      </c>
      <c r="C176">
        <v>5.1647824438831744</v>
      </c>
      <c r="D176">
        <v>5461355.96875</v>
      </c>
      <c r="E176">
        <v>123</v>
      </c>
      <c r="F176">
        <v>254</v>
      </c>
      <c r="G176">
        <v>1.8699500557643001E-3</v>
      </c>
      <c r="H176">
        <v>7</v>
      </c>
      <c r="I176">
        <v>5</v>
      </c>
      <c r="J176">
        <v>0.58534506454066149</v>
      </c>
      <c r="K176">
        <v>-0.28693145828981759</v>
      </c>
      <c r="L176">
        <v>24161781.983644389</v>
      </c>
      <c r="M176" t="s">
        <v>756</v>
      </c>
      <c r="N176" t="s">
        <v>766</v>
      </c>
      <c r="O176" t="s">
        <v>768</v>
      </c>
      <c r="P176">
        <v>9441</v>
      </c>
      <c r="Q176">
        <v>5680</v>
      </c>
      <c r="R176">
        <v>3761</v>
      </c>
      <c r="S176" t="e">
        <f>#REF!/#REF!</f>
        <v>#REF!</v>
      </c>
    </row>
    <row r="177" spans="1:19" x14ac:dyDescent="0.3">
      <c r="A177" t="s">
        <v>1197</v>
      </c>
      <c r="B177">
        <v>2022</v>
      </c>
      <c r="C177">
        <v>1.6036495929100569</v>
      </c>
      <c r="D177">
        <v>1486804.125</v>
      </c>
      <c r="E177">
        <v>15</v>
      </c>
      <c r="F177">
        <v>214</v>
      </c>
      <c r="G177">
        <v>3.2577518547820001E-4</v>
      </c>
      <c r="H177">
        <v>4</v>
      </c>
      <c r="I177">
        <v>2</v>
      </c>
      <c r="J177">
        <v>0.30182010208506072</v>
      </c>
      <c r="K177">
        <v>-0.20119646726047649</v>
      </c>
      <c r="L177">
        <v>129842551.12085781</v>
      </c>
      <c r="M177" t="s">
        <v>287</v>
      </c>
      <c r="N177" t="s">
        <v>310</v>
      </c>
      <c r="O177" t="s">
        <v>310</v>
      </c>
      <c r="P177">
        <v>6603</v>
      </c>
      <c r="Q177">
        <v>4732</v>
      </c>
      <c r="R177">
        <v>1871</v>
      </c>
      <c r="S177" t="e">
        <f>#REF!/#REF!</f>
        <v>#REF!</v>
      </c>
    </row>
    <row r="178" spans="1:19" x14ac:dyDescent="0.3">
      <c r="A178" t="s">
        <v>1198</v>
      </c>
      <c r="B178">
        <v>2022</v>
      </c>
      <c r="C178">
        <v>5.1701432897421844</v>
      </c>
      <c r="D178">
        <v>744767.65625</v>
      </c>
      <c r="E178">
        <v>131</v>
      </c>
      <c r="F178">
        <v>81</v>
      </c>
      <c r="G178">
        <v>1.1104751561758E-3</v>
      </c>
      <c r="H178">
        <v>15</v>
      </c>
      <c r="I178">
        <v>0</v>
      </c>
      <c r="J178">
        <v>0.49440932739586901</v>
      </c>
      <c r="K178">
        <v>-0.30497313186285302</v>
      </c>
      <c r="L178">
        <v>11259654.65620539</v>
      </c>
      <c r="M178" t="s">
        <v>830</v>
      </c>
      <c r="N178" t="s">
        <v>872</v>
      </c>
      <c r="O178" t="s">
        <v>873</v>
      </c>
      <c r="P178">
        <v>1234</v>
      </c>
      <c r="Q178">
        <v>693</v>
      </c>
      <c r="R178">
        <v>541</v>
      </c>
      <c r="S178" t="e">
        <f>#REF!/#REF!</f>
        <v>#REF!</v>
      </c>
    </row>
    <row r="179" spans="1:19" x14ac:dyDescent="0.3">
      <c r="A179" t="s">
        <v>1199</v>
      </c>
      <c r="B179">
        <v>2022</v>
      </c>
      <c r="C179">
        <v>5.7744348028492869</v>
      </c>
      <c r="D179">
        <v>1337058.510110294</v>
      </c>
      <c r="E179">
        <v>37</v>
      </c>
      <c r="F179">
        <v>381</v>
      </c>
      <c r="G179">
        <v>7.7179477758949997E-4</v>
      </c>
      <c r="H179">
        <v>7</v>
      </c>
      <c r="I179">
        <v>6</v>
      </c>
      <c r="J179">
        <v>0.387550571170166</v>
      </c>
      <c r="K179">
        <v>-0.25089974657093927</v>
      </c>
      <c r="L179">
        <v>27983090.52790102</v>
      </c>
      <c r="M179" t="s">
        <v>460</v>
      </c>
      <c r="N179" t="s">
        <v>481</v>
      </c>
      <c r="O179" t="s">
        <v>483</v>
      </c>
      <c r="P179">
        <v>8809</v>
      </c>
      <c r="Q179">
        <v>3462</v>
      </c>
      <c r="R179">
        <v>5347</v>
      </c>
      <c r="S179" t="e">
        <f>#REF!/#REF!</f>
        <v>#REF!</v>
      </c>
    </row>
    <row r="180" spans="1:19" x14ac:dyDescent="0.3">
      <c r="A180" t="s">
        <v>1200</v>
      </c>
      <c r="B180">
        <v>2022</v>
      </c>
      <c r="C180">
        <v>1.8850651658675519</v>
      </c>
      <c r="D180">
        <v>1735887.140625</v>
      </c>
      <c r="E180">
        <v>13</v>
      </c>
      <c r="F180">
        <v>295</v>
      </c>
      <c r="G180">
        <v>3.2635383293839999E-4</v>
      </c>
      <c r="H180">
        <v>9</v>
      </c>
      <c r="I180">
        <v>10</v>
      </c>
      <c r="J180">
        <v>0.45302198343647759</v>
      </c>
      <c r="K180">
        <v>-0.28795865593312531</v>
      </c>
      <c r="L180">
        <v>144069841.30832109</v>
      </c>
      <c r="M180" t="s">
        <v>20</v>
      </c>
      <c r="N180" t="s">
        <v>76</v>
      </c>
      <c r="O180" t="s">
        <v>76</v>
      </c>
      <c r="P180">
        <v>10655</v>
      </c>
      <c r="Q180">
        <v>6370</v>
      </c>
      <c r="R180">
        <v>4285</v>
      </c>
      <c r="S180" t="e">
        <f>#REF!/#REF!</f>
        <v>#REF!</v>
      </c>
    </row>
    <row r="181" spans="1:19" x14ac:dyDescent="0.3">
      <c r="A181" t="s">
        <v>1201</v>
      </c>
      <c r="B181">
        <v>2022</v>
      </c>
      <c r="C181">
        <v>0.95885753906347859</v>
      </c>
      <c r="D181">
        <v>1489432.71875</v>
      </c>
      <c r="E181">
        <v>3</v>
      </c>
      <c r="F181">
        <v>318</v>
      </c>
      <c r="G181">
        <v>2.0691521870279999E-4</v>
      </c>
      <c r="H181">
        <v>15</v>
      </c>
      <c r="I181">
        <v>2</v>
      </c>
      <c r="J181">
        <v>0.32133907192317662</v>
      </c>
      <c r="K181">
        <v>-0.29746494581864957</v>
      </c>
      <c r="L181">
        <v>544023925.07545185</v>
      </c>
      <c r="M181" t="s">
        <v>406</v>
      </c>
      <c r="N181" t="s">
        <v>416</v>
      </c>
      <c r="O181" t="s">
        <v>416</v>
      </c>
      <c r="P181">
        <v>20299</v>
      </c>
      <c r="Q181">
        <v>4363</v>
      </c>
      <c r="R181">
        <v>15936</v>
      </c>
      <c r="S181" t="e">
        <f>#REF!/#REF!</f>
        <v>#REF!</v>
      </c>
    </row>
    <row r="182" spans="1:19" x14ac:dyDescent="0.3">
      <c r="A182" t="s">
        <v>1202</v>
      </c>
      <c r="B182">
        <v>2022</v>
      </c>
      <c r="C182">
        <v>9.1473590497282693</v>
      </c>
      <c r="D182">
        <v>19704434.839644611</v>
      </c>
      <c r="E182">
        <v>119</v>
      </c>
      <c r="F182">
        <v>1795</v>
      </c>
      <c r="G182">
        <v>2.5888489420639998E-4</v>
      </c>
      <c r="H182">
        <v>17</v>
      </c>
      <c r="I182">
        <v>23</v>
      </c>
      <c r="J182">
        <v>0.5629917547970138</v>
      </c>
      <c r="K182">
        <v>-0.27234381883984859</v>
      </c>
      <c r="L182">
        <v>216958363.03748101</v>
      </c>
      <c r="M182" t="s">
        <v>922</v>
      </c>
      <c r="N182" t="s">
        <v>923</v>
      </c>
      <c r="O182" t="s">
        <v>924</v>
      </c>
      <c r="P182">
        <v>64904</v>
      </c>
      <c r="Q182">
        <v>37197</v>
      </c>
      <c r="R182">
        <v>27707</v>
      </c>
      <c r="S182" t="e">
        <f>#REF!/#REF!</f>
        <v>#REF!</v>
      </c>
    </row>
    <row r="183" spans="1:19" x14ac:dyDescent="0.3">
      <c r="A183" t="s">
        <v>1203</v>
      </c>
      <c r="B183">
        <v>2022</v>
      </c>
      <c r="C183">
        <v>1.3534565905597979</v>
      </c>
      <c r="D183">
        <v>1738283.34375</v>
      </c>
      <c r="E183">
        <v>12</v>
      </c>
      <c r="F183">
        <v>372</v>
      </c>
      <c r="G183">
        <v>7.7426685925190001E-4</v>
      </c>
      <c r="H183">
        <v>20</v>
      </c>
      <c r="I183">
        <v>6</v>
      </c>
      <c r="J183">
        <v>0.63811482788413243</v>
      </c>
      <c r="K183">
        <v>-0.29982825056000978</v>
      </c>
      <c r="L183">
        <v>239149072.1365118</v>
      </c>
      <c r="M183" t="s">
        <v>922</v>
      </c>
      <c r="N183" t="s">
        <v>923</v>
      </c>
      <c r="O183" t="s">
        <v>929</v>
      </c>
      <c r="P183">
        <v>8662</v>
      </c>
      <c r="Q183">
        <v>2683</v>
      </c>
      <c r="R183">
        <v>5979</v>
      </c>
      <c r="S183" t="e">
        <f>#REF!/#REF!</f>
        <v>#REF!</v>
      </c>
    </row>
    <row r="184" spans="1:19" x14ac:dyDescent="0.3">
      <c r="A184" t="s">
        <v>1204</v>
      </c>
      <c r="B184">
        <v>2022</v>
      </c>
      <c r="C184">
        <v>3.104288539987714</v>
      </c>
      <c r="D184">
        <v>2902601.3778799018</v>
      </c>
      <c r="E184">
        <v>112</v>
      </c>
      <c r="F184">
        <v>157</v>
      </c>
      <c r="G184">
        <v>4.1295303898039999E-4</v>
      </c>
      <c r="H184">
        <v>19</v>
      </c>
      <c r="I184">
        <v>4</v>
      </c>
      <c r="J184">
        <v>0.52911396789656251</v>
      </c>
      <c r="K184">
        <v>-0.30534448475347559</v>
      </c>
      <c r="L184">
        <v>40385129.813849308</v>
      </c>
      <c r="M184" t="s">
        <v>20</v>
      </c>
      <c r="N184" t="s">
        <v>95</v>
      </c>
      <c r="O184" t="s">
        <v>95</v>
      </c>
      <c r="P184">
        <v>3582</v>
      </c>
      <c r="Q184">
        <v>2438</v>
      </c>
      <c r="R184">
        <v>1144</v>
      </c>
      <c r="S184" t="e">
        <f>#REF!/#REF!</f>
        <v>#REF!</v>
      </c>
    </row>
    <row r="185" spans="1:19" x14ac:dyDescent="0.3">
      <c r="A185" t="s">
        <v>1205</v>
      </c>
      <c r="B185">
        <v>2022</v>
      </c>
      <c r="C185">
        <v>0.78775994027479324</v>
      </c>
      <c r="D185">
        <v>3967734.6639705878</v>
      </c>
      <c r="E185">
        <v>14</v>
      </c>
      <c r="F185">
        <v>318</v>
      </c>
      <c r="G185">
        <v>1.2985510723570001E-4</v>
      </c>
      <c r="H185">
        <v>11</v>
      </c>
      <c r="I185">
        <v>0</v>
      </c>
      <c r="J185">
        <v>0.29783258776052318</v>
      </c>
      <c r="K185">
        <v>-0.2732616950550249</v>
      </c>
      <c r="L185">
        <v>241597889.6097692</v>
      </c>
      <c r="M185" t="s">
        <v>232</v>
      </c>
      <c r="N185" t="s">
        <v>266</v>
      </c>
      <c r="O185" t="s">
        <v>268</v>
      </c>
      <c r="P185">
        <v>9973</v>
      </c>
      <c r="Q185">
        <v>519</v>
      </c>
      <c r="R185">
        <v>9454</v>
      </c>
      <c r="S185" t="e">
        <f>#REF!/#REF!</f>
        <v>#REF!</v>
      </c>
    </row>
    <row r="186" spans="1:19" x14ac:dyDescent="0.3">
      <c r="A186" t="s">
        <v>1206</v>
      </c>
      <c r="B186">
        <v>2022</v>
      </c>
      <c r="C186">
        <v>10.978722373292779</v>
      </c>
      <c r="D186">
        <v>1375027.440073529</v>
      </c>
      <c r="E186">
        <v>57</v>
      </c>
      <c r="F186">
        <v>180</v>
      </c>
      <c r="G186">
        <v>1.8033397349800999E-3</v>
      </c>
      <c r="H186">
        <v>7</v>
      </c>
      <c r="I186">
        <v>0</v>
      </c>
      <c r="J186">
        <v>0.36420105540215908</v>
      </c>
      <c r="K186">
        <v>-0.28905879967841719</v>
      </c>
      <c r="L186">
        <v>18309068.804060929</v>
      </c>
      <c r="M186" t="s">
        <v>460</v>
      </c>
      <c r="N186" t="s">
        <v>468</v>
      </c>
      <c r="O186" t="s">
        <v>324</v>
      </c>
      <c r="P186">
        <v>12215</v>
      </c>
      <c r="Q186">
        <v>6571</v>
      </c>
      <c r="R186">
        <v>5644</v>
      </c>
      <c r="S186" t="e">
        <f>#REF!/#REF!</f>
        <v>#REF!</v>
      </c>
    </row>
    <row r="187" spans="1:19" x14ac:dyDescent="0.3">
      <c r="A187" t="s">
        <v>1207</v>
      </c>
      <c r="B187">
        <v>2022</v>
      </c>
      <c r="C187">
        <v>11.128568658698359</v>
      </c>
      <c r="D187">
        <v>4724842.6190563729</v>
      </c>
      <c r="E187">
        <v>72</v>
      </c>
      <c r="F187">
        <v>756</v>
      </c>
      <c r="G187">
        <v>2.2165701435289999E-4</v>
      </c>
      <c r="H187">
        <v>45</v>
      </c>
      <c r="I187">
        <v>12</v>
      </c>
      <c r="J187">
        <v>0.52947379268224515</v>
      </c>
      <c r="K187">
        <v>-0.352527515264344</v>
      </c>
      <c r="L187">
        <v>44346774.144208401</v>
      </c>
      <c r="M187" t="s">
        <v>20</v>
      </c>
      <c r="N187" t="s">
        <v>21</v>
      </c>
      <c r="O187" t="s">
        <v>41</v>
      </c>
      <c r="P187">
        <v>34785</v>
      </c>
      <c r="Q187">
        <v>24756</v>
      </c>
      <c r="R187">
        <v>10029</v>
      </c>
      <c r="S187" t="e">
        <f>#REF!/#REF!</f>
        <v>#REF!</v>
      </c>
    </row>
    <row r="188" spans="1:19" x14ac:dyDescent="0.3">
      <c r="A188" t="s">
        <v>1208</v>
      </c>
      <c r="B188">
        <v>2022</v>
      </c>
      <c r="C188">
        <v>10.028362483574419</v>
      </c>
      <c r="D188">
        <v>1239120.78125</v>
      </c>
      <c r="E188">
        <v>53</v>
      </c>
      <c r="F188">
        <v>276</v>
      </c>
      <c r="G188">
        <v>4.1617082274029998E-4</v>
      </c>
      <c r="H188">
        <v>6</v>
      </c>
      <c r="I188">
        <v>2</v>
      </c>
      <c r="J188">
        <v>0.47685687593080101</v>
      </c>
      <c r="K188">
        <v>-0.343954678562233</v>
      </c>
      <c r="L188">
        <v>17101117.23067623</v>
      </c>
      <c r="M188" t="s">
        <v>287</v>
      </c>
      <c r="N188" t="s">
        <v>336</v>
      </c>
      <c r="O188" t="s">
        <v>336</v>
      </c>
      <c r="P188">
        <v>11530</v>
      </c>
      <c r="Q188">
        <v>9488</v>
      </c>
      <c r="R188">
        <v>2042</v>
      </c>
      <c r="S188" t="e">
        <f>#REF!/#REF!</f>
        <v>#REF!</v>
      </c>
    </row>
    <row r="189" spans="1:19" x14ac:dyDescent="0.3">
      <c r="A189" t="s">
        <v>1209</v>
      </c>
      <c r="B189">
        <v>2022</v>
      </c>
      <c r="C189">
        <v>3.838609854703217</v>
      </c>
      <c r="D189">
        <v>3871791.2958333329</v>
      </c>
      <c r="E189">
        <v>59</v>
      </c>
      <c r="F189">
        <v>414</v>
      </c>
      <c r="G189">
        <v>5.835192401866E-4</v>
      </c>
      <c r="H189">
        <v>12</v>
      </c>
      <c r="I189">
        <v>10</v>
      </c>
      <c r="L189">
        <v>65650049.666887708</v>
      </c>
      <c r="M189" t="s">
        <v>652</v>
      </c>
      <c r="N189" t="s">
        <v>809</v>
      </c>
      <c r="O189" t="s">
        <v>812</v>
      </c>
      <c r="P189">
        <v>12526</v>
      </c>
      <c r="Q189">
        <v>9341</v>
      </c>
      <c r="R189">
        <v>3185</v>
      </c>
      <c r="S189" t="e">
        <f>#REF!/#REF!</f>
        <v>#REF!</v>
      </c>
    </row>
    <row r="190" spans="1:19" x14ac:dyDescent="0.3">
      <c r="A190" t="s">
        <v>1210</v>
      </c>
      <c r="B190">
        <v>2022</v>
      </c>
      <c r="C190">
        <v>0.73610117423772048</v>
      </c>
      <c r="D190">
        <v>495612.59375</v>
      </c>
      <c r="E190">
        <v>4</v>
      </c>
      <c r="F190">
        <v>84</v>
      </c>
      <c r="G190">
        <v>3.3972956355250001E-4</v>
      </c>
      <c r="H190">
        <v>3</v>
      </c>
      <c r="I190">
        <v>3</v>
      </c>
      <c r="J190">
        <v>0.52108465120138558</v>
      </c>
      <c r="K190">
        <v>-0.31956937047776651</v>
      </c>
      <c r="L190">
        <v>157384017.1195713</v>
      </c>
      <c r="M190" t="s">
        <v>499</v>
      </c>
      <c r="N190" t="s">
        <v>499</v>
      </c>
      <c r="O190" t="s">
        <v>506</v>
      </c>
      <c r="P190">
        <v>4686</v>
      </c>
      <c r="Q190">
        <v>534</v>
      </c>
      <c r="R190">
        <v>4152</v>
      </c>
      <c r="S190" t="e">
        <f>#REF!/#REF!</f>
        <v>#REF!</v>
      </c>
    </row>
    <row r="191" spans="1:19" x14ac:dyDescent="0.3">
      <c r="A191" t="s">
        <v>1211</v>
      </c>
      <c r="B191">
        <v>2022</v>
      </c>
      <c r="C191">
        <v>1.9050266378261851</v>
      </c>
      <c r="D191">
        <v>731412.09785539214</v>
      </c>
      <c r="E191">
        <v>27</v>
      </c>
      <c r="F191">
        <v>99</v>
      </c>
      <c r="G191">
        <v>7.7062198376460004E-4</v>
      </c>
      <c r="H191">
        <v>3</v>
      </c>
      <c r="I191">
        <v>2</v>
      </c>
      <c r="J191">
        <v>0.43414273839081929</v>
      </c>
      <c r="K191">
        <v>-0.25508061477185329</v>
      </c>
      <c r="L191">
        <v>74019422.555458501</v>
      </c>
      <c r="M191" t="s">
        <v>20</v>
      </c>
      <c r="N191" t="s">
        <v>46</v>
      </c>
      <c r="O191" t="s">
        <v>53</v>
      </c>
      <c r="P191">
        <v>2668</v>
      </c>
      <c r="Q191">
        <v>1383</v>
      </c>
      <c r="R191">
        <v>1285</v>
      </c>
      <c r="S191" t="e">
        <f>#REF!/#REF!</f>
        <v>#REF!</v>
      </c>
    </row>
    <row r="192" spans="1:19" x14ac:dyDescent="0.3">
      <c r="A192" t="s">
        <v>1212</v>
      </c>
      <c r="B192">
        <v>2022</v>
      </c>
      <c r="C192">
        <v>1.437556904973502</v>
      </c>
      <c r="D192">
        <v>496173.71875</v>
      </c>
      <c r="E192">
        <v>4</v>
      </c>
      <c r="F192">
        <v>166</v>
      </c>
      <c r="G192">
        <v>1.2498456756501E-3</v>
      </c>
      <c r="H192">
        <v>6</v>
      </c>
      <c r="I192">
        <v>0</v>
      </c>
      <c r="J192">
        <v>0.47658203527010751</v>
      </c>
      <c r="K192">
        <v>-0.32346849832645708</v>
      </c>
      <c r="L192">
        <v>103330347.3823636</v>
      </c>
      <c r="M192" t="s">
        <v>406</v>
      </c>
      <c r="N192" t="s">
        <v>429</v>
      </c>
      <c r="O192" t="s">
        <v>431</v>
      </c>
      <c r="P192">
        <v>9398</v>
      </c>
      <c r="Q192">
        <v>3013</v>
      </c>
      <c r="R192">
        <v>6385</v>
      </c>
      <c r="S192" t="e">
        <f>#REF!/#REF!</f>
        <v>#REF!</v>
      </c>
    </row>
    <row r="193" spans="1:19" x14ac:dyDescent="0.3">
      <c r="A193" t="s">
        <v>1213</v>
      </c>
      <c r="B193">
        <v>2022</v>
      </c>
      <c r="C193">
        <v>0.82012366333892606</v>
      </c>
      <c r="D193">
        <v>496183.765625</v>
      </c>
      <c r="E193">
        <v>7</v>
      </c>
      <c r="F193">
        <v>152</v>
      </c>
      <c r="G193">
        <v>1.6697148492999999E-4</v>
      </c>
      <c r="H193">
        <v>4</v>
      </c>
      <c r="I193">
        <v>2</v>
      </c>
      <c r="J193">
        <v>0.45714633000030003</v>
      </c>
      <c r="K193">
        <v>-0.40520307862526989</v>
      </c>
      <c r="L193">
        <v>291109803.13582581</v>
      </c>
      <c r="M193" t="s">
        <v>124</v>
      </c>
      <c r="N193" t="s">
        <v>124</v>
      </c>
      <c r="O193" t="s">
        <v>141</v>
      </c>
      <c r="P193">
        <v>3223</v>
      </c>
      <c r="Q193">
        <v>1258</v>
      </c>
      <c r="R193">
        <v>1965</v>
      </c>
      <c r="S193" t="e">
        <f>#REF!/#REF!</f>
        <v>#REF!</v>
      </c>
    </row>
    <row r="194" spans="1:19" x14ac:dyDescent="0.3">
      <c r="A194" t="s">
        <v>1214</v>
      </c>
      <c r="B194">
        <v>2022</v>
      </c>
      <c r="C194">
        <v>1.2718281283910571</v>
      </c>
      <c r="D194">
        <v>3814125.3053308828</v>
      </c>
      <c r="E194">
        <v>68</v>
      </c>
      <c r="F194">
        <v>176</v>
      </c>
      <c r="G194">
        <v>6.2128104573170001E-4</v>
      </c>
      <c r="H194">
        <v>20</v>
      </c>
      <c r="I194">
        <v>8</v>
      </c>
      <c r="L194">
        <v>48313408.359092392</v>
      </c>
      <c r="M194" t="s">
        <v>191</v>
      </c>
      <c r="N194" t="s">
        <v>224</v>
      </c>
      <c r="O194" t="s">
        <v>1011</v>
      </c>
      <c r="P194">
        <v>3510</v>
      </c>
      <c r="Q194">
        <v>724</v>
      </c>
      <c r="R194">
        <v>2786</v>
      </c>
      <c r="S194" t="e">
        <f>#REF!/#REF!</f>
        <v>#REF!</v>
      </c>
    </row>
    <row r="195" spans="1:19" x14ac:dyDescent="0.3">
      <c r="A195" t="s">
        <v>1215</v>
      </c>
      <c r="B195">
        <v>2022</v>
      </c>
      <c r="C195">
        <v>1.5988315580280781</v>
      </c>
      <c r="D195">
        <v>603493.37665441178</v>
      </c>
      <c r="E195">
        <v>17</v>
      </c>
      <c r="F195">
        <v>183</v>
      </c>
      <c r="G195">
        <v>5.316321105794E-4</v>
      </c>
      <c r="H195">
        <v>28</v>
      </c>
      <c r="I195">
        <v>0</v>
      </c>
      <c r="J195">
        <v>0.39044624516991999</v>
      </c>
      <c r="K195">
        <v>-0.38240814456176619</v>
      </c>
      <c r="L195">
        <v>55731379.441941537</v>
      </c>
      <c r="M195" t="s">
        <v>232</v>
      </c>
      <c r="N195" t="s">
        <v>254</v>
      </c>
      <c r="O195" t="s">
        <v>259</v>
      </c>
      <c r="P195">
        <v>3183</v>
      </c>
      <c r="Q195">
        <v>185</v>
      </c>
      <c r="R195">
        <v>2998</v>
      </c>
      <c r="S195" t="e">
        <f>#REF!/#REF!</f>
        <v>#REF!</v>
      </c>
    </row>
    <row r="196" spans="1:19" x14ac:dyDescent="0.3">
      <c r="A196" t="s">
        <v>1216</v>
      </c>
      <c r="B196">
        <v>2022</v>
      </c>
      <c r="C196">
        <v>0.67661452825967716</v>
      </c>
      <c r="D196">
        <v>603502.99675245094</v>
      </c>
      <c r="E196">
        <v>8</v>
      </c>
      <c r="F196">
        <v>94</v>
      </c>
      <c r="G196">
        <v>9.491371299703E-4</v>
      </c>
      <c r="H196">
        <v>7</v>
      </c>
      <c r="I196">
        <v>5</v>
      </c>
      <c r="J196">
        <v>0.58446712555963198</v>
      </c>
      <c r="K196">
        <v>-0.25008018905213752</v>
      </c>
      <c r="L196">
        <v>265107533.4317365</v>
      </c>
      <c r="M196" t="s">
        <v>874</v>
      </c>
      <c r="N196" t="s">
        <v>895</v>
      </c>
      <c r="O196" t="s">
        <v>896</v>
      </c>
      <c r="P196">
        <v>2863</v>
      </c>
      <c r="Q196">
        <v>804</v>
      </c>
      <c r="R196">
        <v>2059</v>
      </c>
      <c r="S196" t="e">
        <f>#REF!/#REF!</f>
        <v>#REF!</v>
      </c>
    </row>
    <row r="197" spans="1:19" x14ac:dyDescent="0.3">
      <c r="A197" t="s">
        <v>1217</v>
      </c>
      <c r="B197">
        <v>2022</v>
      </c>
      <c r="C197">
        <v>1.8304713096813721</v>
      </c>
      <c r="D197">
        <v>217157.7006127451</v>
      </c>
      <c r="E197">
        <v>9</v>
      </c>
      <c r="F197">
        <v>129</v>
      </c>
      <c r="G197">
        <v>4.6064188141929998E-4</v>
      </c>
      <c r="H197">
        <v>4</v>
      </c>
      <c r="I197">
        <v>3</v>
      </c>
      <c r="J197">
        <v>0.3178609111001201</v>
      </c>
      <c r="K197">
        <v>-0.2906828291692703</v>
      </c>
      <c r="L197">
        <v>58494595.385748439</v>
      </c>
      <c r="M197" t="s">
        <v>156</v>
      </c>
      <c r="N197" t="s">
        <v>97</v>
      </c>
      <c r="O197" t="s">
        <v>168</v>
      </c>
      <c r="P197">
        <v>2535</v>
      </c>
      <c r="Q197">
        <v>1374</v>
      </c>
      <c r="R197">
        <v>1161</v>
      </c>
      <c r="S197" t="e">
        <f>#REF!/#REF!</f>
        <v>#REF!</v>
      </c>
    </row>
    <row r="198" spans="1:19" x14ac:dyDescent="0.3">
      <c r="A198" t="s">
        <v>1218</v>
      </c>
      <c r="B198">
        <v>2022</v>
      </c>
      <c r="C198">
        <v>0.92518029033714677</v>
      </c>
      <c r="D198">
        <v>993078.515625</v>
      </c>
      <c r="E198">
        <v>56</v>
      </c>
      <c r="F198">
        <v>151</v>
      </c>
      <c r="G198">
        <v>7.7653902709329996E-4</v>
      </c>
      <c r="H198">
        <v>10</v>
      </c>
      <c r="I198">
        <v>3</v>
      </c>
      <c r="J198">
        <v>0.32392099291768428</v>
      </c>
      <c r="K198">
        <v>-0.27611832188886209</v>
      </c>
      <c r="L198">
        <v>81597483.161557838</v>
      </c>
      <c r="M198" t="s">
        <v>612</v>
      </c>
      <c r="N198" t="s">
        <v>635</v>
      </c>
      <c r="O198" t="s">
        <v>639</v>
      </c>
      <c r="P198">
        <v>955</v>
      </c>
      <c r="Q198">
        <v>35</v>
      </c>
      <c r="R198">
        <v>920</v>
      </c>
      <c r="S198" t="e">
        <f>#REF!/#REF!</f>
        <v>#REF!</v>
      </c>
    </row>
    <row r="199" spans="1:19" x14ac:dyDescent="0.3">
      <c r="A199" t="s">
        <v>1219</v>
      </c>
      <c r="B199">
        <v>2022</v>
      </c>
      <c r="C199">
        <v>0.79779016942915981</v>
      </c>
      <c r="D199">
        <v>859620.42941176472</v>
      </c>
      <c r="E199">
        <v>21</v>
      </c>
      <c r="F199">
        <v>157</v>
      </c>
      <c r="G199">
        <v>7.6293876069240003E-4</v>
      </c>
      <c r="H199">
        <v>10</v>
      </c>
      <c r="I199">
        <v>2</v>
      </c>
      <c r="J199">
        <v>0.61827635426446492</v>
      </c>
      <c r="K199">
        <v>-0.24051064303097131</v>
      </c>
      <c r="L199">
        <v>370631471.37880713</v>
      </c>
      <c r="M199" t="s">
        <v>756</v>
      </c>
      <c r="N199" t="s">
        <v>766</v>
      </c>
      <c r="O199" t="s">
        <v>766</v>
      </c>
      <c r="P199">
        <v>1883</v>
      </c>
      <c r="Q199">
        <v>1167</v>
      </c>
      <c r="R199">
        <v>716</v>
      </c>
      <c r="S199" t="e">
        <f>#REF!/#REF!</f>
        <v>#REF!</v>
      </c>
    </row>
    <row r="200" spans="1:19" x14ac:dyDescent="0.3">
      <c r="A200" t="s">
        <v>1220</v>
      </c>
      <c r="B200">
        <v>2022</v>
      </c>
      <c r="C200">
        <v>0.51533368708746219</v>
      </c>
      <c r="D200">
        <v>1489621.5</v>
      </c>
      <c r="E200">
        <v>8</v>
      </c>
      <c r="F200">
        <v>46</v>
      </c>
      <c r="G200">
        <v>2.1319290347924002E-3</v>
      </c>
      <c r="H200">
        <v>8</v>
      </c>
      <c r="I200">
        <v>1</v>
      </c>
      <c r="J200">
        <v>0.68689086008029887</v>
      </c>
      <c r="K200">
        <v>-0.27211954540154459</v>
      </c>
      <c r="L200">
        <v>639353232.6268332</v>
      </c>
      <c r="M200" t="s">
        <v>756</v>
      </c>
      <c r="N200" t="s">
        <v>770</v>
      </c>
      <c r="O200" t="s">
        <v>770</v>
      </c>
      <c r="P200">
        <v>5687</v>
      </c>
      <c r="Q200">
        <v>1084</v>
      </c>
      <c r="R200">
        <v>4603</v>
      </c>
      <c r="S200" t="e">
        <f>#REF!/#REF!</f>
        <v>#REF!</v>
      </c>
    </row>
    <row r="201" spans="1:19" x14ac:dyDescent="0.3">
      <c r="A201" t="s">
        <v>1221</v>
      </c>
      <c r="B201">
        <v>2022</v>
      </c>
      <c r="C201">
        <v>6.5166491842014747</v>
      </c>
      <c r="D201">
        <v>57340996.450551473</v>
      </c>
      <c r="E201">
        <v>444</v>
      </c>
      <c r="F201">
        <v>1307</v>
      </c>
      <c r="G201">
        <v>2.1387229288880001E-4</v>
      </c>
      <c r="H201">
        <v>12</v>
      </c>
      <c r="I201">
        <v>14</v>
      </c>
      <c r="L201">
        <v>111586568.3344398</v>
      </c>
      <c r="M201" t="s">
        <v>652</v>
      </c>
      <c r="N201" t="s">
        <v>772</v>
      </c>
      <c r="O201" t="s">
        <v>145</v>
      </c>
      <c r="P201">
        <v>49846</v>
      </c>
      <c r="Q201">
        <v>42636</v>
      </c>
      <c r="R201">
        <v>7210</v>
      </c>
      <c r="S201" t="e">
        <f>#REF!/#REF!</f>
        <v>#REF!</v>
      </c>
    </row>
    <row r="202" spans="1:19" x14ac:dyDescent="0.3">
      <c r="A202" t="s">
        <v>1222</v>
      </c>
      <c r="B202">
        <v>2022</v>
      </c>
      <c r="C202">
        <v>7.3988976459034141</v>
      </c>
      <c r="D202">
        <v>102130.48995098039</v>
      </c>
      <c r="E202">
        <v>9</v>
      </c>
      <c r="F202">
        <v>203</v>
      </c>
      <c r="G202">
        <v>5.3048362956980004E-4</v>
      </c>
      <c r="H202">
        <v>13</v>
      </c>
      <c r="I202">
        <v>2</v>
      </c>
      <c r="J202">
        <v>0.51062536740919229</v>
      </c>
      <c r="K202">
        <v>-0.35945544235850591</v>
      </c>
      <c r="L202">
        <v>16169106.21656906</v>
      </c>
      <c r="M202" t="s">
        <v>20</v>
      </c>
      <c r="N202" t="s">
        <v>21</v>
      </c>
      <c r="O202" t="s">
        <v>37</v>
      </c>
      <c r="P202">
        <v>5039</v>
      </c>
      <c r="Q202">
        <v>3582</v>
      </c>
      <c r="R202">
        <v>1457</v>
      </c>
      <c r="S202" t="e">
        <f>#REF!/#REF!</f>
        <v>#REF!</v>
      </c>
    </row>
    <row r="203" spans="1:19" x14ac:dyDescent="0.3">
      <c r="A203" t="s">
        <v>1223</v>
      </c>
      <c r="B203">
        <v>2022</v>
      </c>
      <c r="C203">
        <v>0.7941511402866589</v>
      </c>
      <c r="D203">
        <v>649509.52751225489</v>
      </c>
      <c r="E203">
        <v>12</v>
      </c>
      <c r="F203">
        <v>142</v>
      </c>
      <c r="G203">
        <v>3.6009208958759999E-4</v>
      </c>
      <c r="H203">
        <v>10</v>
      </c>
      <c r="I203">
        <v>17</v>
      </c>
      <c r="J203">
        <v>0.5003871765805008</v>
      </c>
      <c r="K203">
        <v>-0.3343831850888167</v>
      </c>
      <c r="L203">
        <v>149179127.0093492</v>
      </c>
      <c r="M203" t="s">
        <v>156</v>
      </c>
      <c r="N203" t="s">
        <v>177</v>
      </c>
      <c r="O203" t="s">
        <v>178</v>
      </c>
      <c r="P203">
        <v>2657</v>
      </c>
      <c r="Q203">
        <v>830</v>
      </c>
      <c r="R203">
        <v>1827</v>
      </c>
      <c r="S203" t="e">
        <f>#REF!/#REF!</f>
        <v>#REF!</v>
      </c>
    </row>
    <row r="204" spans="1:19" x14ac:dyDescent="0.3">
      <c r="A204" t="s">
        <v>1224</v>
      </c>
      <c r="B204">
        <v>2022</v>
      </c>
      <c r="C204">
        <v>4.0383612816169494</v>
      </c>
      <c r="D204">
        <v>96218.330514705885</v>
      </c>
      <c r="E204">
        <v>26</v>
      </c>
      <c r="F204">
        <v>48</v>
      </c>
      <c r="G204">
        <v>1.1661799664129001E-3</v>
      </c>
      <c r="H204">
        <v>7</v>
      </c>
      <c r="I204">
        <v>0</v>
      </c>
      <c r="J204">
        <v>0.4796699430209273</v>
      </c>
      <c r="K204">
        <v>-0.3429660209455318</v>
      </c>
      <c r="L204">
        <v>10263463.69740502</v>
      </c>
      <c r="M204" t="s">
        <v>287</v>
      </c>
      <c r="N204" t="s">
        <v>336</v>
      </c>
      <c r="O204" t="s">
        <v>342</v>
      </c>
      <c r="P204">
        <v>963</v>
      </c>
      <c r="Q204">
        <v>540</v>
      </c>
      <c r="R204">
        <v>423</v>
      </c>
      <c r="S204" t="e">
        <f>#REF!/#REF!</f>
        <v>#REF!</v>
      </c>
    </row>
    <row r="205" spans="1:19" x14ac:dyDescent="0.3">
      <c r="A205" t="s">
        <v>1225</v>
      </c>
      <c r="B205">
        <v>2022</v>
      </c>
      <c r="C205">
        <v>0.94042103350561157</v>
      </c>
      <c r="D205">
        <v>3608842.4644607841</v>
      </c>
      <c r="E205">
        <v>35</v>
      </c>
      <c r="F205">
        <v>224</v>
      </c>
      <c r="G205">
        <v>7.4932055449720004E-4</v>
      </c>
      <c r="H205">
        <v>7</v>
      </c>
      <c r="I205">
        <v>1</v>
      </c>
      <c r="J205">
        <v>0.29811681173266918</v>
      </c>
      <c r="K205">
        <v>-0.26877518399013339</v>
      </c>
      <c r="L205">
        <v>137100260.83522949</v>
      </c>
      <c r="M205" t="s">
        <v>612</v>
      </c>
      <c r="N205" t="s">
        <v>668</v>
      </c>
      <c r="O205" t="s">
        <v>669</v>
      </c>
      <c r="P205">
        <v>6301</v>
      </c>
      <c r="Q205">
        <v>1698</v>
      </c>
      <c r="R205">
        <v>4603</v>
      </c>
      <c r="S205" t="e">
        <f>#REF!/#REF!</f>
        <v>#REF!</v>
      </c>
    </row>
    <row r="206" spans="1:19" x14ac:dyDescent="0.3">
      <c r="A206" t="s">
        <v>1226</v>
      </c>
      <c r="B206">
        <v>2022</v>
      </c>
      <c r="C206">
        <v>2.153131758478279</v>
      </c>
      <c r="D206">
        <v>250925.4317401961</v>
      </c>
      <c r="E206">
        <v>12</v>
      </c>
      <c r="F206">
        <v>120</v>
      </c>
      <c r="G206">
        <v>4.9974671052870003E-4</v>
      </c>
      <c r="H206">
        <v>6</v>
      </c>
      <c r="I206">
        <v>2</v>
      </c>
      <c r="J206">
        <v>0.55164239892800326</v>
      </c>
      <c r="K206">
        <v>-0.30295233884760309</v>
      </c>
      <c r="L206">
        <v>41905784.037630983</v>
      </c>
      <c r="M206" t="s">
        <v>20</v>
      </c>
      <c r="N206" t="s">
        <v>46</v>
      </c>
      <c r="O206" t="s">
        <v>52</v>
      </c>
      <c r="P206">
        <v>3045</v>
      </c>
      <c r="Q206">
        <v>1094</v>
      </c>
      <c r="R206">
        <v>1951</v>
      </c>
      <c r="S206" t="e">
        <f>#REF!/#REF!</f>
        <v>#REF!</v>
      </c>
    </row>
    <row r="207" spans="1:19" x14ac:dyDescent="0.3">
      <c r="A207" t="s">
        <v>1227</v>
      </c>
      <c r="B207">
        <v>2022</v>
      </c>
      <c r="C207">
        <v>4.2419589232432164</v>
      </c>
      <c r="D207">
        <v>24223062.226286761</v>
      </c>
      <c r="E207">
        <v>96</v>
      </c>
      <c r="F207">
        <v>2146</v>
      </c>
      <c r="G207">
        <v>1.3162226186410001E-4</v>
      </c>
      <c r="H207">
        <v>12</v>
      </c>
      <c r="I207">
        <v>6</v>
      </c>
      <c r="J207">
        <v>0.18285318254069999</v>
      </c>
      <c r="K207">
        <v>-0.30724509113299242</v>
      </c>
      <c r="L207">
        <v>537478977.03875327</v>
      </c>
      <c r="M207" t="s">
        <v>940</v>
      </c>
      <c r="N207" t="s">
        <v>940</v>
      </c>
      <c r="O207" t="s">
        <v>940</v>
      </c>
      <c r="P207">
        <v>72545</v>
      </c>
      <c r="Q207">
        <v>42058</v>
      </c>
      <c r="R207">
        <v>30487</v>
      </c>
      <c r="S207" t="e">
        <f>#REF!/#REF!</f>
        <v>#REF!</v>
      </c>
    </row>
    <row r="208" spans="1:19" x14ac:dyDescent="0.3">
      <c r="A208" t="s">
        <v>1228</v>
      </c>
      <c r="B208">
        <v>2022</v>
      </c>
      <c r="C208">
        <v>1.939486299550194</v>
      </c>
      <c r="D208">
        <v>40883.757352941167</v>
      </c>
      <c r="E208">
        <v>2</v>
      </c>
      <c r="F208">
        <v>113</v>
      </c>
      <c r="G208">
        <v>7.979616413098E-4</v>
      </c>
      <c r="H208">
        <v>7</v>
      </c>
      <c r="I208">
        <v>2</v>
      </c>
      <c r="J208">
        <v>0.40755589850021401</v>
      </c>
      <c r="K208">
        <v>-0.34339448173710591</v>
      </c>
      <c r="L208">
        <v>34892792.724922404</v>
      </c>
      <c r="M208" t="s">
        <v>97</v>
      </c>
      <c r="N208" t="s">
        <v>109</v>
      </c>
      <c r="O208" t="s">
        <v>111</v>
      </c>
      <c r="P208">
        <v>2745</v>
      </c>
      <c r="Q208">
        <v>865</v>
      </c>
      <c r="R208">
        <v>1880</v>
      </c>
      <c r="S208" t="e">
        <f>#REF!/#REF!</f>
        <v>#REF!</v>
      </c>
    </row>
    <row r="209" spans="1:19" x14ac:dyDescent="0.3">
      <c r="A209" t="s">
        <v>1229</v>
      </c>
      <c r="B209">
        <v>2022</v>
      </c>
      <c r="C209">
        <v>13.36331437080068</v>
      </c>
      <c r="D209">
        <v>5745079.1718137264</v>
      </c>
      <c r="E209">
        <v>864</v>
      </c>
      <c r="F209">
        <v>135</v>
      </c>
      <c r="G209">
        <v>1.431878128869E-3</v>
      </c>
      <c r="H209">
        <v>11</v>
      </c>
      <c r="I209">
        <v>2</v>
      </c>
      <c r="J209">
        <v>0.35897895946105229</v>
      </c>
      <c r="K209">
        <v>-0.26322048295581391</v>
      </c>
      <c r="L209">
        <v>10447145.66877198</v>
      </c>
      <c r="M209" t="s">
        <v>830</v>
      </c>
      <c r="N209" t="s">
        <v>831</v>
      </c>
      <c r="O209" t="s">
        <v>404</v>
      </c>
      <c r="P209">
        <v>6187</v>
      </c>
      <c r="Q209">
        <v>4549</v>
      </c>
      <c r="R209">
        <v>1638</v>
      </c>
      <c r="S209" t="e">
        <f>#REF!/#REF!</f>
        <v>#REF!</v>
      </c>
    </row>
    <row r="210" spans="1:19" x14ac:dyDescent="0.3">
      <c r="A210" t="s">
        <v>1230</v>
      </c>
      <c r="B210">
        <v>2022</v>
      </c>
      <c r="C210">
        <v>14.19498901039873</v>
      </c>
      <c r="D210">
        <v>5324504.5558823533</v>
      </c>
      <c r="E210">
        <v>843</v>
      </c>
      <c r="F210">
        <v>315</v>
      </c>
      <c r="G210">
        <v>7.0300234607389999E-4</v>
      </c>
      <c r="H210">
        <v>14</v>
      </c>
      <c r="I210">
        <v>4</v>
      </c>
      <c r="J210">
        <v>0.40488224330316841</v>
      </c>
      <c r="K210">
        <v>-0.27899641755811277</v>
      </c>
      <c r="L210">
        <v>12502053.017602229</v>
      </c>
      <c r="M210" t="s">
        <v>830</v>
      </c>
      <c r="N210" t="s">
        <v>857</v>
      </c>
      <c r="O210" t="s">
        <v>863</v>
      </c>
      <c r="P210">
        <v>6288</v>
      </c>
      <c r="Q210">
        <v>1801</v>
      </c>
      <c r="R210">
        <v>4487</v>
      </c>
      <c r="S210" t="e">
        <f>#REF!/#REF!</f>
        <v>#REF!</v>
      </c>
    </row>
    <row r="211" spans="1:19" x14ac:dyDescent="0.3">
      <c r="A211" t="s">
        <v>1231</v>
      </c>
      <c r="B211">
        <v>2022</v>
      </c>
      <c r="C211">
        <v>8.5011116666974278</v>
      </c>
      <c r="D211">
        <v>1650299.4102328429</v>
      </c>
      <c r="E211">
        <v>161</v>
      </c>
      <c r="F211">
        <v>147</v>
      </c>
      <c r="G211">
        <v>1.4932198193276999E-3</v>
      </c>
      <c r="H211">
        <v>8</v>
      </c>
      <c r="I211">
        <v>2</v>
      </c>
      <c r="J211">
        <v>0.31746532950029471</v>
      </c>
      <c r="K211">
        <v>-0.27753043844966863</v>
      </c>
      <c r="L211">
        <v>15439738.97499867</v>
      </c>
      <c r="M211" t="s">
        <v>830</v>
      </c>
      <c r="N211" t="s">
        <v>831</v>
      </c>
      <c r="O211" t="s">
        <v>845</v>
      </c>
      <c r="P211">
        <v>6141</v>
      </c>
      <c r="Q211">
        <v>3603</v>
      </c>
      <c r="R211">
        <v>2538</v>
      </c>
      <c r="S211" t="e">
        <f>#REF!/#REF!</f>
        <v>#REF!</v>
      </c>
    </row>
    <row r="212" spans="1:19" x14ac:dyDescent="0.3">
      <c r="A212" t="s">
        <v>1232</v>
      </c>
      <c r="B212">
        <v>2022</v>
      </c>
      <c r="C212">
        <v>1.007591329415048</v>
      </c>
      <c r="D212">
        <v>1734124.1875</v>
      </c>
      <c r="E212">
        <v>14</v>
      </c>
      <c r="F212">
        <v>302</v>
      </c>
      <c r="G212">
        <v>1.9298497450910001E-4</v>
      </c>
      <c r="H212">
        <v>14</v>
      </c>
      <c r="I212">
        <v>31</v>
      </c>
      <c r="J212">
        <v>0.43125707473582908</v>
      </c>
      <c r="K212">
        <v>-0.33180145137115608</v>
      </c>
      <c r="L212">
        <v>241196700.2914764</v>
      </c>
      <c r="M212" t="s">
        <v>499</v>
      </c>
      <c r="N212" t="s">
        <v>550</v>
      </c>
      <c r="O212" t="s">
        <v>551</v>
      </c>
      <c r="P212">
        <v>8983</v>
      </c>
      <c r="Q212">
        <v>5659</v>
      </c>
      <c r="R212">
        <v>3324</v>
      </c>
      <c r="S212" t="e">
        <f>#REF!/#REF!</f>
        <v>#REF!</v>
      </c>
    </row>
    <row r="213" spans="1:19" x14ac:dyDescent="0.3">
      <c r="A213" t="s">
        <v>1233</v>
      </c>
      <c r="B213">
        <v>2022</v>
      </c>
      <c r="C213">
        <v>2.1710890531756011</v>
      </c>
      <c r="D213">
        <v>2233966.078125</v>
      </c>
      <c r="E213">
        <v>8</v>
      </c>
      <c r="F213">
        <v>643</v>
      </c>
      <c r="G213">
        <v>1.518674586598E-4</v>
      </c>
      <c r="H213">
        <v>16</v>
      </c>
      <c r="I213">
        <v>6</v>
      </c>
      <c r="J213">
        <v>0.27621324437526329</v>
      </c>
      <c r="K213">
        <v>-0.23442106986076641</v>
      </c>
      <c r="L213">
        <v>365005095.08058041</v>
      </c>
      <c r="M213" t="s">
        <v>406</v>
      </c>
      <c r="N213" t="s">
        <v>441</v>
      </c>
      <c r="O213" t="s">
        <v>441</v>
      </c>
      <c r="P213">
        <v>43691</v>
      </c>
      <c r="Q213">
        <v>11273</v>
      </c>
      <c r="R213">
        <v>32418</v>
      </c>
      <c r="S213" t="e">
        <f>#REF!/#REF!</f>
        <v>#REF!</v>
      </c>
    </row>
    <row r="214" spans="1:19" x14ac:dyDescent="0.3">
      <c r="A214" t="s">
        <v>1234</v>
      </c>
      <c r="B214">
        <v>2022</v>
      </c>
      <c r="C214">
        <v>9.8510331513224365</v>
      </c>
      <c r="D214">
        <v>5883512.7572916681</v>
      </c>
      <c r="E214">
        <v>814</v>
      </c>
      <c r="F214">
        <v>161</v>
      </c>
      <c r="G214">
        <v>7.8853973078520003E-4</v>
      </c>
      <c r="H214">
        <v>5</v>
      </c>
      <c r="I214">
        <v>2</v>
      </c>
      <c r="J214">
        <v>0.48005726508499191</v>
      </c>
      <c r="K214">
        <v>-0.34717873574753372</v>
      </c>
      <c r="L214">
        <v>12790115.22673128</v>
      </c>
      <c r="M214" t="s">
        <v>830</v>
      </c>
      <c r="N214" t="s">
        <v>831</v>
      </c>
      <c r="O214" t="s">
        <v>832</v>
      </c>
      <c r="P214">
        <v>5281</v>
      </c>
      <c r="Q214">
        <v>2647</v>
      </c>
      <c r="R214">
        <v>2634</v>
      </c>
      <c r="S214" t="e">
        <f>#REF!/#REF!</f>
        <v>#REF!</v>
      </c>
    </row>
    <row r="215" spans="1:19" x14ac:dyDescent="0.3">
      <c r="A215" t="s">
        <v>1235</v>
      </c>
      <c r="B215">
        <v>2022</v>
      </c>
      <c r="C215">
        <v>5.338210639583445</v>
      </c>
      <c r="D215">
        <v>4082386.286825981</v>
      </c>
      <c r="E215">
        <v>417</v>
      </c>
      <c r="F215">
        <v>159</v>
      </c>
      <c r="G215">
        <v>6.6256274915490001E-4</v>
      </c>
      <c r="H215">
        <v>7</v>
      </c>
      <c r="I215">
        <v>1</v>
      </c>
      <c r="J215">
        <v>0.43238594171429068</v>
      </c>
      <c r="K215">
        <v>-0.3348591236674256</v>
      </c>
      <c r="L215">
        <v>19649343.485476971</v>
      </c>
      <c r="M215" t="s">
        <v>830</v>
      </c>
      <c r="N215" t="s">
        <v>831</v>
      </c>
      <c r="O215" t="s">
        <v>834</v>
      </c>
      <c r="P215">
        <v>3931</v>
      </c>
      <c r="Q215">
        <v>1558</v>
      </c>
      <c r="R215">
        <v>2373</v>
      </c>
      <c r="S215" t="e">
        <f>#REF!/#REF!</f>
        <v>#REF!</v>
      </c>
    </row>
    <row r="216" spans="1:19" x14ac:dyDescent="0.3">
      <c r="A216" t="s">
        <v>1236</v>
      </c>
      <c r="B216">
        <v>2022</v>
      </c>
      <c r="C216">
        <v>1.1259569595567831</v>
      </c>
      <c r="D216">
        <v>1241568.609375</v>
      </c>
      <c r="E216">
        <v>9</v>
      </c>
      <c r="F216">
        <v>328</v>
      </c>
      <c r="G216">
        <v>3.4641414546709998E-4</v>
      </c>
      <c r="H216">
        <v>16</v>
      </c>
      <c r="I216">
        <v>28</v>
      </c>
      <c r="J216">
        <v>0.59917281202648431</v>
      </c>
      <c r="K216">
        <v>-0.29051081275574042</v>
      </c>
      <c r="L216">
        <v>167267276.2756061</v>
      </c>
      <c r="M216" t="s">
        <v>612</v>
      </c>
      <c r="N216" t="s">
        <v>627</v>
      </c>
      <c r="O216" t="s">
        <v>631</v>
      </c>
      <c r="P216">
        <v>11953</v>
      </c>
      <c r="Q216">
        <v>1213</v>
      </c>
      <c r="R216">
        <v>10740</v>
      </c>
      <c r="S216" t="e">
        <f>#REF!/#REF!</f>
        <v>#REF!</v>
      </c>
    </row>
    <row r="217" spans="1:19" x14ac:dyDescent="0.3">
      <c r="A217" t="s">
        <v>1237</v>
      </c>
      <c r="B217">
        <v>2022</v>
      </c>
      <c r="C217">
        <v>2.5249725091008481</v>
      </c>
      <c r="D217">
        <v>6451971.875</v>
      </c>
      <c r="E217">
        <v>30</v>
      </c>
      <c r="F217">
        <v>737</v>
      </c>
      <c r="G217">
        <v>3.8723730386019999E-4</v>
      </c>
      <c r="H217">
        <v>19</v>
      </c>
      <c r="I217">
        <v>4</v>
      </c>
      <c r="J217">
        <v>0.38692001547465438</v>
      </c>
      <c r="K217">
        <v>-0.27834558073951687</v>
      </c>
      <c r="L217">
        <v>231000959.7363514</v>
      </c>
      <c r="M217" t="s">
        <v>406</v>
      </c>
      <c r="N217" t="s">
        <v>434</v>
      </c>
      <c r="O217" t="s">
        <v>434</v>
      </c>
      <c r="P217">
        <v>44130</v>
      </c>
      <c r="Q217">
        <v>24248</v>
      </c>
      <c r="R217">
        <v>19882</v>
      </c>
      <c r="S217" t="e">
        <f>#REF!/#REF!</f>
        <v>#REF!</v>
      </c>
    </row>
    <row r="218" spans="1:19" x14ac:dyDescent="0.3">
      <c r="A218" t="s">
        <v>1238</v>
      </c>
      <c r="B218">
        <v>2022</v>
      </c>
      <c r="C218">
        <v>1.9583491269941959</v>
      </c>
      <c r="D218">
        <v>5509436.9285539212</v>
      </c>
      <c r="E218">
        <v>67</v>
      </c>
      <c r="F218">
        <v>305</v>
      </c>
      <c r="G218">
        <v>3.3650113249810001E-4</v>
      </c>
      <c r="H218">
        <v>6</v>
      </c>
      <c r="I218">
        <v>6</v>
      </c>
      <c r="J218">
        <v>0.41875583987119869</v>
      </c>
      <c r="K218">
        <v>-0.25571320058613772</v>
      </c>
      <c r="L218">
        <v>166186430.71365979</v>
      </c>
      <c r="M218" t="s">
        <v>232</v>
      </c>
      <c r="N218" t="s">
        <v>260</v>
      </c>
      <c r="O218" t="s">
        <v>260</v>
      </c>
      <c r="P218">
        <v>13399</v>
      </c>
      <c r="Q218">
        <v>8401</v>
      </c>
      <c r="R218">
        <v>4998</v>
      </c>
      <c r="S218" t="e">
        <f>#REF!/#REF!</f>
        <v>#REF!</v>
      </c>
    </row>
    <row r="219" spans="1:19" x14ac:dyDescent="0.3">
      <c r="A219" t="s">
        <v>1239</v>
      </c>
      <c r="B219">
        <v>2022</v>
      </c>
      <c r="C219">
        <v>2.1752577208042192</v>
      </c>
      <c r="D219">
        <v>1111916.7229779409</v>
      </c>
      <c r="E219">
        <v>28</v>
      </c>
      <c r="F219">
        <v>184</v>
      </c>
      <c r="G219">
        <v>4.392679516713E-4</v>
      </c>
      <c r="H219">
        <v>12</v>
      </c>
      <c r="I219">
        <v>7</v>
      </c>
      <c r="J219">
        <v>0.35944837841262478</v>
      </c>
      <c r="K219">
        <v>-0.33252291828292962</v>
      </c>
      <c r="L219">
        <v>41286252.545430802</v>
      </c>
      <c r="M219" t="s">
        <v>191</v>
      </c>
      <c r="N219" t="s">
        <v>218</v>
      </c>
      <c r="O219" t="s">
        <v>221</v>
      </c>
      <c r="P219">
        <v>7254</v>
      </c>
      <c r="Q219">
        <v>2480</v>
      </c>
      <c r="R219">
        <v>4774</v>
      </c>
      <c r="S219" t="e">
        <f>#REF!/#REF!</f>
        <v>#REF!</v>
      </c>
    </row>
    <row r="220" spans="1:19" x14ac:dyDescent="0.3">
      <c r="A220" t="s">
        <v>1240</v>
      </c>
      <c r="B220">
        <v>2022</v>
      </c>
      <c r="C220">
        <v>0.80200736137056561</v>
      </c>
      <c r="D220">
        <v>3567507.7468137252</v>
      </c>
      <c r="E220">
        <v>42</v>
      </c>
      <c r="F220">
        <v>218</v>
      </c>
      <c r="G220">
        <v>3.291034343153E-4</v>
      </c>
      <c r="H220">
        <v>5</v>
      </c>
      <c r="I220">
        <v>8</v>
      </c>
      <c r="J220">
        <v>0.38914936130561179</v>
      </c>
      <c r="K220">
        <v>-0.30831567563648909</v>
      </c>
      <c r="L220">
        <v>161759411.74461561</v>
      </c>
      <c r="M220" t="s">
        <v>191</v>
      </c>
      <c r="N220" t="s">
        <v>218</v>
      </c>
      <c r="O220" t="s">
        <v>220</v>
      </c>
      <c r="P220">
        <v>5949</v>
      </c>
      <c r="Q220">
        <v>507</v>
      </c>
      <c r="R220">
        <v>5442</v>
      </c>
      <c r="S220" t="e">
        <f>#REF!/#REF!</f>
        <v>#REF!</v>
      </c>
    </row>
    <row r="221" spans="1:19" x14ac:dyDescent="0.3">
      <c r="A221" t="s">
        <v>1241</v>
      </c>
      <c r="B221">
        <v>2022</v>
      </c>
      <c r="C221">
        <v>0.95480554471251444</v>
      </c>
      <c r="D221">
        <v>991225.1875</v>
      </c>
      <c r="E221">
        <v>20</v>
      </c>
      <c r="F221">
        <v>133</v>
      </c>
      <c r="G221">
        <v>4.5634620096100001E-4</v>
      </c>
      <c r="H221">
        <v>3</v>
      </c>
      <c r="I221">
        <v>19</v>
      </c>
      <c r="J221">
        <v>0.54719127805935031</v>
      </c>
      <c r="K221">
        <v>-0.1919417441138751</v>
      </c>
      <c r="L221">
        <v>475489741.38388002</v>
      </c>
      <c r="M221" t="s">
        <v>874</v>
      </c>
      <c r="N221" t="s">
        <v>895</v>
      </c>
      <c r="O221" t="s">
        <v>897</v>
      </c>
      <c r="P221">
        <v>4131</v>
      </c>
      <c r="Q221">
        <v>1614</v>
      </c>
      <c r="R221">
        <v>2517</v>
      </c>
      <c r="S221" t="e">
        <f>#REF!/#REF!</f>
        <v>#REF!</v>
      </c>
    </row>
    <row r="222" spans="1:19" x14ac:dyDescent="0.3">
      <c r="A222" t="s">
        <v>1242</v>
      </c>
      <c r="B222">
        <v>2022</v>
      </c>
      <c r="C222">
        <v>22.061761723525851</v>
      </c>
      <c r="D222">
        <v>9716365.3017156832</v>
      </c>
      <c r="E222">
        <v>1209</v>
      </c>
      <c r="F222">
        <v>328</v>
      </c>
      <c r="G222">
        <v>9.1902776377579998E-4</v>
      </c>
      <c r="H222">
        <v>10</v>
      </c>
      <c r="I222">
        <v>1</v>
      </c>
      <c r="J222">
        <v>0.33348518778089731</v>
      </c>
      <c r="K222">
        <v>-0.26542593047384933</v>
      </c>
      <c r="L222">
        <v>14155062.69249242</v>
      </c>
      <c r="M222" t="s">
        <v>830</v>
      </c>
      <c r="N222" t="s">
        <v>831</v>
      </c>
      <c r="O222" t="s">
        <v>835</v>
      </c>
      <c r="P222">
        <v>15766</v>
      </c>
      <c r="Q222">
        <v>11800</v>
      </c>
      <c r="R222">
        <v>3966</v>
      </c>
      <c r="S222" t="e">
        <f>#REF!/#REF!</f>
        <v>#REF!</v>
      </c>
    </row>
    <row r="223" spans="1:19" x14ac:dyDescent="0.3">
      <c r="A223" t="s">
        <v>1243</v>
      </c>
      <c r="B223">
        <v>2022</v>
      </c>
      <c r="C223">
        <v>2.2816317558860431</v>
      </c>
      <c r="D223">
        <v>525669.01629901957</v>
      </c>
      <c r="E223">
        <v>57</v>
      </c>
      <c r="F223">
        <v>95</v>
      </c>
      <c r="G223">
        <v>1.0261034498841E-3</v>
      </c>
      <c r="H223">
        <v>6</v>
      </c>
      <c r="I223">
        <v>7</v>
      </c>
      <c r="J223">
        <v>0.3936876977571897</v>
      </c>
      <c r="K223">
        <v>-0.36594457824329391</v>
      </c>
      <c r="L223">
        <v>26005119.154226061</v>
      </c>
      <c r="M223" t="s">
        <v>97</v>
      </c>
      <c r="N223" t="s">
        <v>98</v>
      </c>
      <c r="O223" t="s">
        <v>104</v>
      </c>
      <c r="P223">
        <v>1896</v>
      </c>
      <c r="Q223">
        <v>746</v>
      </c>
      <c r="R223">
        <v>1150</v>
      </c>
      <c r="S223" t="e">
        <f>#REF!/#REF!</f>
        <v>#REF!</v>
      </c>
    </row>
    <row r="224" spans="1:19" x14ac:dyDescent="0.3">
      <c r="A224" t="s">
        <v>1244</v>
      </c>
      <c r="B224">
        <v>2022</v>
      </c>
      <c r="C224">
        <v>17.529422483712949</v>
      </c>
      <c r="D224">
        <v>10035801.80085784</v>
      </c>
      <c r="E224">
        <v>1563</v>
      </c>
      <c r="F224">
        <v>282</v>
      </c>
      <c r="G224">
        <v>6.890579460486E-4</v>
      </c>
      <c r="H224">
        <v>8</v>
      </c>
      <c r="I224">
        <v>1</v>
      </c>
      <c r="J224">
        <v>0.38807775424159402</v>
      </c>
      <c r="K224">
        <v>-0.28544061879844551</v>
      </c>
      <c r="L224">
        <v>15974194.674766939</v>
      </c>
      <c r="M224" t="s">
        <v>830</v>
      </c>
      <c r="N224" t="s">
        <v>831</v>
      </c>
      <c r="O224" t="s">
        <v>839</v>
      </c>
      <c r="P224">
        <v>10382</v>
      </c>
      <c r="Q224">
        <v>6721</v>
      </c>
      <c r="R224">
        <v>3661</v>
      </c>
      <c r="S224" t="e">
        <f>#REF!/#REF!</f>
        <v>#REF!</v>
      </c>
    </row>
    <row r="225" spans="1:19" x14ac:dyDescent="0.3">
      <c r="A225" t="s">
        <v>1245</v>
      </c>
      <c r="B225">
        <v>2022</v>
      </c>
      <c r="C225">
        <v>1.0751381583574739</v>
      </c>
      <c r="D225">
        <v>442740.72028186283</v>
      </c>
      <c r="E225">
        <v>5</v>
      </c>
      <c r="F225">
        <v>321</v>
      </c>
      <c r="G225">
        <v>4.6016492654859999E-4</v>
      </c>
      <c r="H225">
        <v>10</v>
      </c>
      <c r="I225">
        <v>0</v>
      </c>
      <c r="J225">
        <v>0.249873553118307</v>
      </c>
      <c r="K225">
        <v>-0.1114088508207892</v>
      </c>
      <c r="L225">
        <v>757967400.82402956</v>
      </c>
      <c r="M225" t="s">
        <v>406</v>
      </c>
      <c r="N225" t="s">
        <v>429</v>
      </c>
      <c r="O225" t="s">
        <v>433</v>
      </c>
      <c r="P225">
        <v>9450</v>
      </c>
      <c r="Q225">
        <v>1050</v>
      </c>
      <c r="R225">
        <v>8400</v>
      </c>
      <c r="S225" t="e">
        <f>#REF!/#REF!</f>
        <v>#REF!</v>
      </c>
    </row>
    <row r="226" spans="1:19" x14ac:dyDescent="0.3">
      <c r="A226" t="s">
        <v>1246</v>
      </c>
      <c r="B226">
        <v>2022</v>
      </c>
      <c r="C226">
        <v>0.52484877405899777</v>
      </c>
      <c r="D226">
        <v>36987.842524509811</v>
      </c>
      <c r="E226">
        <v>2</v>
      </c>
      <c r="F226">
        <v>37</v>
      </c>
      <c r="G226">
        <v>4.7365494825078996E-3</v>
      </c>
      <c r="H226">
        <v>4</v>
      </c>
      <c r="I226">
        <v>6</v>
      </c>
      <c r="J226">
        <v>0.59831385105613399</v>
      </c>
      <c r="K226">
        <v>-0.25532063130984511</v>
      </c>
      <c r="L226">
        <v>213729903.17201859</v>
      </c>
      <c r="M226" t="s">
        <v>674</v>
      </c>
      <c r="N226" t="s">
        <v>698</v>
      </c>
      <c r="O226" t="s">
        <v>699</v>
      </c>
      <c r="P226">
        <v>974</v>
      </c>
      <c r="Q226">
        <v>126</v>
      </c>
      <c r="R226">
        <v>848</v>
      </c>
      <c r="S226" t="e">
        <f>#REF!/#REF!</f>
        <v>#REF!</v>
      </c>
    </row>
    <row r="227" spans="1:19" x14ac:dyDescent="0.3">
      <c r="A227" t="s">
        <v>1247</v>
      </c>
      <c r="B227">
        <v>2022</v>
      </c>
      <c r="C227">
        <v>3.4592324114335979</v>
      </c>
      <c r="D227">
        <v>7443280.515625</v>
      </c>
      <c r="E227">
        <v>56</v>
      </c>
      <c r="F227">
        <v>1187</v>
      </c>
      <c r="G227">
        <v>4.0285354878809998E-4</v>
      </c>
      <c r="H227">
        <v>9</v>
      </c>
      <c r="I227">
        <v>6</v>
      </c>
      <c r="J227">
        <v>0.51200142245988278</v>
      </c>
      <c r="K227">
        <v>-0.29125809952299347</v>
      </c>
      <c r="L227">
        <v>157002863.47131059</v>
      </c>
      <c r="M227" t="s">
        <v>124</v>
      </c>
      <c r="N227" t="s">
        <v>149</v>
      </c>
      <c r="O227" t="s">
        <v>149</v>
      </c>
      <c r="P227">
        <v>46421</v>
      </c>
      <c r="Q227">
        <v>28236</v>
      </c>
      <c r="R227">
        <v>18185</v>
      </c>
      <c r="S227" t="e">
        <f>#REF!/#REF!</f>
        <v>#REF!</v>
      </c>
    </row>
    <row r="228" spans="1:19" x14ac:dyDescent="0.3">
      <c r="A228" t="s">
        <v>1248</v>
      </c>
      <c r="B228">
        <v>2022</v>
      </c>
      <c r="C228">
        <v>4.8170942469660849</v>
      </c>
      <c r="D228">
        <v>786721.13186274515</v>
      </c>
      <c r="E228">
        <v>32</v>
      </c>
      <c r="F228">
        <v>356</v>
      </c>
      <c r="G228">
        <v>4.3334856346739998E-4</v>
      </c>
      <c r="H228">
        <v>20</v>
      </c>
      <c r="I228">
        <v>8</v>
      </c>
      <c r="J228">
        <v>0.53676916736422342</v>
      </c>
      <c r="K228">
        <v>-0.37460074629089779</v>
      </c>
      <c r="L228">
        <v>53161077.592306837</v>
      </c>
      <c r="M228" t="s">
        <v>830</v>
      </c>
      <c r="N228" t="s">
        <v>864</v>
      </c>
      <c r="O228" t="s">
        <v>273</v>
      </c>
      <c r="P228">
        <v>12231</v>
      </c>
      <c r="Q228">
        <v>3505</v>
      </c>
      <c r="R228">
        <v>8726</v>
      </c>
      <c r="S228" t="e">
        <f>#REF!/#REF!</f>
        <v>#REF!</v>
      </c>
    </row>
    <row r="229" spans="1:19" x14ac:dyDescent="0.3">
      <c r="A229" t="s">
        <v>1249</v>
      </c>
      <c r="B229">
        <v>2022</v>
      </c>
      <c r="C229">
        <v>0.81331189495001899</v>
      </c>
      <c r="D229">
        <v>1489720.6875</v>
      </c>
      <c r="E229">
        <v>26</v>
      </c>
      <c r="F229">
        <v>170</v>
      </c>
      <c r="G229">
        <v>4.9669475934669999E-4</v>
      </c>
      <c r="H229">
        <v>8</v>
      </c>
      <c r="I229">
        <v>3</v>
      </c>
      <c r="J229">
        <v>0.64905993453615973</v>
      </c>
      <c r="K229">
        <v>-0.26288778039084659</v>
      </c>
      <c r="L229">
        <v>335707111.87046021</v>
      </c>
      <c r="M229" t="s">
        <v>730</v>
      </c>
      <c r="N229" t="s">
        <v>731</v>
      </c>
      <c r="O229" t="s">
        <v>735</v>
      </c>
      <c r="P229">
        <v>4865</v>
      </c>
      <c r="Q229">
        <v>428</v>
      </c>
      <c r="R229">
        <v>4437</v>
      </c>
      <c r="S229" t="e">
        <f>#REF!/#REF!</f>
        <v>#REF!</v>
      </c>
    </row>
    <row r="230" spans="1:19" x14ac:dyDescent="0.3">
      <c r="A230" t="s">
        <v>1250</v>
      </c>
      <c r="B230">
        <v>2022</v>
      </c>
      <c r="C230">
        <v>20.710219305651201</v>
      </c>
      <c r="D230">
        <v>6953101.75</v>
      </c>
      <c r="E230">
        <v>490</v>
      </c>
      <c r="F230">
        <v>827</v>
      </c>
      <c r="G230">
        <v>3.1928113478240001E-4</v>
      </c>
      <c r="H230">
        <v>24</v>
      </c>
      <c r="I230">
        <v>20</v>
      </c>
      <c r="J230">
        <v>0.62453639099471892</v>
      </c>
      <c r="K230">
        <v>-0.31746924329366211</v>
      </c>
      <c r="L230">
        <v>487434041.32720202</v>
      </c>
      <c r="M230" t="s">
        <v>922</v>
      </c>
      <c r="N230" t="s">
        <v>942</v>
      </c>
      <c r="O230" t="s">
        <v>942</v>
      </c>
      <c r="P230">
        <v>30729</v>
      </c>
      <c r="Q230">
        <v>14484</v>
      </c>
      <c r="R230">
        <v>16245</v>
      </c>
      <c r="S230" t="e">
        <f>#REF!/#REF!</f>
        <v>#REF!</v>
      </c>
    </row>
    <row r="231" spans="1:19" x14ac:dyDescent="0.3">
      <c r="A231" t="s">
        <v>1251</v>
      </c>
      <c r="B231">
        <v>2022</v>
      </c>
      <c r="C231">
        <v>1.3229422189762621</v>
      </c>
      <c r="D231">
        <v>743010.6875</v>
      </c>
      <c r="E231">
        <v>12</v>
      </c>
      <c r="F231">
        <v>456</v>
      </c>
      <c r="G231">
        <v>1.852616831748E-4</v>
      </c>
      <c r="H231">
        <v>6</v>
      </c>
      <c r="I231">
        <v>1</v>
      </c>
      <c r="J231">
        <v>0.50772145330757301</v>
      </c>
      <c r="K231">
        <v>-0.33652582576329498</v>
      </c>
      <c r="L231">
        <v>205925701.72379389</v>
      </c>
      <c r="M231" t="s">
        <v>499</v>
      </c>
      <c r="N231" t="s">
        <v>499</v>
      </c>
      <c r="O231" t="s">
        <v>505</v>
      </c>
      <c r="P231">
        <v>8605</v>
      </c>
      <c r="Q231">
        <v>5282</v>
      </c>
      <c r="R231">
        <v>3323</v>
      </c>
      <c r="S231" t="e">
        <f>#REF!/#REF!</f>
        <v>#REF!</v>
      </c>
    </row>
    <row r="232" spans="1:19" x14ac:dyDescent="0.3">
      <c r="A232" t="s">
        <v>1252</v>
      </c>
      <c r="B232">
        <v>2022</v>
      </c>
      <c r="C232">
        <v>1.719116731010945</v>
      </c>
      <c r="D232">
        <v>11978390.730759799</v>
      </c>
      <c r="E232">
        <v>167</v>
      </c>
      <c r="F232">
        <v>499</v>
      </c>
      <c r="G232">
        <v>2.407315776324E-4</v>
      </c>
      <c r="H232">
        <v>20</v>
      </c>
      <c r="I232">
        <v>1</v>
      </c>
      <c r="J232">
        <v>0.3249851513599547</v>
      </c>
      <c r="K232">
        <v>-0.21377536367818961</v>
      </c>
      <c r="L232">
        <v>163992468.0199872</v>
      </c>
      <c r="M232" t="s">
        <v>232</v>
      </c>
      <c r="N232" t="s">
        <v>269</v>
      </c>
      <c r="O232" t="s">
        <v>273</v>
      </c>
      <c r="P232">
        <v>13154</v>
      </c>
      <c r="Q232">
        <v>5893</v>
      </c>
      <c r="R232">
        <v>7261</v>
      </c>
      <c r="S232" t="e">
        <f>#REF!/#REF!</f>
        <v>#REF!</v>
      </c>
    </row>
    <row r="233" spans="1:19" x14ac:dyDescent="0.3">
      <c r="A233" t="s">
        <v>1253</v>
      </c>
      <c r="B233">
        <v>2022</v>
      </c>
      <c r="C233">
        <v>5.8955254151152756</v>
      </c>
      <c r="D233">
        <v>991269.6875</v>
      </c>
      <c r="E233">
        <v>57</v>
      </c>
      <c r="F233">
        <v>235</v>
      </c>
      <c r="G233">
        <v>5.4871360624599995E-4</v>
      </c>
      <c r="H233">
        <v>12</v>
      </c>
      <c r="I233">
        <v>5</v>
      </c>
      <c r="J233">
        <v>0.44238187863021872</v>
      </c>
      <c r="K233">
        <v>-0.35889191062454467</v>
      </c>
      <c r="L233">
        <v>36527610.270019338</v>
      </c>
      <c r="M233" t="s">
        <v>287</v>
      </c>
      <c r="N233" t="s">
        <v>326</v>
      </c>
      <c r="O233" t="s">
        <v>326</v>
      </c>
      <c r="P233">
        <v>11376</v>
      </c>
      <c r="Q233">
        <v>8590</v>
      </c>
      <c r="R233">
        <v>2786</v>
      </c>
      <c r="S233" t="e">
        <f>#REF!/#REF!</f>
        <v>#REF!</v>
      </c>
    </row>
    <row r="234" spans="1:19" x14ac:dyDescent="0.3">
      <c r="A234" t="s">
        <v>1254</v>
      </c>
      <c r="B234">
        <v>2022</v>
      </c>
      <c r="C234">
        <v>0.86068795019469813</v>
      </c>
      <c r="D234">
        <v>991328.25</v>
      </c>
      <c r="E234">
        <v>28</v>
      </c>
      <c r="F234">
        <v>273</v>
      </c>
      <c r="G234">
        <v>5.0957124764749995E-4</v>
      </c>
      <c r="H234">
        <v>5</v>
      </c>
      <c r="I234">
        <v>7</v>
      </c>
      <c r="J234">
        <v>0.30362482350620651</v>
      </c>
      <c r="K234">
        <v>-0.24819725722012589</v>
      </c>
      <c r="L234">
        <v>211041371.69183719</v>
      </c>
      <c r="M234" t="s">
        <v>287</v>
      </c>
      <c r="N234" t="s">
        <v>290</v>
      </c>
      <c r="O234" t="s">
        <v>292</v>
      </c>
      <c r="P234">
        <v>3382</v>
      </c>
      <c r="Q234">
        <v>1307</v>
      </c>
      <c r="R234">
        <v>2075</v>
      </c>
      <c r="S234" t="e">
        <f>#REF!/#REF!</f>
        <v>#REF!</v>
      </c>
    </row>
    <row r="235" spans="1:19" x14ac:dyDescent="0.3">
      <c r="A235" t="s">
        <v>1255</v>
      </c>
      <c r="B235">
        <v>2022</v>
      </c>
      <c r="C235">
        <v>23.32528865840391</v>
      </c>
      <c r="D235">
        <v>5039269.777144609</v>
      </c>
      <c r="E235">
        <v>1359</v>
      </c>
      <c r="F235">
        <v>183</v>
      </c>
      <c r="G235">
        <v>1.4424937197893E-3</v>
      </c>
      <c r="H235">
        <v>16</v>
      </c>
      <c r="I235">
        <v>3</v>
      </c>
      <c r="J235">
        <v>0.30981845038400652</v>
      </c>
      <c r="K235">
        <v>-0.23962292970174831</v>
      </c>
      <c r="L235">
        <v>7656488.6111119296</v>
      </c>
      <c r="M235" t="s">
        <v>830</v>
      </c>
      <c r="N235" t="s">
        <v>831</v>
      </c>
      <c r="O235" t="s">
        <v>843</v>
      </c>
      <c r="P235">
        <v>9674</v>
      </c>
      <c r="Q235">
        <v>7065</v>
      </c>
      <c r="R235">
        <v>2609</v>
      </c>
      <c r="S235" t="e">
        <f>#REF!/#REF!</f>
        <v>#REF!</v>
      </c>
    </row>
    <row r="236" spans="1:19" x14ac:dyDescent="0.3">
      <c r="A236" t="s">
        <v>1256</v>
      </c>
      <c r="B236">
        <v>2022</v>
      </c>
      <c r="C236">
        <v>1.2713710423530249</v>
      </c>
      <c r="D236">
        <v>1241570.890625</v>
      </c>
      <c r="E236">
        <v>12</v>
      </c>
      <c r="F236">
        <v>236</v>
      </c>
      <c r="G236">
        <v>6.1648020164540001E-4</v>
      </c>
      <c r="H236">
        <v>13</v>
      </c>
      <c r="I236">
        <v>1</v>
      </c>
      <c r="J236">
        <v>0.5902793972418191</v>
      </c>
      <c r="K236">
        <v>-0.29217911570980881</v>
      </c>
      <c r="L236">
        <v>166254382.22524861</v>
      </c>
      <c r="M236" t="s">
        <v>586</v>
      </c>
      <c r="N236" t="s">
        <v>606</v>
      </c>
      <c r="O236" t="s">
        <v>608</v>
      </c>
      <c r="P236">
        <v>14851</v>
      </c>
      <c r="Q236">
        <v>4492</v>
      </c>
      <c r="R236">
        <v>10359</v>
      </c>
      <c r="S236" t="e">
        <f>#REF!/#REF!</f>
        <v>#REF!</v>
      </c>
    </row>
    <row r="237" spans="1:19" x14ac:dyDescent="0.3">
      <c r="A237" t="s">
        <v>1257</v>
      </c>
      <c r="B237">
        <v>2022</v>
      </c>
      <c r="C237">
        <v>8.9033807144219992</v>
      </c>
      <c r="D237">
        <v>85696.276470588229</v>
      </c>
      <c r="E237">
        <v>20</v>
      </c>
      <c r="F237">
        <v>139</v>
      </c>
      <c r="G237">
        <v>1.3463875144881E-3</v>
      </c>
      <c r="H237">
        <v>2</v>
      </c>
      <c r="I237">
        <v>1</v>
      </c>
      <c r="L237">
        <v>10160370.493792349</v>
      </c>
      <c r="M237" t="s">
        <v>652</v>
      </c>
      <c r="N237" t="s">
        <v>772</v>
      </c>
      <c r="O237" t="s">
        <v>782</v>
      </c>
      <c r="P237">
        <v>4336</v>
      </c>
      <c r="Q237">
        <v>2936</v>
      </c>
      <c r="R237">
        <v>1400</v>
      </c>
      <c r="S237" t="e">
        <f>#REF!/#REF!</f>
        <v>#REF!</v>
      </c>
    </row>
    <row r="238" spans="1:19" x14ac:dyDescent="0.3">
      <c r="A238" t="s">
        <v>1258</v>
      </c>
      <c r="B238">
        <v>2022</v>
      </c>
      <c r="C238">
        <v>30.717545014308151</v>
      </c>
      <c r="D238">
        <v>28580557.175306369</v>
      </c>
      <c r="E238">
        <v>785</v>
      </c>
      <c r="F238">
        <v>3530</v>
      </c>
      <c r="G238">
        <v>1.340493842749E-4</v>
      </c>
      <c r="H238">
        <v>92</v>
      </c>
      <c r="I238">
        <v>28</v>
      </c>
      <c r="L238">
        <v>44701744.771988273</v>
      </c>
      <c r="M238" t="s">
        <v>652</v>
      </c>
      <c r="N238" t="s">
        <v>772</v>
      </c>
      <c r="O238" t="s">
        <v>777</v>
      </c>
      <c r="P238">
        <v>127486</v>
      </c>
      <c r="Q238">
        <v>115000</v>
      </c>
      <c r="R238">
        <v>12486</v>
      </c>
      <c r="S238" t="e">
        <f>#REF!/#REF!</f>
        <v>#REF!</v>
      </c>
    </row>
    <row r="239" spans="1:19" x14ac:dyDescent="0.3">
      <c r="A239" t="s">
        <v>1259</v>
      </c>
      <c r="B239">
        <v>2022</v>
      </c>
      <c r="C239">
        <v>19.5293425197682</v>
      </c>
      <c r="D239">
        <v>9206544.3256740198</v>
      </c>
      <c r="E239">
        <v>1444</v>
      </c>
      <c r="F239">
        <v>349</v>
      </c>
      <c r="G239">
        <v>1.244390259283E-3</v>
      </c>
      <c r="H239">
        <v>29</v>
      </c>
      <c r="I239">
        <v>5</v>
      </c>
      <c r="J239">
        <v>0.32467712572362267</v>
      </c>
      <c r="K239">
        <v>-0.26898211661473431</v>
      </c>
      <c r="L239">
        <v>9452615.873898102</v>
      </c>
      <c r="M239" t="s">
        <v>830</v>
      </c>
      <c r="N239" t="s">
        <v>831</v>
      </c>
      <c r="O239" t="s">
        <v>295</v>
      </c>
      <c r="P239">
        <v>14226</v>
      </c>
      <c r="Q239">
        <v>11601</v>
      </c>
      <c r="R239">
        <v>2625</v>
      </c>
      <c r="S239" t="e">
        <f>#REF!/#REF!</f>
        <v>#REF!</v>
      </c>
    </row>
    <row r="240" spans="1:19" x14ac:dyDescent="0.3">
      <c r="A240" t="s">
        <v>1260</v>
      </c>
      <c r="B240">
        <v>2022</v>
      </c>
      <c r="C240">
        <v>1.7328974862001709</v>
      </c>
      <c r="D240">
        <v>1625718.057291667</v>
      </c>
      <c r="E240">
        <v>20</v>
      </c>
      <c r="F240">
        <v>363</v>
      </c>
      <c r="G240">
        <v>4.6772472227600001E-4</v>
      </c>
      <c r="H240">
        <v>7</v>
      </c>
      <c r="I240">
        <v>8</v>
      </c>
      <c r="J240">
        <v>0.63561631949242581</v>
      </c>
      <c r="K240">
        <v>-0.2928917200278186</v>
      </c>
      <c r="L240">
        <v>273102781.81838459</v>
      </c>
      <c r="M240" t="s">
        <v>874</v>
      </c>
      <c r="N240" t="s">
        <v>895</v>
      </c>
      <c r="O240" t="s">
        <v>895</v>
      </c>
      <c r="P240">
        <v>16346</v>
      </c>
      <c r="Q240">
        <v>9907</v>
      </c>
      <c r="R240">
        <v>6439</v>
      </c>
      <c r="S240" t="e">
        <f>#REF!/#REF!</f>
        <v>#REF!</v>
      </c>
    </row>
    <row r="241" spans="1:19" x14ac:dyDescent="0.3">
      <c r="A241" t="s">
        <v>1261</v>
      </c>
      <c r="B241">
        <v>2022</v>
      </c>
      <c r="C241">
        <v>14.465367507216589</v>
      </c>
      <c r="D241">
        <v>3613874.9346813732</v>
      </c>
      <c r="E241">
        <v>585</v>
      </c>
      <c r="F241">
        <v>272</v>
      </c>
      <c r="G241">
        <v>6.4123695425940001E-4</v>
      </c>
      <c r="H241">
        <v>6</v>
      </c>
      <c r="I241">
        <v>3</v>
      </c>
      <c r="J241">
        <v>0.43778474725564032</v>
      </c>
      <c r="K241">
        <v>-0.28270144043790463</v>
      </c>
      <c r="L241">
        <v>18781520.742969532</v>
      </c>
      <c r="M241" t="s">
        <v>830</v>
      </c>
      <c r="N241" t="s">
        <v>851</v>
      </c>
      <c r="O241" t="s">
        <v>851</v>
      </c>
      <c r="P241">
        <v>10404</v>
      </c>
      <c r="Q241">
        <v>7981</v>
      </c>
      <c r="R241">
        <v>2423</v>
      </c>
      <c r="S241" t="e">
        <f>#REF!/#REF!</f>
        <v>#REF!</v>
      </c>
    </row>
    <row r="242" spans="1:19" x14ac:dyDescent="0.3">
      <c r="A242" t="s">
        <v>1262</v>
      </c>
      <c r="B242">
        <v>2022</v>
      </c>
      <c r="C242">
        <v>1.2858811518155251</v>
      </c>
      <c r="D242">
        <v>8245770.0241421573</v>
      </c>
      <c r="E242">
        <v>64</v>
      </c>
      <c r="F242">
        <v>457</v>
      </c>
      <c r="G242">
        <v>1.42902823813E-4</v>
      </c>
      <c r="H242">
        <v>14</v>
      </c>
      <c r="I242">
        <v>2</v>
      </c>
      <c r="J242">
        <v>0.34747608383965478</v>
      </c>
      <c r="K242">
        <v>-0.3006481946947428</v>
      </c>
      <c r="L242">
        <v>385819395.18948752</v>
      </c>
      <c r="M242" t="s">
        <v>232</v>
      </c>
      <c r="N242" t="s">
        <v>266</v>
      </c>
      <c r="O242" t="s">
        <v>266</v>
      </c>
      <c r="P242">
        <v>19374</v>
      </c>
      <c r="Q242">
        <v>2965</v>
      </c>
      <c r="R242">
        <v>16409</v>
      </c>
      <c r="S242" t="e">
        <f>#REF!/#REF!</f>
        <v>#REF!</v>
      </c>
    </row>
    <row r="243" spans="1:19" x14ac:dyDescent="0.3">
      <c r="A243" t="s">
        <v>1263</v>
      </c>
      <c r="B243">
        <v>2022</v>
      </c>
      <c r="C243">
        <v>1.4945792341256059</v>
      </c>
      <c r="D243">
        <v>47666.002022058827</v>
      </c>
      <c r="E243">
        <v>4</v>
      </c>
      <c r="F243">
        <v>128</v>
      </c>
      <c r="G243">
        <v>4.897147354888E-4</v>
      </c>
      <c r="H243">
        <v>14</v>
      </c>
      <c r="I243">
        <v>3</v>
      </c>
      <c r="J243">
        <v>0.55685243525510297</v>
      </c>
      <c r="K243">
        <v>-0.42852626887076878</v>
      </c>
      <c r="L243">
        <v>50841437.593450531</v>
      </c>
      <c r="M243" t="s">
        <v>124</v>
      </c>
      <c r="N243" t="s">
        <v>133</v>
      </c>
      <c r="O243" t="s">
        <v>134</v>
      </c>
      <c r="P243">
        <v>2232</v>
      </c>
      <c r="Q243">
        <v>850</v>
      </c>
      <c r="R243">
        <v>1382</v>
      </c>
      <c r="S243" t="e">
        <f>#REF!/#REF!</f>
        <v>#REF!</v>
      </c>
    </row>
    <row r="244" spans="1:19" x14ac:dyDescent="0.3">
      <c r="A244" t="s">
        <v>1264</v>
      </c>
      <c r="B244">
        <v>2022</v>
      </c>
      <c r="C244">
        <v>12.2768105077899</v>
      </c>
      <c r="D244">
        <v>4711304.5744485306</v>
      </c>
      <c r="E244">
        <v>722</v>
      </c>
      <c r="F244">
        <v>206</v>
      </c>
      <c r="G244">
        <v>8.6863509429349996E-4</v>
      </c>
      <c r="H244">
        <v>11</v>
      </c>
      <c r="I244">
        <v>1</v>
      </c>
      <c r="J244">
        <v>0.44600573893259798</v>
      </c>
      <c r="K244">
        <v>-0.3202449013227528</v>
      </c>
      <c r="L244">
        <v>11075381.59496396</v>
      </c>
      <c r="M244" t="s">
        <v>830</v>
      </c>
      <c r="N244" t="s">
        <v>831</v>
      </c>
      <c r="O244" t="s">
        <v>842</v>
      </c>
      <c r="P244">
        <v>10229</v>
      </c>
      <c r="Q244">
        <v>7844</v>
      </c>
      <c r="R244">
        <v>2385</v>
      </c>
      <c r="S244" t="e">
        <f>#REF!/#REF!</f>
        <v>#REF!</v>
      </c>
    </row>
    <row r="245" spans="1:19" x14ac:dyDescent="0.3">
      <c r="A245" t="s">
        <v>1265</v>
      </c>
      <c r="B245">
        <v>2022</v>
      </c>
      <c r="C245">
        <v>8.9649537953749103</v>
      </c>
      <c r="D245">
        <v>12066614.977573531</v>
      </c>
      <c r="E245">
        <v>264</v>
      </c>
      <c r="F245">
        <v>1494</v>
      </c>
      <c r="G245">
        <v>2.6861080290300002E-4</v>
      </c>
      <c r="H245">
        <v>23</v>
      </c>
      <c r="I245">
        <v>25</v>
      </c>
      <c r="J245">
        <v>0.40203669648714768</v>
      </c>
      <c r="K245">
        <v>-0.27240662310317781</v>
      </c>
      <c r="L245">
        <v>79288584.856689513</v>
      </c>
      <c r="M245" t="s">
        <v>460</v>
      </c>
      <c r="N245" t="s">
        <v>481</v>
      </c>
      <c r="O245" t="s">
        <v>481</v>
      </c>
      <c r="P245">
        <v>55515</v>
      </c>
      <c r="Q245">
        <v>37054</v>
      </c>
      <c r="R245">
        <v>18461</v>
      </c>
      <c r="S245" t="e">
        <f>#REF!/#REF!</f>
        <v>#REF!</v>
      </c>
    </row>
    <row r="246" spans="1:19" x14ac:dyDescent="0.3">
      <c r="A246" t="s">
        <v>1266</v>
      </c>
      <c r="B246">
        <v>2022</v>
      </c>
      <c r="C246">
        <v>1.0324493441852609</v>
      </c>
      <c r="D246">
        <v>1001672.359865196</v>
      </c>
      <c r="E246">
        <v>24</v>
      </c>
      <c r="F246">
        <v>332</v>
      </c>
      <c r="G246">
        <v>2.6936243369959998E-4</v>
      </c>
      <c r="H246">
        <v>26</v>
      </c>
      <c r="I246">
        <v>1</v>
      </c>
      <c r="J246">
        <v>0.36168257529593228</v>
      </c>
      <c r="K246">
        <v>-0.28776766932537018</v>
      </c>
      <c r="L246">
        <v>221126876.45093009</v>
      </c>
      <c r="M246" t="s">
        <v>232</v>
      </c>
      <c r="N246" t="s">
        <v>233</v>
      </c>
      <c r="O246" t="s">
        <v>51</v>
      </c>
      <c r="P246">
        <v>6306</v>
      </c>
      <c r="Q246">
        <v>2104</v>
      </c>
      <c r="R246">
        <v>4202</v>
      </c>
      <c r="S246" t="e">
        <f>#REF!/#REF!</f>
        <v>#REF!</v>
      </c>
    </row>
    <row r="247" spans="1:19" x14ac:dyDescent="0.3">
      <c r="A247" t="s">
        <v>1267</v>
      </c>
      <c r="B247">
        <v>2022</v>
      </c>
      <c r="C247">
        <v>17.075037376022092</v>
      </c>
      <c r="D247">
        <v>16764321.89601716</v>
      </c>
      <c r="E247">
        <v>233</v>
      </c>
      <c r="F247">
        <v>3241</v>
      </c>
      <c r="G247">
        <v>1.18853032107E-4</v>
      </c>
      <c r="H247">
        <v>19</v>
      </c>
      <c r="I247">
        <v>15</v>
      </c>
      <c r="J247">
        <v>0.27198056191604741</v>
      </c>
      <c r="K247">
        <v>-0.13402884524765199</v>
      </c>
      <c r="L247">
        <v>229108018.8142013</v>
      </c>
      <c r="M247" t="s">
        <v>406</v>
      </c>
      <c r="N247" t="s">
        <v>373</v>
      </c>
      <c r="O247" t="s">
        <v>373</v>
      </c>
      <c r="P247">
        <v>183206</v>
      </c>
      <c r="Q247">
        <v>139978</v>
      </c>
      <c r="R247">
        <v>43228</v>
      </c>
      <c r="S247" t="e">
        <f>#REF!/#REF!</f>
        <v>#REF!</v>
      </c>
    </row>
    <row r="248" spans="1:19" x14ac:dyDescent="0.3">
      <c r="A248" t="s">
        <v>1268</v>
      </c>
      <c r="B248">
        <v>2022</v>
      </c>
      <c r="C248">
        <v>16.517442296054959</v>
      </c>
      <c r="D248">
        <v>19771185.55306372</v>
      </c>
      <c r="E248">
        <v>2206</v>
      </c>
      <c r="F248">
        <v>602</v>
      </c>
      <c r="G248">
        <v>5.0510892616150002E-4</v>
      </c>
      <c r="H248">
        <v>9</v>
      </c>
      <c r="I248">
        <v>11</v>
      </c>
      <c r="J248">
        <v>0.35830436614503891</v>
      </c>
      <c r="K248">
        <v>-0.27342858814747267</v>
      </c>
      <c r="L248">
        <v>29452886.481208421</v>
      </c>
      <c r="M248" t="s">
        <v>830</v>
      </c>
      <c r="N248" t="s">
        <v>831</v>
      </c>
      <c r="O248" t="s">
        <v>836</v>
      </c>
      <c r="P248">
        <v>21352</v>
      </c>
      <c r="Q248">
        <v>16262</v>
      </c>
      <c r="R248">
        <v>5090</v>
      </c>
      <c r="S248" t="e">
        <f>#REF!/#REF!</f>
        <v>#REF!</v>
      </c>
    </row>
    <row r="249" spans="1:19" x14ac:dyDescent="0.3">
      <c r="A249" t="s">
        <v>1269</v>
      </c>
      <c r="B249">
        <v>2022</v>
      </c>
      <c r="C249">
        <v>2.4767195462691221</v>
      </c>
      <c r="D249">
        <v>3404012.213480392</v>
      </c>
      <c r="E249">
        <v>92</v>
      </c>
      <c r="F249">
        <v>435</v>
      </c>
      <c r="G249">
        <v>1.201953722417E-4</v>
      </c>
      <c r="H249">
        <v>11</v>
      </c>
      <c r="I249">
        <v>9</v>
      </c>
      <c r="J249">
        <v>0.47567004957775272</v>
      </c>
      <c r="K249">
        <v>-0.36818268686254818</v>
      </c>
      <c r="L249">
        <v>93836983.935420319</v>
      </c>
      <c r="M249" t="s">
        <v>97</v>
      </c>
      <c r="N249" t="s">
        <v>116</v>
      </c>
      <c r="O249" t="s">
        <v>116</v>
      </c>
      <c r="P249">
        <v>13944</v>
      </c>
      <c r="Q249">
        <v>8753</v>
      </c>
      <c r="R249">
        <v>5191</v>
      </c>
      <c r="S249" t="e">
        <f>#REF!/#REF!</f>
        <v>#REF!</v>
      </c>
    </row>
    <row r="250" spans="1:19" x14ac:dyDescent="0.3">
      <c r="A250" t="s">
        <v>1270</v>
      </c>
      <c r="B250">
        <v>2022</v>
      </c>
      <c r="C250">
        <v>19.955117457670589</v>
      </c>
      <c r="D250">
        <v>6415500.2468137257</v>
      </c>
      <c r="E250">
        <v>569</v>
      </c>
      <c r="F250">
        <v>1342</v>
      </c>
      <c r="G250">
        <v>3.0655464002770001E-4</v>
      </c>
      <c r="H250">
        <v>11</v>
      </c>
      <c r="I250">
        <v>23</v>
      </c>
      <c r="L250">
        <v>29394530.38000286</v>
      </c>
      <c r="M250" t="s">
        <v>652</v>
      </c>
      <c r="N250" t="s">
        <v>772</v>
      </c>
      <c r="O250" t="s">
        <v>774</v>
      </c>
      <c r="P250">
        <v>34434</v>
      </c>
      <c r="Q250">
        <v>29620</v>
      </c>
      <c r="R250">
        <v>4814</v>
      </c>
      <c r="S250" t="e">
        <f>#REF!/#REF!</f>
        <v>#REF!</v>
      </c>
    </row>
    <row r="251" spans="1:19" x14ac:dyDescent="0.3">
      <c r="A251" t="s">
        <v>1271</v>
      </c>
      <c r="B251">
        <v>2022</v>
      </c>
      <c r="C251">
        <v>0.73371817703079756</v>
      </c>
      <c r="D251">
        <v>744686.46875</v>
      </c>
      <c r="E251">
        <v>21</v>
      </c>
      <c r="F251">
        <v>162</v>
      </c>
      <c r="G251">
        <v>3.3123242014589999E-4</v>
      </c>
      <c r="H251">
        <v>13</v>
      </c>
      <c r="I251">
        <v>2</v>
      </c>
      <c r="J251">
        <v>0.34286639976197181</v>
      </c>
      <c r="K251">
        <v>-0.25001226993554532</v>
      </c>
      <c r="L251">
        <v>272828086.36882478</v>
      </c>
      <c r="M251" t="s">
        <v>612</v>
      </c>
      <c r="N251" t="s">
        <v>635</v>
      </c>
      <c r="O251" t="s">
        <v>640</v>
      </c>
      <c r="P251">
        <v>4067</v>
      </c>
      <c r="Q251">
        <v>530</v>
      </c>
      <c r="R251">
        <v>3537</v>
      </c>
      <c r="S251" t="e">
        <f>#REF!/#REF!</f>
        <v>#REF!</v>
      </c>
    </row>
    <row r="252" spans="1:19" x14ac:dyDescent="0.3">
      <c r="A252" t="s">
        <v>1272</v>
      </c>
      <c r="B252">
        <v>2022</v>
      </c>
      <c r="C252">
        <v>8.2928221442633063</v>
      </c>
      <c r="D252">
        <v>9616115.0240808818</v>
      </c>
      <c r="E252">
        <v>316</v>
      </c>
      <c r="F252">
        <v>822</v>
      </c>
      <c r="G252">
        <v>5.1360656791859995E-4</v>
      </c>
      <c r="H252">
        <v>5</v>
      </c>
      <c r="I252">
        <v>11</v>
      </c>
      <c r="J252">
        <v>0.64887199433477727</v>
      </c>
      <c r="K252">
        <v>-0.33606513186252052</v>
      </c>
      <c r="L252">
        <v>81430209.228363737</v>
      </c>
      <c r="M252" t="s">
        <v>730</v>
      </c>
      <c r="N252" t="s">
        <v>731</v>
      </c>
      <c r="O252" t="s">
        <v>731</v>
      </c>
      <c r="P252">
        <v>39535</v>
      </c>
      <c r="Q252">
        <v>25136</v>
      </c>
      <c r="R252">
        <v>14399</v>
      </c>
      <c r="S252" t="e">
        <f>#REF!/#REF!</f>
        <v>#REF!</v>
      </c>
    </row>
    <row r="253" spans="1:19" x14ac:dyDescent="0.3">
      <c r="A253" t="s">
        <v>1273</v>
      </c>
      <c r="B253">
        <v>2022</v>
      </c>
      <c r="C253">
        <v>1.295565168900267</v>
      </c>
      <c r="D253">
        <v>743000.90625</v>
      </c>
      <c r="E253">
        <v>53</v>
      </c>
      <c r="F253">
        <v>114</v>
      </c>
      <c r="G253">
        <v>6.1348790758670004E-4</v>
      </c>
      <c r="H253">
        <v>5</v>
      </c>
      <c r="I253">
        <v>2</v>
      </c>
      <c r="J253">
        <v>0.52024976945397872</v>
      </c>
      <c r="K253">
        <v>-0.36680021534266749</v>
      </c>
      <c r="L253">
        <v>72178485.213530794</v>
      </c>
      <c r="M253" t="s">
        <v>499</v>
      </c>
      <c r="N253" t="s">
        <v>534</v>
      </c>
      <c r="O253" t="s">
        <v>534</v>
      </c>
      <c r="P253">
        <v>2883</v>
      </c>
      <c r="Q253">
        <v>1886</v>
      </c>
      <c r="R253">
        <v>997</v>
      </c>
      <c r="S253" t="e">
        <f>#REF!/#REF!</f>
        <v>#REF!</v>
      </c>
    </row>
    <row r="254" spans="1:19" x14ac:dyDescent="0.3">
      <c r="A254" t="s">
        <v>1274</v>
      </c>
      <c r="B254">
        <v>2022</v>
      </c>
      <c r="C254">
        <v>6.5129309553828003</v>
      </c>
      <c r="D254">
        <v>9768192.5518382359</v>
      </c>
      <c r="E254">
        <v>257</v>
      </c>
      <c r="F254">
        <v>1071</v>
      </c>
      <c r="G254">
        <v>4.0149249425400002E-4</v>
      </c>
      <c r="H254">
        <v>2</v>
      </c>
      <c r="I254">
        <v>33</v>
      </c>
      <c r="J254">
        <v>0.64913213407153758</v>
      </c>
      <c r="K254">
        <v>-0.3321292437356913</v>
      </c>
      <c r="L254">
        <v>91800946.660527661</v>
      </c>
      <c r="M254" t="s">
        <v>756</v>
      </c>
      <c r="N254" t="s">
        <v>756</v>
      </c>
      <c r="O254" t="s">
        <v>757</v>
      </c>
      <c r="P254">
        <v>39372</v>
      </c>
      <c r="Q254">
        <v>29999</v>
      </c>
      <c r="R254">
        <v>9373</v>
      </c>
      <c r="S254" t="e">
        <f>#REF!/#REF!</f>
        <v>#REF!</v>
      </c>
    </row>
    <row r="255" spans="1:19" x14ac:dyDescent="0.3">
      <c r="A255" t="s">
        <v>1275</v>
      </c>
      <c r="B255">
        <v>2022</v>
      </c>
      <c r="C255">
        <v>2.548711434804372</v>
      </c>
      <c r="D255">
        <v>1151655.5889705881</v>
      </c>
      <c r="E255">
        <v>33</v>
      </c>
      <c r="F255">
        <v>372</v>
      </c>
      <c r="G255">
        <v>1.0382186773013999E-3</v>
      </c>
      <c r="H255">
        <v>4</v>
      </c>
      <c r="I255">
        <v>1</v>
      </c>
      <c r="J255">
        <v>0.70034804315208732</v>
      </c>
      <c r="K255">
        <v>-0.32906894477354071</v>
      </c>
      <c r="L255">
        <v>93047778.322954193</v>
      </c>
      <c r="M255" t="s">
        <v>756</v>
      </c>
      <c r="N255" t="s">
        <v>756</v>
      </c>
      <c r="O255" t="s">
        <v>39</v>
      </c>
      <c r="P255">
        <v>14209</v>
      </c>
      <c r="Q255">
        <v>8245</v>
      </c>
      <c r="R255">
        <v>5964</v>
      </c>
      <c r="S255" t="e">
        <f>#REF!/#REF!</f>
        <v>#REF!</v>
      </c>
    </row>
    <row r="256" spans="1:19" x14ac:dyDescent="0.3">
      <c r="A256" t="s">
        <v>1276</v>
      </c>
      <c r="B256">
        <v>2022</v>
      </c>
      <c r="C256">
        <v>16.162808412996021</v>
      </c>
      <c r="D256">
        <v>5598236.4409313733</v>
      </c>
      <c r="E256">
        <v>1054</v>
      </c>
      <c r="F256">
        <v>488</v>
      </c>
      <c r="G256">
        <v>3.1832850540870002E-4</v>
      </c>
      <c r="H256">
        <v>15</v>
      </c>
      <c r="I256">
        <v>3</v>
      </c>
      <c r="J256">
        <v>0.53350298544000008</v>
      </c>
      <c r="K256">
        <v>-0.36871466809961911</v>
      </c>
      <c r="L256">
        <v>25952391.98584478</v>
      </c>
      <c r="M256" t="s">
        <v>20</v>
      </c>
      <c r="N256" t="s">
        <v>21</v>
      </c>
      <c r="O256" t="s">
        <v>40</v>
      </c>
      <c r="P256">
        <v>12690</v>
      </c>
      <c r="Q256">
        <v>7851</v>
      </c>
      <c r="R256">
        <v>4839</v>
      </c>
      <c r="S256" t="e">
        <f>#REF!/#REF!</f>
        <v>#REF!</v>
      </c>
    </row>
    <row r="257" spans="1:19" x14ac:dyDescent="0.3">
      <c r="A257" t="s">
        <v>1277</v>
      </c>
      <c r="B257">
        <v>2022</v>
      </c>
      <c r="C257">
        <v>1.779192426735378</v>
      </c>
      <c r="D257">
        <v>3723552.546875</v>
      </c>
      <c r="E257">
        <v>17</v>
      </c>
      <c r="F257">
        <v>626</v>
      </c>
      <c r="G257">
        <v>2.4606055025479999E-4</v>
      </c>
      <c r="H257">
        <v>18</v>
      </c>
      <c r="I257">
        <v>10</v>
      </c>
      <c r="J257">
        <v>0.3244637308278896</v>
      </c>
      <c r="K257">
        <v>-0.32374675679497439</v>
      </c>
      <c r="L257">
        <v>572941469.03626692</v>
      </c>
      <c r="M257" t="s">
        <v>586</v>
      </c>
      <c r="N257" t="s">
        <v>603</v>
      </c>
      <c r="O257" t="s">
        <v>603</v>
      </c>
      <c r="P257">
        <v>63515</v>
      </c>
      <c r="Q257">
        <v>22204</v>
      </c>
      <c r="R257">
        <v>41311</v>
      </c>
      <c r="S257" t="e">
        <f>#REF!/#REF!</f>
        <v>#REF!</v>
      </c>
    </row>
    <row r="258" spans="1:19" x14ac:dyDescent="0.3">
      <c r="A258" t="s">
        <v>1278</v>
      </c>
      <c r="B258">
        <v>2022</v>
      </c>
      <c r="C258">
        <v>10.046804602102879</v>
      </c>
      <c r="D258">
        <v>7192747.8152573537</v>
      </c>
      <c r="E258">
        <v>429</v>
      </c>
      <c r="F258">
        <v>737</v>
      </c>
      <c r="G258">
        <v>2.310281740412E-4</v>
      </c>
      <c r="H258">
        <v>39</v>
      </c>
      <c r="I258">
        <v>14</v>
      </c>
      <c r="J258">
        <v>0.45916976980786112</v>
      </c>
      <c r="K258">
        <v>-0.27903685492347591</v>
      </c>
      <c r="L258">
        <v>57600675.690009631</v>
      </c>
      <c r="M258" t="s">
        <v>830</v>
      </c>
      <c r="N258" t="s">
        <v>857</v>
      </c>
      <c r="O258" t="s">
        <v>858</v>
      </c>
      <c r="P258">
        <v>28061</v>
      </c>
      <c r="Q258">
        <v>18143</v>
      </c>
      <c r="R258">
        <v>9918</v>
      </c>
      <c r="S258" t="e">
        <f>#REF!/#REF!</f>
        <v>#REF!</v>
      </c>
    </row>
    <row r="259" spans="1:19" x14ac:dyDescent="0.3">
      <c r="A259" t="s">
        <v>1279</v>
      </c>
      <c r="B259">
        <v>2022</v>
      </c>
      <c r="C259">
        <v>9.5699383778185521</v>
      </c>
      <c r="D259">
        <v>17061683.1875</v>
      </c>
      <c r="E259">
        <v>159</v>
      </c>
      <c r="F259">
        <v>2064</v>
      </c>
      <c r="G259">
        <v>2.479030631762E-4</v>
      </c>
      <c r="H259">
        <v>35</v>
      </c>
      <c r="I259">
        <v>40</v>
      </c>
      <c r="J259">
        <v>0.40445938049294727</v>
      </c>
      <c r="K259">
        <v>-0.26913010774313628</v>
      </c>
      <c r="L259">
        <v>223474337.4164575</v>
      </c>
      <c r="M259" t="s">
        <v>406</v>
      </c>
      <c r="N259" t="s">
        <v>298</v>
      </c>
      <c r="O259" t="s">
        <v>298</v>
      </c>
      <c r="P259">
        <v>173358</v>
      </c>
      <c r="Q259">
        <v>104397</v>
      </c>
      <c r="R259">
        <v>68961</v>
      </c>
      <c r="S259" t="e">
        <f>#REF!/#REF!</f>
        <v>#REF!</v>
      </c>
    </row>
    <row r="260" spans="1:19" x14ac:dyDescent="0.3">
      <c r="A260" t="s">
        <v>1280</v>
      </c>
      <c r="B260">
        <v>2022</v>
      </c>
      <c r="C260">
        <v>13.66215698296271</v>
      </c>
      <c r="D260">
        <v>32727454.640625</v>
      </c>
      <c r="E260">
        <v>254</v>
      </c>
      <c r="F260">
        <v>4002</v>
      </c>
      <c r="G260">
        <v>1.5975851469159999E-4</v>
      </c>
      <c r="H260">
        <v>7</v>
      </c>
      <c r="I260">
        <v>58</v>
      </c>
      <c r="J260">
        <v>0.32412813910049187</v>
      </c>
      <c r="K260">
        <v>-5.0623190744419497E-2</v>
      </c>
      <c r="L260">
        <v>245861792.4419826</v>
      </c>
      <c r="M260" t="s">
        <v>287</v>
      </c>
      <c r="N260" t="s">
        <v>288</v>
      </c>
      <c r="O260" t="s">
        <v>288</v>
      </c>
      <c r="P260">
        <v>300360</v>
      </c>
      <c r="Q260">
        <v>201126</v>
      </c>
      <c r="R260">
        <v>99234</v>
      </c>
      <c r="S260" t="e">
        <f>#REF!/#REF!</f>
        <v>#REF!</v>
      </c>
    </row>
    <row r="261" spans="1:19" x14ac:dyDescent="0.3">
      <c r="A261" t="s">
        <v>1281</v>
      </c>
      <c r="B261">
        <v>2022</v>
      </c>
      <c r="C261">
        <v>24.684079462905942</v>
      </c>
      <c r="D261">
        <v>58981829.970894612</v>
      </c>
      <c r="E261">
        <v>996</v>
      </c>
      <c r="F261">
        <v>5125</v>
      </c>
      <c r="G261">
        <v>1.2399952171170001E-4</v>
      </c>
      <c r="H261">
        <v>36</v>
      </c>
      <c r="I261">
        <v>53</v>
      </c>
      <c r="L261">
        <v>78110143.296175897</v>
      </c>
      <c r="M261" t="s">
        <v>652</v>
      </c>
      <c r="N261" t="s">
        <v>772</v>
      </c>
      <c r="O261" t="s">
        <v>388</v>
      </c>
      <c r="P261">
        <v>250775</v>
      </c>
      <c r="Q261">
        <v>215660</v>
      </c>
      <c r="R261">
        <v>35115</v>
      </c>
      <c r="S261" t="e">
        <f>#REF!/#REF!</f>
        <v>#REF!</v>
      </c>
    </row>
    <row r="262" spans="1:19" x14ac:dyDescent="0.3">
      <c r="A262" t="s">
        <v>1282</v>
      </c>
      <c r="B262">
        <v>2022</v>
      </c>
      <c r="C262">
        <v>5.4092496864889803</v>
      </c>
      <c r="D262">
        <v>15310904.0944853</v>
      </c>
      <c r="E262">
        <v>891</v>
      </c>
      <c r="F262">
        <v>386</v>
      </c>
      <c r="G262">
        <v>5.6124586613429995E-4</v>
      </c>
      <c r="H262">
        <v>11</v>
      </c>
      <c r="I262">
        <v>15</v>
      </c>
      <c r="L262">
        <v>41345691.544748858</v>
      </c>
      <c r="M262" t="s">
        <v>191</v>
      </c>
      <c r="N262" t="s">
        <v>224</v>
      </c>
      <c r="O262" t="s">
        <v>224</v>
      </c>
      <c r="P262">
        <v>16156</v>
      </c>
      <c r="Q262">
        <v>9000</v>
      </c>
      <c r="R262">
        <v>7156</v>
      </c>
      <c r="S262" t="e">
        <f>#REF!/#REF!</f>
        <v>#REF!</v>
      </c>
    </row>
    <row r="263" spans="1:19" x14ac:dyDescent="0.3">
      <c r="A263" t="s">
        <v>1283</v>
      </c>
      <c r="B263">
        <v>2022</v>
      </c>
      <c r="C263">
        <v>6.3848381645317387</v>
      </c>
      <c r="D263">
        <v>6584581.3886642167</v>
      </c>
      <c r="E263">
        <v>890</v>
      </c>
      <c r="F263">
        <v>278</v>
      </c>
      <c r="G263">
        <v>4.796990414847E-4</v>
      </c>
      <c r="H263">
        <v>37</v>
      </c>
      <c r="I263">
        <v>5</v>
      </c>
      <c r="J263">
        <v>0.37155850886036468</v>
      </c>
      <c r="K263">
        <v>-0.33845622286070542</v>
      </c>
      <c r="L263">
        <v>30733147.761573199</v>
      </c>
      <c r="M263" t="s">
        <v>830</v>
      </c>
      <c r="N263" t="s">
        <v>831</v>
      </c>
      <c r="O263" t="s">
        <v>833</v>
      </c>
      <c r="P263">
        <v>8469</v>
      </c>
      <c r="Q263">
        <v>5359</v>
      </c>
      <c r="R263">
        <v>3110</v>
      </c>
      <c r="S263" t="e">
        <f>#REF!/#REF!</f>
        <v>#REF!</v>
      </c>
    </row>
    <row r="264" spans="1:19" x14ac:dyDescent="0.3">
      <c r="A264" t="s">
        <v>1284</v>
      </c>
      <c r="B264">
        <v>2022</v>
      </c>
      <c r="C264">
        <v>1.183393137174318</v>
      </c>
      <c r="D264">
        <v>4390385.5268382346</v>
      </c>
      <c r="E264">
        <v>70</v>
      </c>
      <c r="F264">
        <v>320</v>
      </c>
      <c r="G264">
        <v>6.0200666696479999E-4</v>
      </c>
      <c r="H264">
        <v>11</v>
      </c>
      <c r="I264">
        <v>1</v>
      </c>
      <c r="J264">
        <v>0.4400874755492854</v>
      </c>
      <c r="K264">
        <v>-0.25616902780090128</v>
      </c>
      <c r="L264">
        <v>205254283.36826971</v>
      </c>
      <c r="M264" t="s">
        <v>612</v>
      </c>
      <c r="N264" t="s">
        <v>668</v>
      </c>
      <c r="O264" t="s">
        <v>668</v>
      </c>
      <c r="P264">
        <v>13411</v>
      </c>
      <c r="Q264">
        <v>3286</v>
      </c>
      <c r="R264">
        <v>10125</v>
      </c>
      <c r="S264" t="e">
        <f>#REF!/#REF!</f>
        <v>#REF!</v>
      </c>
    </row>
    <row r="265" spans="1:19" x14ac:dyDescent="0.3">
      <c r="A265" t="s">
        <v>1285</v>
      </c>
      <c r="B265">
        <v>2022</v>
      </c>
      <c r="C265">
        <v>1.7360318561436161</v>
      </c>
      <c r="D265">
        <v>3245104.8569240202</v>
      </c>
      <c r="E265">
        <v>17</v>
      </c>
      <c r="F265">
        <v>1514</v>
      </c>
      <c r="G265">
        <v>2.2293145235019999E-4</v>
      </c>
      <c r="H265">
        <v>8</v>
      </c>
      <c r="I265">
        <v>4</v>
      </c>
      <c r="J265">
        <v>0.44091167068483489</v>
      </c>
      <c r="K265">
        <v>-0.26136184904871551</v>
      </c>
      <c r="L265">
        <v>559912283.6789434</v>
      </c>
      <c r="M265" t="s">
        <v>406</v>
      </c>
      <c r="N265" t="s">
        <v>426</v>
      </c>
      <c r="O265" t="s">
        <v>426</v>
      </c>
      <c r="P265">
        <v>60262</v>
      </c>
      <c r="Q265">
        <v>26462</v>
      </c>
      <c r="R265">
        <v>33800</v>
      </c>
      <c r="S265" t="e">
        <f>#REF!/#REF!</f>
        <v>#REF!</v>
      </c>
    </row>
    <row r="266" spans="1:19" x14ac:dyDescent="0.3">
      <c r="A266" t="s">
        <v>1286</v>
      </c>
      <c r="B266">
        <v>2022</v>
      </c>
      <c r="C266">
        <v>7.4755490697838667</v>
      </c>
      <c r="D266">
        <v>5435777.9581495104</v>
      </c>
      <c r="E266">
        <v>473</v>
      </c>
      <c r="F266">
        <v>421</v>
      </c>
      <c r="G266">
        <v>5.6429583406620003E-4</v>
      </c>
      <c r="H266">
        <v>25</v>
      </c>
      <c r="I266">
        <v>10</v>
      </c>
      <c r="J266">
        <v>0.53041607693649284</v>
      </c>
      <c r="K266">
        <v>-0.34290385466811091</v>
      </c>
      <c r="L266">
        <v>49346322.685064137</v>
      </c>
      <c r="M266" t="s">
        <v>830</v>
      </c>
      <c r="N266" t="s">
        <v>864</v>
      </c>
      <c r="O266" t="s">
        <v>865</v>
      </c>
      <c r="P266">
        <v>15975</v>
      </c>
      <c r="Q266">
        <v>12125</v>
      </c>
      <c r="R266">
        <v>3850</v>
      </c>
      <c r="S266" t="e">
        <f>#REF!/#REF!</f>
        <v>#REF!</v>
      </c>
    </row>
    <row r="267" spans="1:19" x14ac:dyDescent="0.3">
      <c r="A267" t="s">
        <v>1287</v>
      </c>
      <c r="B267">
        <v>2022</v>
      </c>
      <c r="C267">
        <v>1.1649539303418741</v>
      </c>
      <c r="D267">
        <v>4716902</v>
      </c>
      <c r="E267">
        <v>18</v>
      </c>
      <c r="F267">
        <v>778</v>
      </c>
      <c r="G267">
        <v>1.069174301186E-4</v>
      </c>
      <c r="H267">
        <v>20</v>
      </c>
      <c r="I267">
        <v>7</v>
      </c>
      <c r="J267">
        <v>0.32609944901880311</v>
      </c>
      <c r="K267">
        <v>-0.31193060532558498</v>
      </c>
      <c r="L267">
        <v>1176326741.0155871</v>
      </c>
      <c r="M267" t="s">
        <v>406</v>
      </c>
      <c r="N267" t="s">
        <v>415</v>
      </c>
      <c r="O267" t="s">
        <v>415</v>
      </c>
      <c r="P267">
        <v>57806</v>
      </c>
      <c r="Q267">
        <v>11946</v>
      </c>
      <c r="R267">
        <v>45860</v>
      </c>
      <c r="S267" t="e">
        <f>#REF!/#REF!</f>
        <v>#REF!</v>
      </c>
    </row>
    <row r="268" spans="1:19" x14ac:dyDescent="0.3">
      <c r="A268" t="s">
        <v>1288</v>
      </c>
      <c r="B268">
        <v>2022</v>
      </c>
      <c r="C268">
        <v>0.72238651644642071</v>
      </c>
      <c r="D268">
        <v>496551.640625</v>
      </c>
      <c r="E268">
        <v>15</v>
      </c>
      <c r="F268">
        <v>172</v>
      </c>
      <c r="G268">
        <v>9.2363657032420001E-4</v>
      </c>
      <c r="H268">
        <v>8</v>
      </c>
      <c r="I268">
        <v>1</v>
      </c>
      <c r="J268">
        <v>0.64925118984585151</v>
      </c>
      <c r="K268">
        <v>-0.26740841745948918</v>
      </c>
      <c r="L268">
        <v>500609345.83800173</v>
      </c>
      <c r="M268" t="s">
        <v>730</v>
      </c>
      <c r="N268" t="s">
        <v>755</v>
      </c>
      <c r="O268" t="s">
        <v>755</v>
      </c>
      <c r="P268">
        <v>4646</v>
      </c>
      <c r="Q268">
        <v>2147</v>
      </c>
      <c r="R268">
        <v>2499</v>
      </c>
      <c r="S268" t="e">
        <f>#REF!/#REF!</f>
        <v>#REF!</v>
      </c>
    </row>
    <row r="269" spans="1:19" x14ac:dyDescent="0.3">
      <c r="A269" t="s">
        <v>1289</v>
      </c>
      <c r="B269">
        <v>2022</v>
      </c>
      <c r="C269">
        <v>1.5969857871579149</v>
      </c>
      <c r="D269">
        <v>495407.046875</v>
      </c>
      <c r="E269">
        <v>35</v>
      </c>
      <c r="F269">
        <v>104</v>
      </c>
      <c r="G269">
        <v>7.2129596783719998E-4</v>
      </c>
      <c r="H269">
        <v>5</v>
      </c>
      <c r="I269">
        <v>4</v>
      </c>
      <c r="J269">
        <v>0.37279963483938139</v>
      </c>
      <c r="K269">
        <v>-0.36327382433709848</v>
      </c>
      <c r="L269">
        <v>49557473.5510628</v>
      </c>
      <c r="M269" t="s">
        <v>499</v>
      </c>
      <c r="N269" t="s">
        <v>577</v>
      </c>
      <c r="O269" t="s">
        <v>577</v>
      </c>
      <c r="P269">
        <v>4392</v>
      </c>
      <c r="Q269">
        <v>2276</v>
      </c>
      <c r="R269">
        <v>2116</v>
      </c>
      <c r="S269" t="e">
        <f>#REF!/#REF!</f>
        <v>#REF!</v>
      </c>
    </row>
    <row r="270" spans="1:19" x14ac:dyDescent="0.3">
      <c r="A270" t="s">
        <v>1290</v>
      </c>
      <c r="B270">
        <v>2022</v>
      </c>
      <c r="C270">
        <v>2.4456131413908779</v>
      </c>
      <c r="D270">
        <v>3226974.71875</v>
      </c>
      <c r="E270">
        <v>77</v>
      </c>
      <c r="F270">
        <v>158</v>
      </c>
      <c r="G270">
        <v>1.4576703084190001E-3</v>
      </c>
      <c r="H270">
        <v>11</v>
      </c>
      <c r="I270">
        <v>1</v>
      </c>
      <c r="L270">
        <v>102186887.6678635</v>
      </c>
      <c r="M270" t="s">
        <v>586</v>
      </c>
      <c r="N270" t="s">
        <v>595</v>
      </c>
      <c r="O270" t="s">
        <v>51</v>
      </c>
      <c r="P270">
        <v>20763</v>
      </c>
      <c r="Q270">
        <v>8979</v>
      </c>
      <c r="R270">
        <v>11784</v>
      </c>
      <c r="S270" t="e">
        <f>#REF!/#REF!</f>
        <v>#REF!</v>
      </c>
    </row>
    <row r="271" spans="1:19" x14ac:dyDescent="0.3">
      <c r="A271" t="s">
        <v>1291</v>
      </c>
      <c r="B271">
        <v>2022</v>
      </c>
      <c r="C271">
        <v>3.1682736595729888</v>
      </c>
      <c r="D271">
        <v>21212444.372732852</v>
      </c>
      <c r="E271">
        <v>359</v>
      </c>
      <c r="F271">
        <v>986</v>
      </c>
      <c r="G271">
        <v>1.9748345576129999E-4</v>
      </c>
      <c r="H271">
        <v>12</v>
      </c>
      <c r="I271">
        <v>16</v>
      </c>
      <c r="J271">
        <v>0.44413629621735989</v>
      </c>
      <c r="K271">
        <v>-0.346205355520328</v>
      </c>
      <c r="L271">
        <v>193167865.30951881</v>
      </c>
      <c r="M271" t="s">
        <v>191</v>
      </c>
      <c r="N271" t="s">
        <v>218</v>
      </c>
      <c r="O271" t="s">
        <v>116</v>
      </c>
      <c r="P271">
        <v>39069</v>
      </c>
      <c r="Q271">
        <v>23833</v>
      </c>
      <c r="R271">
        <v>15236</v>
      </c>
      <c r="S271" t="e">
        <f>#REF!/#REF!</f>
        <v>#REF!</v>
      </c>
    </row>
    <row r="272" spans="1:19" x14ac:dyDescent="0.3">
      <c r="A272" t="s">
        <v>1292</v>
      </c>
      <c r="B272">
        <v>2022</v>
      </c>
      <c r="C272">
        <v>1.3838025137991761</v>
      </c>
      <c r="D272">
        <v>5034771.5400735289</v>
      </c>
      <c r="E272">
        <v>353</v>
      </c>
      <c r="F272">
        <v>194</v>
      </c>
      <c r="G272">
        <v>3.810788573408E-4</v>
      </c>
      <c r="H272">
        <v>3</v>
      </c>
      <c r="I272">
        <v>0</v>
      </c>
      <c r="J272">
        <v>0.33679350557771398</v>
      </c>
      <c r="K272">
        <v>-0.23629908550531431</v>
      </c>
      <c r="L272">
        <v>77596639.048872709</v>
      </c>
      <c r="M272" t="s">
        <v>232</v>
      </c>
      <c r="N272" t="s">
        <v>269</v>
      </c>
      <c r="O272" t="s">
        <v>274</v>
      </c>
      <c r="P272">
        <v>4472</v>
      </c>
      <c r="Q272">
        <v>952</v>
      </c>
      <c r="R272">
        <v>3520</v>
      </c>
      <c r="S272" t="e">
        <f>#REF!/#REF!</f>
        <v>#REF!</v>
      </c>
    </row>
    <row r="273" spans="1:19" x14ac:dyDescent="0.3">
      <c r="A273" t="s">
        <v>1293</v>
      </c>
      <c r="B273">
        <v>2022</v>
      </c>
      <c r="C273">
        <v>1.060275934851779</v>
      </c>
      <c r="D273">
        <v>1277663.090747549</v>
      </c>
      <c r="E273">
        <v>106</v>
      </c>
      <c r="F273">
        <v>300</v>
      </c>
      <c r="G273">
        <v>1.9203268262459999E-4</v>
      </c>
      <c r="H273">
        <v>13</v>
      </c>
      <c r="I273">
        <v>1</v>
      </c>
      <c r="L273">
        <v>212678930.96104649</v>
      </c>
      <c r="M273" t="s">
        <v>652</v>
      </c>
      <c r="N273" t="s">
        <v>772</v>
      </c>
      <c r="O273" t="s">
        <v>790</v>
      </c>
      <c r="P273">
        <v>2935</v>
      </c>
      <c r="Q273">
        <v>899</v>
      </c>
      <c r="R273">
        <v>2036</v>
      </c>
      <c r="S273" t="e">
        <f>#REF!/#REF!</f>
        <v>#REF!</v>
      </c>
    </row>
    <row r="274" spans="1:19" x14ac:dyDescent="0.3">
      <c r="A274" t="s">
        <v>1294</v>
      </c>
      <c r="B274">
        <v>2022</v>
      </c>
      <c r="C274">
        <v>7.0945757415788071</v>
      </c>
      <c r="D274">
        <v>7924045.1606617644</v>
      </c>
      <c r="E274">
        <v>629</v>
      </c>
      <c r="F274">
        <v>374</v>
      </c>
      <c r="G274">
        <v>6.3404708449010003E-4</v>
      </c>
      <c r="H274">
        <v>10</v>
      </c>
      <c r="I274">
        <v>5</v>
      </c>
      <c r="J274">
        <v>0.36057476100366809</v>
      </c>
      <c r="K274">
        <v>-0.26195306832342558</v>
      </c>
      <c r="L274">
        <v>71273888.404395893</v>
      </c>
      <c r="M274" t="s">
        <v>652</v>
      </c>
      <c r="N274" t="s">
        <v>817</v>
      </c>
      <c r="O274" t="s">
        <v>818</v>
      </c>
      <c r="P274">
        <v>21006</v>
      </c>
      <c r="Q274">
        <v>14126</v>
      </c>
      <c r="R274">
        <v>6880</v>
      </c>
      <c r="S274" t="e">
        <f>#REF!/#REF!</f>
        <v>#REF!</v>
      </c>
    </row>
    <row r="275" spans="1:19" x14ac:dyDescent="0.3">
      <c r="A275" t="s">
        <v>1295</v>
      </c>
      <c r="B275">
        <v>2022</v>
      </c>
      <c r="C275">
        <v>1.164271322655702</v>
      </c>
      <c r="D275">
        <v>496652.3125</v>
      </c>
      <c r="E275">
        <v>82</v>
      </c>
      <c r="F275">
        <v>109</v>
      </c>
      <c r="G275">
        <v>1.9284972556000001E-3</v>
      </c>
      <c r="H275">
        <v>4</v>
      </c>
      <c r="I275">
        <v>1</v>
      </c>
      <c r="J275">
        <v>0.62912224526714733</v>
      </c>
      <c r="K275">
        <v>-0.2461470040521318</v>
      </c>
      <c r="L275">
        <v>488736709.69895238</v>
      </c>
      <c r="M275" t="s">
        <v>922</v>
      </c>
      <c r="N275" t="s">
        <v>956</v>
      </c>
      <c r="O275" t="s">
        <v>958</v>
      </c>
      <c r="P275">
        <v>1678</v>
      </c>
      <c r="Q275">
        <v>425</v>
      </c>
      <c r="R275">
        <v>1253</v>
      </c>
      <c r="S275" t="e">
        <f>#REF!/#REF!</f>
        <v>#REF!</v>
      </c>
    </row>
    <row r="276" spans="1:19" x14ac:dyDescent="0.3">
      <c r="A276" t="s">
        <v>1296</v>
      </c>
      <c r="B276">
        <v>2022</v>
      </c>
      <c r="C276">
        <v>24.874504055072698</v>
      </c>
      <c r="D276">
        <v>21736483.12132353</v>
      </c>
      <c r="E276">
        <v>1265</v>
      </c>
      <c r="F276">
        <v>3616</v>
      </c>
      <c r="G276">
        <v>1.459805206338E-4</v>
      </c>
      <c r="H276">
        <v>41</v>
      </c>
      <c r="I276">
        <v>31</v>
      </c>
      <c r="L276">
        <v>57307870.599606529</v>
      </c>
      <c r="M276" t="s">
        <v>652</v>
      </c>
      <c r="N276" t="s">
        <v>822</v>
      </c>
      <c r="O276" t="s">
        <v>823</v>
      </c>
      <c r="P276">
        <v>102748</v>
      </c>
      <c r="Q276">
        <v>91569</v>
      </c>
      <c r="R276">
        <v>11179</v>
      </c>
      <c r="S276" t="e">
        <f>#REF!/#REF!</f>
        <v>#REF!</v>
      </c>
    </row>
    <row r="277" spans="1:19" x14ac:dyDescent="0.3">
      <c r="A277" t="s">
        <v>1297</v>
      </c>
      <c r="B277">
        <v>2022</v>
      </c>
      <c r="C277">
        <v>1.506536115458937</v>
      </c>
      <c r="D277">
        <v>342769.78829656867</v>
      </c>
      <c r="E277">
        <v>90</v>
      </c>
      <c r="F277">
        <v>60</v>
      </c>
      <c r="G277">
        <v>9.1905919264950004E-4</v>
      </c>
      <c r="H277">
        <v>2</v>
      </c>
      <c r="I277">
        <v>5</v>
      </c>
      <c r="J277">
        <v>0.34705139170423449</v>
      </c>
      <c r="K277">
        <v>-0.3095088311283381</v>
      </c>
      <c r="L277">
        <v>52984851.918050207</v>
      </c>
      <c r="M277" t="s">
        <v>156</v>
      </c>
      <c r="N277" t="s">
        <v>177</v>
      </c>
      <c r="O277" t="s">
        <v>180</v>
      </c>
      <c r="P277">
        <v>1380</v>
      </c>
      <c r="Q277">
        <v>587</v>
      </c>
      <c r="R277">
        <v>793</v>
      </c>
      <c r="S277" t="e">
        <f>#REF!/#REF!</f>
        <v>#REF!</v>
      </c>
    </row>
    <row r="278" spans="1:19" x14ac:dyDescent="0.3">
      <c r="A278" t="s">
        <v>1298</v>
      </c>
      <c r="B278">
        <v>2022</v>
      </c>
      <c r="C278">
        <v>7.4932649972069836</v>
      </c>
      <c r="D278">
        <v>5216234.3754289215</v>
      </c>
      <c r="E278">
        <v>85</v>
      </c>
      <c r="F278">
        <v>1223</v>
      </c>
      <c r="G278">
        <v>3.3903747320049998E-4</v>
      </c>
      <c r="H278">
        <v>13</v>
      </c>
      <c r="I278">
        <v>18</v>
      </c>
      <c r="J278">
        <v>0.25737516034873958</v>
      </c>
      <c r="K278">
        <v>-0.1254566429715985</v>
      </c>
      <c r="L278">
        <v>169213011.9846586</v>
      </c>
      <c r="M278" t="s">
        <v>586</v>
      </c>
      <c r="N278" t="s">
        <v>587</v>
      </c>
      <c r="O278" t="s">
        <v>587</v>
      </c>
      <c r="P278">
        <v>111724</v>
      </c>
      <c r="Q278">
        <v>66058</v>
      </c>
      <c r="R278">
        <v>45666</v>
      </c>
      <c r="S278" t="e">
        <f>#REF!/#REF!</f>
        <v>#REF!</v>
      </c>
    </row>
    <row r="279" spans="1:19" x14ac:dyDescent="0.3">
      <c r="A279" t="s">
        <v>1299</v>
      </c>
      <c r="B279">
        <v>2022</v>
      </c>
      <c r="C279">
        <v>0.78168348780518115</v>
      </c>
      <c r="D279">
        <v>1489121.15625</v>
      </c>
      <c r="E279">
        <v>70</v>
      </c>
      <c r="F279">
        <v>111</v>
      </c>
      <c r="G279">
        <v>1.6937417611001999E-3</v>
      </c>
      <c r="H279">
        <v>6</v>
      </c>
      <c r="I279">
        <v>15</v>
      </c>
      <c r="J279">
        <v>0.66011953005753254</v>
      </c>
      <c r="K279">
        <v>-0.29026116923244499</v>
      </c>
      <c r="L279">
        <v>184143121.49518359</v>
      </c>
      <c r="M279" t="s">
        <v>674</v>
      </c>
      <c r="N279" t="s">
        <v>712</v>
      </c>
      <c r="O279" t="s">
        <v>712</v>
      </c>
      <c r="P279">
        <v>4061</v>
      </c>
      <c r="Q279">
        <v>970</v>
      </c>
      <c r="R279">
        <v>3091</v>
      </c>
      <c r="S279" t="e">
        <f>#REF!/#REF!</f>
        <v>#REF!</v>
      </c>
    </row>
    <row r="280" spans="1:19" x14ac:dyDescent="0.3">
      <c r="A280" t="s">
        <v>1300</v>
      </c>
      <c r="B280">
        <v>2022</v>
      </c>
      <c r="C280">
        <v>7.1933306160609831</v>
      </c>
      <c r="D280">
        <v>2234937.65625</v>
      </c>
      <c r="E280">
        <v>109</v>
      </c>
      <c r="F280">
        <v>684</v>
      </c>
      <c r="G280">
        <v>5.5324037630459998E-4</v>
      </c>
      <c r="H280">
        <v>5</v>
      </c>
      <c r="I280">
        <v>27</v>
      </c>
      <c r="J280">
        <v>0.487530958750993</v>
      </c>
      <c r="K280">
        <v>-0.23467388591973609</v>
      </c>
      <c r="L280">
        <v>80894619.346610248</v>
      </c>
      <c r="M280" t="s">
        <v>990</v>
      </c>
      <c r="N280" t="s">
        <v>1000</v>
      </c>
      <c r="O280" t="s">
        <v>1000</v>
      </c>
      <c r="P280">
        <v>37172</v>
      </c>
      <c r="Q280">
        <v>17261</v>
      </c>
      <c r="R280">
        <v>19911</v>
      </c>
      <c r="S280" t="e">
        <f>#REF!/#REF!</f>
        <v>#REF!</v>
      </c>
    </row>
    <row r="281" spans="1:19" x14ac:dyDescent="0.3">
      <c r="A281" t="s">
        <v>1301</v>
      </c>
      <c r="B281">
        <v>2022</v>
      </c>
      <c r="C281">
        <v>2.4262356064952111</v>
      </c>
      <c r="D281">
        <v>1239695.265625</v>
      </c>
      <c r="E281">
        <v>22</v>
      </c>
      <c r="F281">
        <v>545</v>
      </c>
      <c r="G281">
        <v>4.4151814366739998E-4</v>
      </c>
      <c r="H281">
        <v>13</v>
      </c>
      <c r="I281">
        <v>0</v>
      </c>
      <c r="J281">
        <v>0.45934309611643681</v>
      </c>
      <c r="K281">
        <v>-0.17962867200289309</v>
      </c>
      <c r="L281">
        <v>236123943.21606791</v>
      </c>
      <c r="M281" t="s">
        <v>287</v>
      </c>
      <c r="N281" t="s">
        <v>304</v>
      </c>
      <c r="O281" t="s">
        <v>304</v>
      </c>
      <c r="P281">
        <v>35307</v>
      </c>
      <c r="Q281">
        <v>17967</v>
      </c>
      <c r="R281">
        <v>17340</v>
      </c>
      <c r="S281" t="e">
        <f>#REF!/#REF!</f>
        <v>#REF!</v>
      </c>
    </row>
    <row r="282" spans="1:19" x14ac:dyDescent="0.3">
      <c r="A282" t="s">
        <v>1302</v>
      </c>
      <c r="B282">
        <v>2022</v>
      </c>
      <c r="C282">
        <v>0.66417439465542216</v>
      </c>
      <c r="D282">
        <v>1737856.875</v>
      </c>
      <c r="E282">
        <v>32</v>
      </c>
      <c r="F282">
        <v>206</v>
      </c>
      <c r="G282">
        <v>1.3134191341659999E-4</v>
      </c>
      <c r="H282">
        <v>6</v>
      </c>
      <c r="I282">
        <v>30</v>
      </c>
      <c r="J282">
        <v>0.42626898969272331</v>
      </c>
      <c r="K282">
        <v>-0.29057852473897339</v>
      </c>
      <c r="L282">
        <v>296546676.9941268</v>
      </c>
      <c r="M282" t="s">
        <v>97</v>
      </c>
      <c r="N282" t="s">
        <v>98</v>
      </c>
      <c r="O282" t="s">
        <v>105</v>
      </c>
      <c r="P282">
        <v>9406</v>
      </c>
      <c r="Q282">
        <v>418</v>
      </c>
      <c r="R282">
        <v>8988</v>
      </c>
      <c r="S282" t="e">
        <f>#REF!/#REF!</f>
        <v>#REF!</v>
      </c>
    </row>
    <row r="283" spans="1:19" x14ac:dyDescent="0.3">
      <c r="A283" t="s">
        <v>1303</v>
      </c>
      <c r="B283">
        <v>2022</v>
      </c>
      <c r="C283">
        <v>3.3384631245613852</v>
      </c>
      <c r="D283">
        <v>4380201.3213848043</v>
      </c>
      <c r="E283">
        <v>911</v>
      </c>
      <c r="F283">
        <v>337</v>
      </c>
      <c r="G283">
        <v>3.6942535998569999E-4</v>
      </c>
      <c r="H283">
        <v>10</v>
      </c>
      <c r="I283">
        <v>3</v>
      </c>
      <c r="J283">
        <v>0.47371323355899292</v>
      </c>
      <c r="K283">
        <v>-0.32112779118172768</v>
      </c>
      <c r="L283">
        <v>48126764.259551682</v>
      </c>
      <c r="M283" t="s">
        <v>830</v>
      </c>
      <c r="N283" t="s">
        <v>831</v>
      </c>
      <c r="O283" t="s">
        <v>838</v>
      </c>
      <c r="P283">
        <v>4228</v>
      </c>
      <c r="Q283">
        <v>914</v>
      </c>
      <c r="R283">
        <v>3314</v>
      </c>
      <c r="S283" t="e">
        <f>#REF!/#REF!</f>
        <v>#REF!</v>
      </c>
    </row>
    <row r="284" spans="1:19" x14ac:dyDescent="0.3">
      <c r="A284" t="s">
        <v>1304</v>
      </c>
      <c r="B284">
        <v>2022</v>
      </c>
      <c r="C284">
        <v>1.308498413242646</v>
      </c>
      <c r="D284">
        <v>991661.71875</v>
      </c>
      <c r="E284">
        <v>38</v>
      </c>
      <c r="F284">
        <v>467</v>
      </c>
      <c r="G284">
        <v>1.3030001200310001E-4</v>
      </c>
      <c r="H284">
        <v>6</v>
      </c>
      <c r="I284">
        <v>0</v>
      </c>
      <c r="J284">
        <v>0.48305540965315158</v>
      </c>
      <c r="K284">
        <v>-0.36945541363566731</v>
      </c>
      <c r="L284">
        <v>242751217.1784364</v>
      </c>
      <c r="M284" t="s">
        <v>20</v>
      </c>
      <c r="N284" t="s">
        <v>55</v>
      </c>
      <c r="O284" t="s">
        <v>55</v>
      </c>
      <c r="P284">
        <v>9079</v>
      </c>
      <c r="Q284">
        <v>2266</v>
      </c>
      <c r="R284">
        <v>6813</v>
      </c>
      <c r="S284" t="e">
        <f>#REF!/#REF!</f>
        <v>#REF!</v>
      </c>
    </row>
    <row r="285" spans="1:19" x14ac:dyDescent="0.3">
      <c r="A285" t="s">
        <v>1305</v>
      </c>
      <c r="B285">
        <v>2022</v>
      </c>
      <c r="C285">
        <v>3.875119563064239</v>
      </c>
      <c r="D285">
        <v>2234368.453125</v>
      </c>
      <c r="E285">
        <v>271</v>
      </c>
      <c r="F285">
        <v>860</v>
      </c>
      <c r="G285">
        <v>2.2923922860169999E-4</v>
      </c>
      <c r="H285">
        <v>14</v>
      </c>
      <c r="I285">
        <v>17</v>
      </c>
      <c r="J285">
        <v>0.53790858585670709</v>
      </c>
      <c r="K285">
        <v>-0.27981929499098729</v>
      </c>
      <c r="L285">
        <v>79391258.135633707</v>
      </c>
      <c r="M285" t="s">
        <v>830</v>
      </c>
      <c r="N285" t="s">
        <v>854</v>
      </c>
      <c r="O285" t="s">
        <v>854</v>
      </c>
      <c r="P285">
        <v>8680</v>
      </c>
      <c r="Q285">
        <v>4484</v>
      </c>
      <c r="R285">
        <v>4196</v>
      </c>
      <c r="S285" t="e">
        <f>#REF!/#REF!</f>
        <v>#REF!</v>
      </c>
    </row>
    <row r="286" spans="1:19" x14ac:dyDescent="0.3">
      <c r="A286" t="s">
        <v>1306</v>
      </c>
      <c r="B286">
        <v>2022</v>
      </c>
      <c r="C286">
        <v>5.055854276777028</v>
      </c>
      <c r="D286">
        <v>3814158.490134804</v>
      </c>
      <c r="E286">
        <v>345</v>
      </c>
      <c r="F286">
        <v>340</v>
      </c>
      <c r="G286">
        <v>7.5678346287199997E-4</v>
      </c>
      <c r="H286">
        <v>22</v>
      </c>
      <c r="I286">
        <v>8</v>
      </c>
      <c r="L286">
        <v>53312786.896659389</v>
      </c>
      <c r="M286" t="s">
        <v>191</v>
      </c>
      <c r="N286" t="s">
        <v>192</v>
      </c>
      <c r="O286" t="s">
        <v>201</v>
      </c>
      <c r="P286">
        <v>15502</v>
      </c>
      <c r="Q286">
        <v>8584</v>
      </c>
      <c r="R286">
        <v>6918</v>
      </c>
      <c r="S286" t="e">
        <f>#REF!/#REF!</f>
        <v>#REF!</v>
      </c>
    </row>
    <row r="287" spans="1:19" x14ac:dyDescent="0.3">
      <c r="A287" t="s">
        <v>1307</v>
      </c>
      <c r="B287">
        <v>2022</v>
      </c>
      <c r="C287">
        <v>2.7332588626107972</v>
      </c>
      <c r="D287">
        <v>744840.53125</v>
      </c>
      <c r="E287">
        <v>47</v>
      </c>
      <c r="F287">
        <v>260</v>
      </c>
      <c r="G287">
        <v>5.3235456477199997E-4</v>
      </c>
      <c r="H287">
        <v>9</v>
      </c>
      <c r="I287">
        <v>6</v>
      </c>
      <c r="L287">
        <v>83819607.616770893</v>
      </c>
      <c r="M287" t="s">
        <v>586</v>
      </c>
      <c r="N287" t="s">
        <v>597</v>
      </c>
      <c r="O287" t="s">
        <v>431</v>
      </c>
      <c r="P287">
        <v>12037</v>
      </c>
      <c r="Q287">
        <v>3339</v>
      </c>
      <c r="R287">
        <v>8698</v>
      </c>
      <c r="S287" t="e">
        <f>#REF!/#REF!</f>
        <v>#REF!</v>
      </c>
    </row>
    <row r="288" spans="1:19" x14ac:dyDescent="0.3">
      <c r="A288" t="s">
        <v>1308</v>
      </c>
      <c r="B288">
        <v>2022</v>
      </c>
      <c r="C288">
        <v>1.7595791978011139</v>
      </c>
      <c r="D288">
        <v>1293154.0189950981</v>
      </c>
      <c r="E288">
        <v>84</v>
      </c>
      <c r="F288">
        <v>199</v>
      </c>
      <c r="G288">
        <v>3.1604563698997999E-3</v>
      </c>
      <c r="H288">
        <v>1</v>
      </c>
      <c r="I288">
        <v>0</v>
      </c>
      <c r="J288">
        <v>0.66275843974021875</v>
      </c>
      <c r="K288">
        <v>-0.32985540924106599</v>
      </c>
      <c r="L288">
        <v>94948986.097855777</v>
      </c>
      <c r="M288" t="s">
        <v>959</v>
      </c>
      <c r="N288" t="s">
        <v>984</v>
      </c>
      <c r="O288" t="s">
        <v>984</v>
      </c>
      <c r="P288">
        <v>7677</v>
      </c>
      <c r="Q288">
        <v>3020</v>
      </c>
      <c r="R288">
        <v>4657</v>
      </c>
      <c r="S288" t="e">
        <f>#REF!/#REF!</f>
        <v>#REF!</v>
      </c>
    </row>
    <row r="289" spans="1:19" x14ac:dyDescent="0.3">
      <c r="A289" t="s">
        <v>1309</v>
      </c>
      <c r="B289">
        <v>2022</v>
      </c>
      <c r="C289">
        <v>40.580541240053918</v>
      </c>
      <c r="D289">
        <v>10110229.077083331</v>
      </c>
      <c r="E289">
        <v>2786</v>
      </c>
      <c r="F289">
        <v>2146</v>
      </c>
      <c r="G289">
        <v>2.463953964248E-4</v>
      </c>
      <c r="H289">
        <v>16</v>
      </c>
      <c r="I289">
        <v>14</v>
      </c>
      <c r="L289">
        <v>20972578.280250851</v>
      </c>
      <c r="M289" t="s">
        <v>652</v>
      </c>
      <c r="N289" t="s">
        <v>772</v>
      </c>
      <c r="O289" t="s">
        <v>778</v>
      </c>
      <c r="P289">
        <v>41752</v>
      </c>
      <c r="Q289">
        <v>37789</v>
      </c>
      <c r="R289">
        <v>3963</v>
      </c>
      <c r="S289" t="e">
        <f>#REF!/#REF!</f>
        <v>#REF!</v>
      </c>
    </row>
    <row r="290" spans="1:19" x14ac:dyDescent="0.3">
      <c r="A290" t="s">
        <v>1310</v>
      </c>
      <c r="B290">
        <v>2022</v>
      </c>
      <c r="C290">
        <v>8.2424059786776134</v>
      </c>
      <c r="D290">
        <v>4465453.3512254898</v>
      </c>
      <c r="E290">
        <v>1564</v>
      </c>
      <c r="F290">
        <v>685</v>
      </c>
      <c r="G290">
        <v>2.707334240044E-4</v>
      </c>
      <c r="H290">
        <v>29</v>
      </c>
      <c r="I290">
        <v>3</v>
      </c>
      <c r="J290">
        <v>0.41432720238160431</v>
      </c>
      <c r="K290">
        <v>-0.32977197723828161</v>
      </c>
      <c r="L290">
        <v>27049159.86207464</v>
      </c>
      <c r="M290" t="s">
        <v>20</v>
      </c>
      <c r="N290" t="s">
        <v>21</v>
      </c>
      <c r="O290" t="s">
        <v>29</v>
      </c>
      <c r="P290">
        <v>6707</v>
      </c>
      <c r="Q290">
        <v>4985</v>
      </c>
      <c r="R290">
        <v>1722</v>
      </c>
      <c r="S290" t="e">
        <f>#REF!/#REF!</f>
        <v>#REF!</v>
      </c>
    </row>
    <row r="291" spans="1:19" x14ac:dyDescent="0.3">
      <c r="A291" t="s">
        <v>1311</v>
      </c>
      <c r="B291">
        <v>2022</v>
      </c>
      <c r="C291">
        <v>1.4439988554253049</v>
      </c>
      <c r="D291">
        <v>1487057.4375</v>
      </c>
      <c r="E291">
        <v>76</v>
      </c>
      <c r="F291">
        <v>234</v>
      </c>
      <c r="G291">
        <v>1.1367268605441E-3</v>
      </c>
      <c r="H291">
        <v>6</v>
      </c>
      <c r="I291">
        <v>2</v>
      </c>
      <c r="J291">
        <v>0.56232355116671617</v>
      </c>
      <c r="K291">
        <v>-0.2433732123115101</v>
      </c>
      <c r="L291">
        <v>154682359.9331246</v>
      </c>
      <c r="M291" t="s">
        <v>874</v>
      </c>
      <c r="N291" t="s">
        <v>898</v>
      </c>
      <c r="O291" t="s">
        <v>898</v>
      </c>
      <c r="P291">
        <v>8312</v>
      </c>
      <c r="Q291">
        <v>4653</v>
      </c>
      <c r="R291">
        <v>3659</v>
      </c>
      <c r="S291" t="e">
        <f>#REF!/#REF!</f>
        <v>#REF!</v>
      </c>
    </row>
    <row r="292" spans="1:19" x14ac:dyDescent="0.3">
      <c r="A292" t="s">
        <v>1312</v>
      </c>
      <c r="B292">
        <v>2022</v>
      </c>
      <c r="C292">
        <v>3.4401679237728748</v>
      </c>
      <c r="D292">
        <v>1006647.741727941</v>
      </c>
      <c r="E292">
        <v>176</v>
      </c>
      <c r="F292">
        <v>309</v>
      </c>
      <c r="G292">
        <v>3.8936359866649999E-4</v>
      </c>
      <c r="H292">
        <v>33</v>
      </c>
      <c r="I292">
        <v>1</v>
      </c>
      <c r="J292">
        <v>0.43835429151064631</v>
      </c>
      <c r="K292">
        <v>-0.2745023363341943</v>
      </c>
      <c r="L292">
        <v>79323846.301362291</v>
      </c>
      <c r="M292" t="s">
        <v>830</v>
      </c>
      <c r="N292" t="s">
        <v>852</v>
      </c>
      <c r="O292" t="s">
        <v>852</v>
      </c>
      <c r="P292">
        <v>5817</v>
      </c>
      <c r="Q292">
        <v>4158</v>
      </c>
      <c r="R292">
        <v>1659</v>
      </c>
      <c r="S292" t="e">
        <f>#REF!/#REF!</f>
        <v>#REF!</v>
      </c>
    </row>
    <row r="293" spans="1:19" x14ac:dyDescent="0.3">
      <c r="A293" t="s">
        <v>1313</v>
      </c>
      <c r="B293">
        <v>2022</v>
      </c>
      <c r="C293">
        <v>1.057762495207027</v>
      </c>
      <c r="D293">
        <v>230670.6584558824</v>
      </c>
      <c r="E293">
        <v>8</v>
      </c>
      <c r="F293">
        <v>271</v>
      </c>
      <c r="G293">
        <v>2.753103612937E-4</v>
      </c>
      <c r="H293">
        <v>15</v>
      </c>
      <c r="I293">
        <v>0</v>
      </c>
      <c r="J293">
        <v>0.48136678680685502</v>
      </c>
      <c r="K293">
        <v>-0.3838176364528097</v>
      </c>
      <c r="L293">
        <v>167441700.38252559</v>
      </c>
      <c r="M293" t="s">
        <v>232</v>
      </c>
      <c r="N293" t="s">
        <v>254</v>
      </c>
      <c r="O293" t="s">
        <v>257</v>
      </c>
      <c r="P293">
        <v>9130</v>
      </c>
      <c r="Q293">
        <v>654</v>
      </c>
      <c r="R293">
        <v>8476</v>
      </c>
      <c r="S293" t="e">
        <f>#REF!/#REF!</f>
        <v>#REF!</v>
      </c>
    </row>
    <row r="294" spans="1:19" x14ac:dyDescent="0.3">
      <c r="A294" t="s">
        <v>1314</v>
      </c>
      <c r="B294">
        <v>2022</v>
      </c>
      <c r="C294">
        <v>7.8229034811895177</v>
      </c>
      <c r="D294">
        <v>6394056.7438112739</v>
      </c>
      <c r="E294">
        <v>682</v>
      </c>
      <c r="F294">
        <v>766</v>
      </c>
      <c r="G294">
        <v>1.8508648494930001E-4</v>
      </c>
      <c r="H294">
        <v>5</v>
      </c>
      <c r="I294">
        <v>12</v>
      </c>
      <c r="J294">
        <v>0.48691961686646151</v>
      </c>
      <c r="K294">
        <v>-0.36611199127638711</v>
      </c>
      <c r="L294">
        <v>41417525.132723033</v>
      </c>
      <c r="M294" t="s">
        <v>20</v>
      </c>
      <c r="N294" t="s">
        <v>46</v>
      </c>
      <c r="O294" t="s">
        <v>46</v>
      </c>
      <c r="P294">
        <v>22004</v>
      </c>
      <c r="Q294">
        <v>16698</v>
      </c>
      <c r="R294">
        <v>5306</v>
      </c>
      <c r="S294" t="e">
        <f>#REF!/#REF!</f>
        <v>#REF!</v>
      </c>
    </row>
    <row r="295" spans="1:19" x14ac:dyDescent="0.3">
      <c r="A295" t="s">
        <v>1315</v>
      </c>
      <c r="B295">
        <v>2022</v>
      </c>
      <c r="C295">
        <v>14.83782306090151</v>
      </c>
      <c r="D295">
        <v>9460471.2720588222</v>
      </c>
      <c r="E295">
        <v>518</v>
      </c>
      <c r="F295">
        <v>2976</v>
      </c>
      <c r="G295">
        <v>1.5018268929409999E-4</v>
      </c>
      <c r="H295">
        <v>27</v>
      </c>
      <c r="I295">
        <v>16</v>
      </c>
      <c r="J295">
        <v>0.34826154695898759</v>
      </c>
      <c r="K295">
        <v>-5.7579339942945701E-2</v>
      </c>
      <c r="L295">
        <v>250682479.94449389</v>
      </c>
      <c r="M295" t="s">
        <v>406</v>
      </c>
      <c r="N295" t="s">
        <v>439</v>
      </c>
      <c r="O295" t="s">
        <v>439</v>
      </c>
      <c r="P295">
        <v>81835</v>
      </c>
      <c r="Q295">
        <v>60781</v>
      </c>
      <c r="R295">
        <v>21054</v>
      </c>
      <c r="S295" t="e">
        <f>#REF!/#REF!</f>
        <v>#REF!</v>
      </c>
    </row>
    <row r="296" spans="1:19" x14ac:dyDescent="0.3">
      <c r="A296" t="s">
        <v>1316</v>
      </c>
      <c r="B296">
        <v>2022</v>
      </c>
      <c r="C296">
        <v>3.8667516500499501</v>
      </c>
      <c r="D296">
        <v>6777840.7346813735</v>
      </c>
      <c r="E296">
        <v>136</v>
      </c>
      <c r="F296">
        <v>1484</v>
      </c>
      <c r="G296">
        <v>3.0242372954910002E-4</v>
      </c>
      <c r="H296">
        <v>3</v>
      </c>
      <c r="I296">
        <v>3</v>
      </c>
      <c r="J296">
        <v>0.23002738172438719</v>
      </c>
      <c r="K296">
        <v>-0.28636735555106191</v>
      </c>
      <c r="L296">
        <v>269999150.67391771</v>
      </c>
      <c r="M296" t="s">
        <v>406</v>
      </c>
      <c r="N296" t="s">
        <v>450</v>
      </c>
      <c r="O296" t="s">
        <v>451</v>
      </c>
      <c r="P296">
        <v>58635</v>
      </c>
      <c r="Q296">
        <v>30423</v>
      </c>
      <c r="R296">
        <v>28212</v>
      </c>
      <c r="S296" t="e">
        <f>#REF!/#REF!</f>
        <v>#REF!</v>
      </c>
    </row>
    <row r="297" spans="1:19" x14ac:dyDescent="0.3">
      <c r="A297" t="s">
        <v>1317</v>
      </c>
      <c r="B297">
        <v>2022</v>
      </c>
      <c r="C297">
        <v>1.794384344855662</v>
      </c>
      <c r="D297">
        <v>1239215.125</v>
      </c>
      <c r="E297">
        <v>70</v>
      </c>
      <c r="F297">
        <v>306</v>
      </c>
      <c r="G297">
        <v>2.9705789550639998E-4</v>
      </c>
      <c r="H297">
        <v>3</v>
      </c>
      <c r="I297">
        <v>8</v>
      </c>
      <c r="J297">
        <v>0.51195791057436346</v>
      </c>
      <c r="K297">
        <v>-0.33844588621198002</v>
      </c>
      <c r="L297">
        <v>75862496.110385194</v>
      </c>
      <c r="M297" t="s">
        <v>499</v>
      </c>
      <c r="N297" t="s">
        <v>557</v>
      </c>
      <c r="O297" t="s">
        <v>557</v>
      </c>
      <c r="P297">
        <v>9675</v>
      </c>
      <c r="Q297">
        <v>4770</v>
      </c>
      <c r="R297">
        <v>4905</v>
      </c>
      <c r="S297" t="e">
        <f>#REF!/#REF!</f>
        <v>#REF!</v>
      </c>
    </row>
    <row r="298" spans="1:19" x14ac:dyDescent="0.3">
      <c r="A298" t="s">
        <v>1318</v>
      </c>
      <c r="B298">
        <v>2022</v>
      </c>
      <c r="C298">
        <v>1.493780886381459</v>
      </c>
      <c r="D298">
        <v>2085941.8062499999</v>
      </c>
      <c r="E298">
        <v>195</v>
      </c>
      <c r="F298">
        <v>279</v>
      </c>
      <c r="G298">
        <v>2.1614180624950001E-4</v>
      </c>
      <c r="H298">
        <v>19</v>
      </c>
      <c r="I298">
        <v>5</v>
      </c>
      <c r="L298">
        <v>189671236.37262151</v>
      </c>
      <c r="M298" t="s">
        <v>652</v>
      </c>
      <c r="N298" t="s">
        <v>772</v>
      </c>
      <c r="O298" t="s">
        <v>776</v>
      </c>
      <c r="P298">
        <v>4963</v>
      </c>
      <c r="Q298">
        <v>3554</v>
      </c>
      <c r="R298">
        <v>1409</v>
      </c>
      <c r="S298" t="e">
        <f>#REF!/#REF!</f>
        <v>#REF!</v>
      </c>
    </row>
    <row r="299" spans="1:19" x14ac:dyDescent="0.3">
      <c r="A299" t="s">
        <v>1319</v>
      </c>
      <c r="B299">
        <v>2022</v>
      </c>
      <c r="C299">
        <v>5.1693349353218441</v>
      </c>
      <c r="D299">
        <v>498594.34950980393</v>
      </c>
      <c r="E299">
        <v>93</v>
      </c>
      <c r="F299">
        <v>253</v>
      </c>
      <c r="G299">
        <v>8.5621800090539995E-4</v>
      </c>
      <c r="H299">
        <v>18</v>
      </c>
      <c r="I299">
        <v>11</v>
      </c>
      <c r="J299">
        <v>0.42994456914820078</v>
      </c>
      <c r="K299">
        <v>-0.3409886784408801</v>
      </c>
      <c r="L299">
        <v>34975892.397380337</v>
      </c>
      <c r="M299" t="s">
        <v>460</v>
      </c>
      <c r="N299" t="s">
        <v>461</v>
      </c>
      <c r="O299" t="s">
        <v>466</v>
      </c>
      <c r="P299">
        <v>8589</v>
      </c>
      <c r="Q299">
        <v>3615</v>
      </c>
      <c r="R299">
        <v>4974</v>
      </c>
      <c r="S299" t="e">
        <f>#REF!/#REF!</f>
        <v>#REF!</v>
      </c>
    </row>
    <row r="300" spans="1:19" x14ac:dyDescent="0.3">
      <c r="A300" t="s">
        <v>1320</v>
      </c>
      <c r="B300">
        <v>2022</v>
      </c>
      <c r="C300">
        <v>1.8428031940315639</v>
      </c>
      <c r="D300">
        <v>2867832.2000612752</v>
      </c>
      <c r="E300">
        <v>161</v>
      </c>
      <c r="F300">
        <v>568</v>
      </c>
      <c r="G300">
        <v>2.4793691593030001E-4</v>
      </c>
      <c r="H300">
        <v>11</v>
      </c>
      <c r="I300">
        <v>3</v>
      </c>
      <c r="L300">
        <v>212750742.69489959</v>
      </c>
      <c r="M300" t="s">
        <v>652</v>
      </c>
      <c r="N300" t="s">
        <v>809</v>
      </c>
      <c r="O300" t="s">
        <v>811</v>
      </c>
      <c r="P300">
        <v>10289</v>
      </c>
      <c r="Q300">
        <v>7657</v>
      </c>
      <c r="R300">
        <v>2632</v>
      </c>
      <c r="S300" t="e">
        <f>#REF!/#REF!</f>
        <v>#REF!</v>
      </c>
    </row>
    <row r="301" spans="1:19" x14ac:dyDescent="0.3">
      <c r="A301" t="s">
        <v>1321</v>
      </c>
      <c r="B301">
        <v>2022</v>
      </c>
      <c r="C301">
        <v>1.091534916268587</v>
      </c>
      <c r="D301">
        <v>4462182.203125</v>
      </c>
      <c r="E301">
        <v>125</v>
      </c>
      <c r="F301">
        <v>413</v>
      </c>
      <c r="G301">
        <v>3.4457545918649998E-4</v>
      </c>
      <c r="H301">
        <v>4</v>
      </c>
      <c r="I301">
        <v>7</v>
      </c>
      <c r="J301">
        <v>0.60606544875491886</v>
      </c>
      <c r="K301">
        <v>-0.2673387499474979</v>
      </c>
      <c r="L301">
        <v>365550223.90494168</v>
      </c>
      <c r="M301" t="s">
        <v>674</v>
      </c>
      <c r="N301" t="s">
        <v>684</v>
      </c>
      <c r="O301" t="s">
        <v>684</v>
      </c>
      <c r="P301">
        <v>12319</v>
      </c>
      <c r="Q301">
        <v>7907</v>
      </c>
      <c r="R301">
        <v>4412</v>
      </c>
      <c r="S301" t="e">
        <f>#REF!/#REF!</f>
        <v>#REF!</v>
      </c>
    </row>
    <row r="302" spans="1:19" x14ac:dyDescent="0.3">
      <c r="A302" t="s">
        <v>1322</v>
      </c>
      <c r="B302">
        <v>2022</v>
      </c>
      <c r="C302">
        <v>5.7204971307445938</v>
      </c>
      <c r="D302">
        <v>47702283.798651963</v>
      </c>
      <c r="E302">
        <v>4042</v>
      </c>
      <c r="F302">
        <v>1050</v>
      </c>
      <c r="G302">
        <v>2.0359461517969999E-4</v>
      </c>
      <c r="H302">
        <v>14</v>
      </c>
      <c r="I302">
        <v>6</v>
      </c>
      <c r="J302">
        <v>0.27973825367908001</v>
      </c>
      <c r="K302">
        <v>-0.25139543867697201</v>
      </c>
      <c r="L302">
        <v>93553158.818909362</v>
      </c>
      <c r="M302" t="s">
        <v>232</v>
      </c>
      <c r="N302" t="s">
        <v>269</v>
      </c>
      <c r="O302" t="s">
        <v>269</v>
      </c>
      <c r="P302">
        <v>22688</v>
      </c>
      <c r="Q302">
        <v>15029</v>
      </c>
      <c r="R302">
        <v>7659</v>
      </c>
      <c r="S302" t="e">
        <f>#REF!/#REF!</f>
        <v>#REF!</v>
      </c>
    </row>
    <row r="303" spans="1:19" x14ac:dyDescent="0.3">
      <c r="A303" t="s">
        <v>1323</v>
      </c>
      <c r="B303">
        <v>2022</v>
      </c>
      <c r="C303">
        <v>1.5050906770692269</v>
      </c>
      <c r="D303">
        <v>744797.625</v>
      </c>
      <c r="E303">
        <v>25</v>
      </c>
      <c r="F303">
        <v>261</v>
      </c>
      <c r="G303">
        <v>2.9400442164330003E-4</v>
      </c>
      <c r="H303">
        <v>23</v>
      </c>
      <c r="I303">
        <v>34</v>
      </c>
      <c r="J303">
        <v>0.36457153348462018</v>
      </c>
      <c r="K303">
        <v>-0.2584866845249143</v>
      </c>
      <c r="L303">
        <v>202847396.40764591</v>
      </c>
      <c r="M303" t="s">
        <v>612</v>
      </c>
      <c r="N303" t="s">
        <v>662</v>
      </c>
      <c r="O303" t="s">
        <v>656</v>
      </c>
      <c r="P303">
        <v>15640</v>
      </c>
      <c r="Q303">
        <v>3991</v>
      </c>
      <c r="R303">
        <v>11649</v>
      </c>
      <c r="S303" t="e">
        <f>#REF!/#REF!</f>
        <v>#REF!</v>
      </c>
    </row>
    <row r="304" spans="1:19" x14ac:dyDescent="0.3">
      <c r="A304" t="s">
        <v>1324</v>
      </c>
      <c r="B304">
        <v>2022</v>
      </c>
      <c r="C304">
        <v>15.556064012463599</v>
      </c>
      <c r="D304">
        <v>10100487.615441181</v>
      </c>
      <c r="E304">
        <v>697</v>
      </c>
      <c r="F304">
        <v>2614</v>
      </c>
      <c r="G304">
        <v>1.4454803883010001E-4</v>
      </c>
      <c r="H304">
        <v>9</v>
      </c>
      <c r="I304">
        <v>23</v>
      </c>
      <c r="L304">
        <v>65536270.233098507</v>
      </c>
      <c r="M304" t="s">
        <v>652</v>
      </c>
      <c r="N304" t="s">
        <v>772</v>
      </c>
      <c r="O304" t="s">
        <v>800</v>
      </c>
      <c r="P304">
        <v>79011</v>
      </c>
      <c r="Q304">
        <v>65170</v>
      </c>
      <c r="R304">
        <v>13841</v>
      </c>
      <c r="S304" t="e">
        <f>#REF!/#REF!</f>
        <v>#REF!</v>
      </c>
    </row>
    <row r="305" spans="1:19" x14ac:dyDescent="0.3">
      <c r="A305" t="s">
        <v>1325</v>
      </c>
      <c r="B305">
        <v>2022</v>
      </c>
      <c r="C305">
        <v>10.38890114063296</v>
      </c>
      <c r="D305">
        <v>496642.9375</v>
      </c>
      <c r="E305">
        <v>72</v>
      </c>
      <c r="F305">
        <v>643</v>
      </c>
      <c r="G305">
        <v>6.2913019093359997E-4</v>
      </c>
      <c r="H305">
        <v>8</v>
      </c>
      <c r="I305">
        <v>6</v>
      </c>
      <c r="L305">
        <v>32455613.836844601</v>
      </c>
      <c r="M305" t="s">
        <v>652</v>
      </c>
      <c r="N305" t="s">
        <v>809</v>
      </c>
      <c r="O305" t="s">
        <v>813</v>
      </c>
      <c r="P305">
        <v>25418</v>
      </c>
      <c r="Q305">
        <v>17219</v>
      </c>
      <c r="R305">
        <v>8199</v>
      </c>
      <c r="S305" t="e">
        <f>#REF!/#REF!</f>
        <v>#REF!</v>
      </c>
    </row>
    <row r="306" spans="1:19" x14ac:dyDescent="0.3">
      <c r="A306" t="s">
        <v>1326</v>
      </c>
      <c r="B306">
        <v>2022</v>
      </c>
      <c r="C306">
        <v>2.6870946216819269</v>
      </c>
      <c r="D306">
        <v>496085.65625</v>
      </c>
      <c r="E306">
        <v>112</v>
      </c>
      <c r="F306">
        <v>287</v>
      </c>
      <c r="G306">
        <v>3.920544538225E-4</v>
      </c>
      <c r="H306">
        <v>15</v>
      </c>
      <c r="I306">
        <v>5</v>
      </c>
      <c r="J306">
        <v>0.57693217700947863</v>
      </c>
      <c r="K306">
        <v>-0.37476199333886051</v>
      </c>
      <c r="L306">
        <v>56643774.2824618</v>
      </c>
      <c r="M306" t="s">
        <v>124</v>
      </c>
      <c r="N306" t="s">
        <v>153</v>
      </c>
      <c r="O306" t="s">
        <v>153</v>
      </c>
      <c r="P306">
        <v>4273</v>
      </c>
      <c r="Q306">
        <v>2464</v>
      </c>
      <c r="R306">
        <v>1809</v>
      </c>
      <c r="S306" t="e">
        <f>#REF!/#REF!</f>
        <v>#REF!</v>
      </c>
    </row>
    <row r="307" spans="1:19" x14ac:dyDescent="0.3">
      <c r="A307" t="s">
        <v>1327</v>
      </c>
      <c r="B307">
        <v>2022</v>
      </c>
      <c r="C307">
        <v>0.84230297976118518</v>
      </c>
      <c r="D307">
        <v>1489831.4375</v>
      </c>
      <c r="E307">
        <v>41</v>
      </c>
      <c r="F307">
        <v>367</v>
      </c>
      <c r="G307">
        <v>1.6365226091570001E-4</v>
      </c>
      <c r="H307">
        <v>23</v>
      </c>
      <c r="I307">
        <v>15</v>
      </c>
      <c r="L307">
        <v>213055518.90293911</v>
      </c>
      <c r="M307" t="s">
        <v>191</v>
      </c>
      <c r="N307" t="s">
        <v>192</v>
      </c>
      <c r="O307" t="s">
        <v>202</v>
      </c>
      <c r="P307">
        <v>11035</v>
      </c>
      <c r="Q307">
        <v>2308</v>
      </c>
      <c r="R307">
        <v>8727</v>
      </c>
      <c r="S307" t="e">
        <f>#REF!/#REF!</f>
        <v>#REF!</v>
      </c>
    </row>
    <row r="308" spans="1:19" x14ac:dyDescent="0.3">
      <c r="A308" t="s">
        <v>1328</v>
      </c>
      <c r="B308">
        <v>2022</v>
      </c>
      <c r="C308">
        <v>0.98222621805106225</v>
      </c>
      <c r="D308">
        <v>3412277.5444240202</v>
      </c>
      <c r="E308">
        <v>106</v>
      </c>
      <c r="F308">
        <v>383</v>
      </c>
      <c r="G308">
        <v>1.5324236018349999E-4</v>
      </c>
      <c r="H308">
        <v>12</v>
      </c>
      <c r="I308">
        <v>13</v>
      </c>
      <c r="J308">
        <v>0.368383223681713</v>
      </c>
      <c r="K308">
        <v>-0.2995615329037119</v>
      </c>
      <c r="L308">
        <v>425969588.21785402</v>
      </c>
      <c r="M308" t="s">
        <v>830</v>
      </c>
      <c r="N308" t="s">
        <v>831</v>
      </c>
      <c r="O308" t="s">
        <v>840</v>
      </c>
      <c r="P308">
        <v>11440</v>
      </c>
      <c r="Q308">
        <v>1900</v>
      </c>
      <c r="R308">
        <v>9540</v>
      </c>
      <c r="S308" t="e">
        <f>#REF!/#REF!</f>
        <v>#REF!</v>
      </c>
    </row>
    <row r="309" spans="1:19" x14ac:dyDescent="0.3">
      <c r="A309" t="s">
        <v>1329</v>
      </c>
      <c r="B309">
        <v>2022</v>
      </c>
      <c r="C309">
        <v>1.1969348419292321</v>
      </c>
      <c r="D309">
        <v>744041.5</v>
      </c>
      <c r="E309">
        <v>13</v>
      </c>
      <c r="F309">
        <v>454</v>
      </c>
      <c r="G309">
        <v>6.651662915728E-4</v>
      </c>
      <c r="H309">
        <v>19</v>
      </c>
      <c r="I309">
        <v>4</v>
      </c>
      <c r="J309">
        <v>0.23707663001474891</v>
      </c>
      <c r="K309">
        <v>-5.7287905607910403E-2</v>
      </c>
      <c r="L309">
        <v>441158068.57069111</v>
      </c>
      <c r="M309" t="s">
        <v>406</v>
      </c>
      <c r="N309" t="s">
        <v>414</v>
      </c>
      <c r="O309" t="s">
        <v>414</v>
      </c>
      <c r="P309">
        <v>25649</v>
      </c>
      <c r="Q309">
        <v>13669</v>
      </c>
      <c r="R309">
        <v>11980</v>
      </c>
      <c r="S309" t="e">
        <f>#REF!/#REF!</f>
        <v>#REF!</v>
      </c>
    </row>
    <row r="310" spans="1:19" x14ac:dyDescent="0.3">
      <c r="A310" t="s">
        <v>1330</v>
      </c>
      <c r="B310">
        <v>2022</v>
      </c>
      <c r="C310">
        <v>2.57407011084051</v>
      </c>
      <c r="D310">
        <v>2405952.4161764709</v>
      </c>
      <c r="E310">
        <v>306</v>
      </c>
      <c r="F310">
        <v>182</v>
      </c>
      <c r="G310">
        <v>5.6588679589610004E-4</v>
      </c>
      <c r="H310">
        <v>18</v>
      </c>
      <c r="I310">
        <v>3</v>
      </c>
      <c r="J310">
        <v>0.48334184686882931</v>
      </c>
      <c r="K310">
        <v>-0.37237755378269549</v>
      </c>
      <c r="L310">
        <v>48566501.492106646</v>
      </c>
      <c r="M310" t="s">
        <v>191</v>
      </c>
      <c r="N310" t="s">
        <v>218</v>
      </c>
      <c r="O310" t="s">
        <v>222</v>
      </c>
      <c r="P310">
        <v>7632</v>
      </c>
      <c r="Q310">
        <v>2988</v>
      </c>
      <c r="R310">
        <v>4644</v>
      </c>
      <c r="S310" t="e">
        <f>#REF!/#REF!</f>
        <v>#REF!</v>
      </c>
    </row>
    <row r="311" spans="1:19" x14ac:dyDescent="0.3">
      <c r="A311" t="s">
        <v>1331</v>
      </c>
      <c r="B311">
        <v>2022</v>
      </c>
      <c r="C311">
        <v>4.0481426706573123</v>
      </c>
      <c r="D311">
        <v>3470861.28125</v>
      </c>
      <c r="E311">
        <v>88</v>
      </c>
      <c r="F311">
        <v>1442</v>
      </c>
      <c r="G311">
        <v>5.0022186181200004E-4</v>
      </c>
      <c r="H311">
        <v>17</v>
      </c>
      <c r="I311">
        <v>29</v>
      </c>
      <c r="J311">
        <v>0.440444528131472</v>
      </c>
      <c r="K311">
        <v>-0.19894825881635489</v>
      </c>
      <c r="L311">
        <v>131183913.48321611</v>
      </c>
      <c r="M311" t="s">
        <v>287</v>
      </c>
      <c r="N311" t="s">
        <v>312</v>
      </c>
      <c r="O311" t="s">
        <v>312</v>
      </c>
      <c r="P311">
        <v>60886</v>
      </c>
      <c r="Q311">
        <v>41703</v>
      </c>
      <c r="R311">
        <v>19183</v>
      </c>
      <c r="S311" t="e">
        <f>#REF!/#REF!</f>
        <v>#REF!</v>
      </c>
    </row>
    <row r="312" spans="1:19" x14ac:dyDescent="0.3">
      <c r="A312" t="s">
        <v>1332</v>
      </c>
      <c r="B312">
        <v>2022</v>
      </c>
      <c r="C312">
        <v>1.1924918408113261</v>
      </c>
      <c r="D312">
        <v>197334.59136029409</v>
      </c>
      <c r="E312">
        <v>37</v>
      </c>
      <c r="F312">
        <v>156</v>
      </c>
      <c r="G312">
        <v>3.0966844706E-4</v>
      </c>
      <c r="H312">
        <v>3</v>
      </c>
      <c r="I312">
        <v>2</v>
      </c>
      <c r="J312">
        <v>0.46388033422804981</v>
      </c>
      <c r="K312">
        <v>-0.37586612561177279</v>
      </c>
      <c r="L312">
        <v>217743036.29094949</v>
      </c>
      <c r="M312" t="s">
        <v>20</v>
      </c>
      <c r="N312" t="s">
        <v>82</v>
      </c>
      <c r="O312" t="s">
        <v>83</v>
      </c>
      <c r="P312">
        <v>2453</v>
      </c>
      <c r="Q312">
        <v>967</v>
      </c>
      <c r="R312">
        <v>1486</v>
      </c>
      <c r="S312" t="e">
        <f>#REF!/#REF!</f>
        <v>#REF!</v>
      </c>
    </row>
    <row r="313" spans="1:19" x14ac:dyDescent="0.3">
      <c r="A313" t="s">
        <v>1333</v>
      </c>
      <c r="B313">
        <v>2022</v>
      </c>
      <c r="C313">
        <v>3.040239485123875</v>
      </c>
      <c r="D313">
        <v>1470446.3416053921</v>
      </c>
      <c r="E313">
        <v>176</v>
      </c>
      <c r="F313">
        <v>491</v>
      </c>
      <c r="G313">
        <v>2.5265801472599999E-4</v>
      </c>
      <c r="H313">
        <v>6</v>
      </c>
      <c r="I313">
        <v>11</v>
      </c>
      <c r="J313">
        <v>0.39889883862290421</v>
      </c>
      <c r="K313">
        <v>-0.30693194989691519</v>
      </c>
      <c r="L313">
        <v>92824682.754684165</v>
      </c>
      <c r="M313" t="s">
        <v>460</v>
      </c>
      <c r="N313" t="s">
        <v>488</v>
      </c>
      <c r="O313" t="s">
        <v>488</v>
      </c>
      <c r="P313">
        <v>10064</v>
      </c>
      <c r="Q313">
        <v>6912</v>
      </c>
      <c r="R313">
        <v>3152</v>
      </c>
      <c r="S313" t="e">
        <f>#REF!/#REF!</f>
        <v>#REF!</v>
      </c>
    </row>
    <row r="314" spans="1:19" x14ac:dyDescent="0.3">
      <c r="A314" t="s">
        <v>1334</v>
      </c>
      <c r="B314">
        <v>2022</v>
      </c>
      <c r="C314">
        <v>10.66770088783203</v>
      </c>
      <c r="D314">
        <v>16279414.07843137</v>
      </c>
      <c r="E314">
        <v>2496</v>
      </c>
      <c r="F314">
        <v>522</v>
      </c>
      <c r="G314">
        <v>3.7863483686560002E-4</v>
      </c>
      <c r="H314">
        <v>28</v>
      </c>
      <c r="I314">
        <v>7</v>
      </c>
      <c r="J314">
        <v>0.38001818446548041</v>
      </c>
      <c r="K314">
        <v>-0.29689798771486431</v>
      </c>
      <c r="L314">
        <v>39729112.251014113</v>
      </c>
      <c r="M314" t="s">
        <v>830</v>
      </c>
      <c r="N314" t="s">
        <v>831</v>
      </c>
      <c r="O314" t="s">
        <v>330</v>
      </c>
      <c r="P314">
        <v>28200</v>
      </c>
      <c r="Q314">
        <v>15008</v>
      </c>
      <c r="R314">
        <v>13192</v>
      </c>
      <c r="S314" t="e">
        <f>#REF!/#REF!</f>
        <v>#REF!</v>
      </c>
    </row>
    <row r="315" spans="1:19" x14ac:dyDescent="0.3">
      <c r="A315" t="s">
        <v>1335</v>
      </c>
      <c r="B315">
        <v>2022</v>
      </c>
      <c r="C315">
        <v>0.91736546644671924</v>
      </c>
      <c r="D315">
        <v>314619.38602941181</v>
      </c>
      <c r="E315">
        <v>20</v>
      </c>
      <c r="F315">
        <v>303</v>
      </c>
      <c r="G315">
        <v>2.9035277964459998E-4</v>
      </c>
      <c r="H315">
        <v>2</v>
      </c>
      <c r="I315">
        <v>10</v>
      </c>
      <c r="J315">
        <v>0.2524189877946198</v>
      </c>
      <c r="K315">
        <v>-0.32598188737301731</v>
      </c>
      <c r="L315">
        <v>194639052.21483409</v>
      </c>
      <c r="M315" t="s">
        <v>499</v>
      </c>
      <c r="N315" t="s">
        <v>570</v>
      </c>
      <c r="O315" t="s">
        <v>570</v>
      </c>
      <c r="P315">
        <v>5835</v>
      </c>
      <c r="Q315">
        <v>3652</v>
      </c>
      <c r="R315">
        <v>2183</v>
      </c>
      <c r="S315" t="e">
        <f>#REF!/#REF!</f>
        <v>#REF!</v>
      </c>
    </row>
    <row r="316" spans="1:19" x14ac:dyDescent="0.3">
      <c r="A316" t="s">
        <v>1336</v>
      </c>
      <c r="B316">
        <v>2022</v>
      </c>
      <c r="C316">
        <v>1.302064579884374</v>
      </c>
      <c r="D316">
        <v>1909901.3946691181</v>
      </c>
      <c r="E316">
        <v>195</v>
      </c>
      <c r="F316">
        <v>263</v>
      </c>
      <c r="G316">
        <v>6.5912882222959998E-4</v>
      </c>
      <c r="H316">
        <v>6</v>
      </c>
      <c r="I316">
        <v>1</v>
      </c>
      <c r="J316">
        <v>0.47130069910984518</v>
      </c>
      <c r="K316">
        <v>-0.23319547596234749</v>
      </c>
      <c r="L316">
        <v>86825227.609895259</v>
      </c>
      <c r="M316" t="s">
        <v>612</v>
      </c>
      <c r="N316" t="s">
        <v>668</v>
      </c>
      <c r="O316" t="s">
        <v>670</v>
      </c>
      <c r="P316">
        <v>5824</v>
      </c>
      <c r="Q316">
        <v>1912</v>
      </c>
      <c r="R316">
        <v>3912</v>
      </c>
      <c r="S316" t="e">
        <f>#REF!/#REF!</f>
        <v>#REF!</v>
      </c>
    </row>
    <row r="317" spans="1:19" x14ac:dyDescent="0.3">
      <c r="A317" t="s">
        <v>1337</v>
      </c>
      <c r="B317">
        <v>2022</v>
      </c>
      <c r="C317">
        <v>0.65783114777453444</v>
      </c>
      <c r="D317">
        <v>2123700.1075367639</v>
      </c>
      <c r="E317">
        <v>106</v>
      </c>
      <c r="F317">
        <v>269</v>
      </c>
      <c r="G317">
        <v>1.721267677742E-4</v>
      </c>
      <c r="H317">
        <v>9</v>
      </c>
      <c r="I317">
        <v>22</v>
      </c>
      <c r="J317">
        <v>0.56334234552441431</v>
      </c>
      <c r="K317">
        <v>-0.1815964829983365</v>
      </c>
      <c r="L317">
        <v>248956753.65372089</v>
      </c>
      <c r="M317" t="s">
        <v>191</v>
      </c>
      <c r="N317" t="s">
        <v>227</v>
      </c>
      <c r="O317" t="s">
        <v>228</v>
      </c>
      <c r="P317">
        <v>6064</v>
      </c>
      <c r="Q317">
        <v>281</v>
      </c>
      <c r="R317">
        <v>5783</v>
      </c>
      <c r="S317" t="e">
        <f>#REF!/#REF!</f>
        <v>#REF!</v>
      </c>
    </row>
    <row r="318" spans="1:19" x14ac:dyDescent="0.3">
      <c r="A318" t="s">
        <v>1338</v>
      </c>
      <c r="B318">
        <v>2022</v>
      </c>
      <c r="C318">
        <v>6.6142426169050399</v>
      </c>
      <c r="D318">
        <v>744835.6875</v>
      </c>
      <c r="E318">
        <v>410</v>
      </c>
      <c r="F318">
        <v>142</v>
      </c>
      <c r="G318">
        <v>1.8514329059345E-3</v>
      </c>
      <c r="H318">
        <v>22</v>
      </c>
      <c r="I318">
        <v>3</v>
      </c>
      <c r="J318">
        <v>0.33041193860272561</v>
      </c>
      <c r="K318">
        <v>-0.28777300144709222</v>
      </c>
      <c r="L318">
        <v>20106564.46169718</v>
      </c>
      <c r="M318" t="s">
        <v>830</v>
      </c>
      <c r="N318" t="s">
        <v>831</v>
      </c>
      <c r="O318" t="s">
        <v>844</v>
      </c>
      <c r="P318">
        <v>5546</v>
      </c>
      <c r="Q318">
        <v>3466</v>
      </c>
      <c r="R318">
        <v>2080</v>
      </c>
      <c r="S318" t="e">
        <f>#REF!/#REF!</f>
        <v>#REF!</v>
      </c>
    </row>
    <row r="319" spans="1:19" x14ac:dyDescent="0.3">
      <c r="A319" t="s">
        <v>1339</v>
      </c>
      <c r="B319">
        <v>2022</v>
      </c>
      <c r="C319">
        <v>8.0614271444482171</v>
      </c>
      <c r="D319">
        <v>3579784.25502451</v>
      </c>
      <c r="E319">
        <v>502</v>
      </c>
      <c r="F319">
        <v>644</v>
      </c>
      <c r="G319">
        <v>5.0126736166920002E-4</v>
      </c>
      <c r="H319">
        <v>10</v>
      </c>
      <c r="I319">
        <v>11</v>
      </c>
      <c r="J319">
        <v>0.50161492032062238</v>
      </c>
      <c r="K319">
        <v>-0.3344178818452323</v>
      </c>
      <c r="L319">
        <v>72947885.993240178</v>
      </c>
      <c r="M319" t="s">
        <v>652</v>
      </c>
      <c r="N319" t="s">
        <v>772</v>
      </c>
      <c r="O319" t="s">
        <v>801</v>
      </c>
      <c r="P319">
        <v>26527</v>
      </c>
      <c r="Q319">
        <v>18894</v>
      </c>
      <c r="R319">
        <v>7633</v>
      </c>
      <c r="S319" t="e">
        <f>#REF!/#REF!</f>
        <v>#REF!</v>
      </c>
    </row>
    <row r="320" spans="1:19" x14ac:dyDescent="0.3">
      <c r="A320" t="s">
        <v>1340</v>
      </c>
      <c r="B320">
        <v>2022</v>
      </c>
      <c r="C320">
        <v>7.2180076697126747</v>
      </c>
      <c r="D320">
        <v>496646.140625</v>
      </c>
      <c r="E320">
        <v>146</v>
      </c>
      <c r="F320">
        <v>453</v>
      </c>
      <c r="G320">
        <v>4.5753731728620002E-4</v>
      </c>
      <c r="H320">
        <v>30</v>
      </c>
      <c r="I320">
        <v>4</v>
      </c>
      <c r="L320">
        <v>31572431.173402559</v>
      </c>
      <c r="M320" t="s">
        <v>652</v>
      </c>
      <c r="N320" t="s">
        <v>772</v>
      </c>
      <c r="O320" t="s">
        <v>784</v>
      </c>
      <c r="P320">
        <v>11436</v>
      </c>
      <c r="Q320">
        <v>8278</v>
      </c>
      <c r="R320">
        <v>3158</v>
      </c>
      <c r="S320" t="e">
        <f>#REF!/#REF!</f>
        <v>#REF!</v>
      </c>
    </row>
    <row r="321" spans="1:19" x14ac:dyDescent="0.3">
      <c r="A321" t="s">
        <v>1341</v>
      </c>
      <c r="B321">
        <v>2022</v>
      </c>
      <c r="C321">
        <v>66.805288387192547</v>
      </c>
      <c r="D321">
        <v>59784170.367892161</v>
      </c>
      <c r="E321">
        <v>5319</v>
      </c>
      <c r="F321">
        <v>14275</v>
      </c>
      <c r="G321">
        <v>5.35178894337561E-5</v>
      </c>
      <c r="H321">
        <v>197</v>
      </c>
      <c r="I321">
        <v>173</v>
      </c>
      <c r="J321">
        <v>0.27656972686171483</v>
      </c>
      <c r="K321">
        <v>-0.30300537705342301</v>
      </c>
      <c r="L321">
        <v>71484341.036941305</v>
      </c>
      <c r="M321" t="s">
        <v>20</v>
      </c>
      <c r="N321" t="s">
        <v>21</v>
      </c>
      <c r="O321" t="s">
        <v>21</v>
      </c>
      <c r="P321">
        <v>360524</v>
      </c>
      <c r="Q321">
        <v>324820</v>
      </c>
      <c r="R321">
        <v>35704</v>
      </c>
      <c r="S321" t="e">
        <f>#REF!/#REF!</f>
        <v>#REF!</v>
      </c>
    </row>
    <row r="322" spans="1:19" x14ac:dyDescent="0.3">
      <c r="A322" t="s">
        <v>1342</v>
      </c>
      <c r="B322">
        <v>2022</v>
      </c>
      <c r="C322">
        <v>3.5079063733303739</v>
      </c>
      <c r="D322">
        <v>496639.671875</v>
      </c>
      <c r="E322">
        <v>128</v>
      </c>
      <c r="F322">
        <v>249</v>
      </c>
      <c r="G322">
        <v>8.4193745653559997E-4</v>
      </c>
      <c r="H322">
        <v>9</v>
      </c>
      <c r="I322">
        <v>7</v>
      </c>
      <c r="J322">
        <v>0.37096344314827029</v>
      </c>
      <c r="K322">
        <v>-0.3434290579730338</v>
      </c>
      <c r="L322">
        <v>60042916.894151293</v>
      </c>
      <c r="M322" t="s">
        <v>460</v>
      </c>
      <c r="N322" t="s">
        <v>492</v>
      </c>
      <c r="O322" t="s">
        <v>493</v>
      </c>
      <c r="P322">
        <v>6548</v>
      </c>
      <c r="Q322">
        <v>4384</v>
      </c>
      <c r="R322">
        <v>2164</v>
      </c>
      <c r="S322" t="e">
        <f>#REF!/#REF!</f>
        <v>#REF!</v>
      </c>
    </row>
    <row r="323" spans="1:19" x14ac:dyDescent="0.3">
      <c r="A323" t="s">
        <v>1343</v>
      </c>
      <c r="B323">
        <v>2022</v>
      </c>
      <c r="C323">
        <v>6.9874430440091784</v>
      </c>
      <c r="D323">
        <v>3432409.760477941</v>
      </c>
      <c r="E323">
        <v>792</v>
      </c>
      <c r="F323">
        <v>377</v>
      </c>
      <c r="G323">
        <v>8.6135724866399997E-4</v>
      </c>
      <c r="H323">
        <v>17</v>
      </c>
      <c r="I323">
        <v>4</v>
      </c>
      <c r="L323">
        <v>26660543.008029629</v>
      </c>
      <c r="M323" t="s">
        <v>191</v>
      </c>
      <c r="N323" t="s">
        <v>192</v>
      </c>
      <c r="O323" t="s">
        <v>195</v>
      </c>
      <c r="P323">
        <v>11013</v>
      </c>
      <c r="Q323">
        <v>7249</v>
      </c>
      <c r="R323">
        <v>3764</v>
      </c>
      <c r="S323" t="e">
        <f>#REF!/#REF!</f>
        <v>#REF!</v>
      </c>
    </row>
    <row r="324" spans="1:19" x14ac:dyDescent="0.3">
      <c r="A324" t="s">
        <v>1344</v>
      </c>
      <c r="B324">
        <v>2022</v>
      </c>
      <c r="C324">
        <v>1.5799725852698761</v>
      </c>
      <c r="D324">
        <v>6643461.6333333338</v>
      </c>
      <c r="E324">
        <v>318</v>
      </c>
      <c r="F324">
        <v>709</v>
      </c>
      <c r="G324">
        <v>1.3474775664679999E-4</v>
      </c>
      <c r="H324">
        <v>12</v>
      </c>
      <c r="I324">
        <v>7</v>
      </c>
      <c r="J324">
        <v>0.40126257974416529</v>
      </c>
      <c r="K324">
        <v>-0.3275926803764066</v>
      </c>
      <c r="L324">
        <v>335625081.94941652</v>
      </c>
      <c r="M324" t="s">
        <v>652</v>
      </c>
      <c r="N324" t="s">
        <v>803</v>
      </c>
      <c r="O324" t="s">
        <v>805</v>
      </c>
      <c r="P324">
        <v>18031</v>
      </c>
      <c r="Q324">
        <v>5157</v>
      </c>
      <c r="R324">
        <v>12874</v>
      </c>
      <c r="S324" t="e">
        <f>#REF!/#REF!</f>
        <v>#REF!</v>
      </c>
    </row>
    <row r="325" spans="1:19" x14ac:dyDescent="0.3">
      <c r="A325" t="s">
        <v>1345</v>
      </c>
      <c r="B325">
        <v>2022</v>
      </c>
      <c r="C325">
        <v>2.0569136281915621</v>
      </c>
      <c r="D325">
        <v>3724403.4375</v>
      </c>
      <c r="E325">
        <v>89</v>
      </c>
      <c r="F325">
        <v>789</v>
      </c>
      <c r="G325">
        <v>2.536777049628E-4</v>
      </c>
      <c r="H325">
        <v>19</v>
      </c>
      <c r="I325">
        <v>27</v>
      </c>
      <c r="J325">
        <v>0.51134007128727699</v>
      </c>
      <c r="K325">
        <v>-0.2349590510166055</v>
      </c>
      <c r="L325">
        <v>230993395.79596609</v>
      </c>
      <c r="M325" t="s">
        <v>191</v>
      </c>
      <c r="N325" t="s">
        <v>203</v>
      </c>
      <c r="O325" t="s">
        <v>203</v>
      </c>
      <c r="P325">
        <v>47939</v>
      </c>
      <c r="Q325">
        <v>27005</v>
      </c>
      <c r="R325">
        <v>20934</v>
      </c>
      <c r="S325" t="e">
        <f>#REF!/#REF!</f>
        <v>#REF!</v>
      </c>
    </row>
    <row r="326" spans="1:19" x14ac:dyDescent="0.3">
      <c r="A326" t="s">
        <v>1346</v>
      </c>
      <c r="B326">
        <v>2022</v>
      </c>
      <c r="C326">
        <v>1.751745005150861</v>
      </c>
      <c r="D326">
        <v>1489179.984375</v>
      </c>
      <c r="E326">
        <v>102</v>
      </c>
      <c r="F326">
        <v>300</v>
      </c>
      <c r="G326">
        <v>3.8613512115140002E-4</v>
      </c>
      <c r="H326">
        <v>13</v>
      </c>
      <c r="I326">
        <v>2</v>
      </c>
      <c r="J326">
        <v>0.28869452910161408</v>
      </c>
      <c r="K326">
        <v>-0.24779660931715169</v>
      </c>
      <c r="L326">
        <v>491749748.25217068</v>
      </c>
      <c r="M326" t="s">
        <v>406</v>
      </c>
      <c r="N326" t="s">
        <v>459</v>
      </c>
      <c r="O326" t="s">
        <v>459</v>
      </c>
      <c r="P326">
        <v>14305</v>
      </c>
      <c r="Q326">
        <v>3222</v>
      </c>
      <c r="R326">
        <v>11083</v>
      </c>
      <c r="S326" t="e">
        <f>#REF!/#REF!</f>
        <v>#REF!</v>
      </c>
    </row>
    <row r="327" spans="1:19" x14ac:dyDescent="0.3">
      <c r="A327" t="s">
        <v>1347</v>
      </c>
      <c r="B327">
        <v>2022</v>
      </c>
      <c r="C327">
        <v>0.74858129420357133</v>
      </c>
      <c r="D327">
        <v>742366.609375</v>
      </c>
      <c r="E327">
        <v>39</v>
      </c>
      <c r="F327">
        <v>244</v>
      </c>
      <c r="G327">
        <v>1.7718611730050001E-4</v>
      </c>
      <c r="H327">
        <v>6</v>
      </c>
      <c r="I327">
        <v>26</v>
      </c>
      <c r="J327">
        <v>0.6450959030925969</v>
      </c>
      <c r="K327">
        <v>-0.30618025997289861</v>
      </c>
      <c r="L327">
        <v>424954334.29311907</v>
      </c>
      <c r="M327" t="s">
        <v>874</v>
      </c>
      <c r="N327" t="s">
        <v>881</v>
      </c>
      <c r="O327" t="s">
        <v>882</v>
      </c>
      <c r="P327">
        <v>7876</v>
      </c>
      <c r="Q327">
        <v>3572</v>
      </c>
      <c r="R327">
        <v>4304</v>
      </c>
      <c r="S327" t="e">
        <f>#REF!/#REF!</f>
        <v>#REF!</v>
      </c>
    </row>
    <row r="328" spans="1:19" x14ac:dyDescent="0.3">
      <c r="A328" t="s">
        <v>1348</v>
      </c>
      <c r="B328">
        <v>2022</v>
      </c>
      <c r="C328">
        <v>15.882304036606159</v>
      </c>
      <c r="D328">
        <v>31655425.207414221</v>
      </c>
      <c r="E328">
        <v>947</v>
      </c>
      <c r="F328">
        <v>4256</v>
      </c>
      <c r="G328">
        <v>1.6277019631030001E-4</v>
      </c>
      <c r="H328">
        <v>13</v>
      </c>
      <c r="I328">
        <v>33</v>
      </c>
      <c r="J328">
        <v>0.19150436481650621</v>
      </c>
      <c r="K328">
        <v>3.06681523876009E-2</v>
      </c>
      <c r="L328">
        <v>341882967.24813831</v>
      </c>
      <c r="M328" t="s">
        <v>406</v>
      </c>
      <c r="N328" t="s">
        <v>422</v>
      </c>
      <c r="O328" t="s">
        <v>357</v>
      </c>
      <c r="P328">
        <v>303831</v>
      </c>
      <c r="Q328">
        <v>105221</v>
      </c>
      <c r="R328">
        <v>198610</v>
      </c>
      <c r="S328" t="e">
        <f>#REF!/#REF!</f>
        <v>#REF!</v>
      </c>
    </row>
    <row r="329" spans="1:19" x14ac:dyDescent="0.3">
      <c r="A329" t="s">
        <v>1349</v>
      </c>
      <c r="B329">
        <v>2022</v>
      </c>
      <c r="C329">
        <v>1.0302968521028379</v>
      </c>
      <c r="D329">
        <v>8989954.5601715688</v>
      </c>
      <c r="E329">
        <v>133</v>
      </c>
      <c r="F329">
        <v>1105</v>
      </c>
      <c r="G329">
        <v>1.2576528341010001E-4</v>
      </c>
      <c r="H329">
        <v>12</v>
      </c>
      <c r="I329">
        <v>7</v>
      </c>
      <c r="J329">
        <v>0.28571584264741079</v>
      </c>
      <c r="K329">
        <v>-0.25600305379287541</v>
      </c>
      <c r="L329">
        <v>1146704835.1027229</v>
      </c>
      <c r="M329" t="s">
        <v>940</v>
      </c>
      <c r="N329" t="s">
        <v>940</v>
      </c>
      <c r="O329" t="s">
        <v>1004</v>
      </c>
      <c r="P329">
        <v>39988</v>
      </c>
      <c r="Q329">
        <v>15668</v>
      </c>
      <c r="R329">
        <v>24320</v>
      </c>
      <c r="S329" t="e">
        <f>#REF!/#REF!</f>
        <v>#REF!</v>
      </c>
    </row>
    <row r="330" spans="1:19" x14ac:dyDescent="0.3">
      <c r="A330" t="s">
        <v>1350</v>
      </c>
      <c r="B330">
        <v>2022</v>
      </c>
      <c r="C330">
        <v>0.77041289200961049</v>
      </c>
      <c r="D330">
        <v>496077.375</v>
      </c>
      <c r="E330">
        <v>32</v>
      </c>
      <c r="F330">
        <v>465</v>
      </c>
      <c r="G330">
        <v>8.3760642017990703E-5</v>
      </c>
      <c r="H330">
        <v>22</v>
      </c>
      <c r="I330">
        <v>1</v>
      </c>
      <c r="J330">
        <v>0.48106854920460879</v>
      </c>
      <c r="K330">
        <v>-0.28500009558605077</v>
      </c>
      <c r="L330">
        <v>983900796.22209716</v>
      </c>
      <c r="M330" t="s">
        <v>20</v>
      </c>
      <c r="N330" t="s">
        <v>21</v>
      </c>
      <c r="O330" t="s">
        <v>28</v>
      </c>
      <c r="P330">
        <v>6882</v>
      </c>
      <c r="Q330">
        <v>2536</v>
      </c>
      <c r="R330">
        <v>4346</v>
      </c>
      <c r="S330" t="e">
        <f>#REF!/#REF!</f>
        <v>#REF!</v>
      </c>
    </row>
    <row r="331" spans="1:19" x14ac:dyDescent="0.3">
      <c r="A331" t="s">
        <v>1351</v>
      </c>
      <c r="B331">
        <v>2022</v>
      </c>
      <c r="C331">
        <v>10.8171784735146</v>
      </c>
      <c r="D331">
        <v>2152399.911458333</v>
      </c>
      <c r="E331">
        <v>1612</v>
      </c>
      <c r="F331">
        <v>628</v>
      </c>
      <c r="G331">
        <v>2.8511732611859999E-4</v>
      </c>
      <c r="H331">
        <v>22</v>
      </c>
      <c r="I331">
        <v>1</v>
      </c>
      <c r="J331">
        <v>0.49613621209853959</v>
      </c>
      <c r="K331">
        <v>-0.34108735736562162</v>
      </c>
      <c r="L331">
        <v>25331206.106013741</v>
      </c>
      <c r="M331" t="s">
        <v>20</v>
      </c>
      <c r="N331" t="s">
        <v>21</v>
      </c>
      <c r="O331" t="s">
        <v>31</v>
      </c>
      <c r="P331">
        <v>8497</v>
      </c>
      <c r="Q331">
        <v>5549</v>
      </c>
      <c r="R331">
        <v>2948</v>
      </c>
      <c r="S331" t="e">
        <f>#REF!/#REF!</f>
        <v>#REF!</v>
      </c>
    </row>
    <row r="332" spans="1:19" x14ac:dyDescent="0.3">
      <c r="A332" t="s">
        <v>1352</v>
      </c>
      <c r="B332">
        <v>2022</v>
      </c>
      <c r="C332">
        <v>1.51746163297514</v>
      </c>
      <c r="D332">
        <v>2234143.453125</v>
      </c>
      <c r="E332">
        <v>134</v>
      </c>
      <c r="F332">
        <v>131</v>
      </c>
      <c r="G332">
        <v>2.4649204182835998E-3</v>
      </c>
      <c r="H332">
        <v>6</v>
      </c>
      <c r="I332">
        <v>3</v>
      </c>
      <c r="L332">
        <v>150404831.13606629</v>
      </c>
      <c r="M332" t="s">
        <v>586</v>
      </c>
      <c r="N332" t="s">
        <v>595</v>
      </c>
      <c r="O332" t="s">
        <v>595</v>
      </c>
      <c r="P332">
        <v>14960</v>
      </c>
      <c r="Q332">
        <v>5368</v>
      </c>
      <c r="R332">
        <v>9592</v>
      </c>
      <c r="S332" t="e">
        <f>#REF!/#REF!</f>
        <v>#REF!</v>
      </c>
    </row>
    <row r="333" spans="1:19" x14ac:dyDescent="0.3">
      <c r="A333" t="s">
        <v>1353</v>
      </c>
      <c r="B333">
        <v>2022</v>
      </c>
      <c r="C333">
        <v>0.94507366674189164</v>
      </c>
      <c r="D333">
        <v>4442588.5762867648</v>
      </c>
      <c r="E333">
        <v>169</v>
      </c>
      <c r="F333">
        <v>452</v>
      </c>
      <c r="G333">
        <v>1.9988265612229999E-4</v>
      </c>
      <c r="H333">
        <v>3</v>
      </c>
      <c r="I333">
        <v>2</v>
      </c>
      <c r="J333">
        <v>0.44943747352670221</v>
      </c>
      <c r="K333">
        <v>-0.36340192307493768</v>
      </c>
      <c r="L333">
        <v>369578754.24179113</v>
      </c>
      <c r="M333" t="s">
        <v>499</v>
      </c>
      <c r="N333" t="s">
        <v>539</v>
      </c>
      <c r="O333" t="s">
        <v>539</v>
      </c>
      <c r="P333">
        <v>15167</v>
      </c>
      <c r="Q333">
        <v>9237</v>
      </c>
      <c r="R333">
        <v>5930</v>
      </c>
      <c r="S333" t="e">
        <f>#REF!/#REF!</f>
        <v>#REF!</v>
      </c>
    </row>
    <row r="334" spans="1:19" x14ac:dyDescent="0.3">
      <c r="A334" t="s">
        <v>1354</v>
      </c>
      <c r="B334">
        <v>2022</v>
      </c>
      <c r="C334">
        <v>0.70213250571384811</v>
      </c>
      <c r="D334">
        <v>744924.421875</v>
      </c>
      <c r="E334">
        <v>43</v>
      </c>
      <c r="F334">
        <v>320</v>
      </c>
      <c r="G334">
        <v>1.180929100852E-4</v>
      </c>
      <c r="H334">
        <v>24</v>
      </c>
      <c r="I334">
        <v>35</v>
      </c>
      <c r="L334">
        <v>775930877.00557804</v>
      </c>
      <c r="M334" t="s">
        <v>191</v>
      </c>
      <c r="N334" t="s">
        <v>227</v>
      </c>
      <c r="O334" t="s">
        <v>227</v>
      </c>
      <c r="P334">
        <v>7540</v>
      </c>
      <c r="Q334">
        <v>2305</v>
      </c>
      <c r="R334">
        <v>5235</v>
      </c>
      <c r="S334" t="e">
        <f>#REF!/#REF!</f>
        <v>#REF!</v>
      </c>
    </row>
    <row r="335" spans="1:19" x14ac:dyDescent="0.3">
      <c r="A335" t="s">
        <v>1355</v>
      </c>
      <c r="B335">
        <v>2022</v>
      </c>
      <c r="C335">
        <v>1.114998263110573</v>
      </c>
      <c r="D335">
        <v>743906.9375</v>
      </c>
      <c r="E335">
        <v>210</v>
      </c>
      <c r="F335">
        <v>142</v>
      </c>
      <c r="G335">
        <v>5.6298381421529997E-4</v>
      </c>
      <c r="H335">
        <v>3</v>
      </c>
      <c r="I335">
        <v>0</v>
      </c>
      <c r="J335">
        <v>0.54224660703275063</v>
      </c>
      <c r="K335">
        <v>-0.23036015297882981</v>
      </c>
      <c r="L335">
        <v>128951230.37179869</v>
      </c>
      <c r="M335" t="s">
        <v>674</v>
      </c>
      <c r="N335" t="s">
        <v>714</v>
      </c>
      <c r="O335" t="s">
        <v>714</v>
      </c>
      <c r="P335">
        <v>2535</v>
      </c>
      <c r="Q335">
        <v>1463</v>
      </c>
      <c r="R335">
        <v>1072</v>
      </c>
      <c r="S335" t="e">
        <f>#REF!/#REF!</f>
        <v>#REF!</v>
      </c>
    </row>
    <row r="336" spans="1:19" x14ac:dyDescent="0.3">
      <c r="A336" t="s">
        <v>1356</v>
      </c>
      <c r="B336">
        <v>2022</v>
      </c>
      <c r="C336">
        <v>2.5614508212117681</v>
      </c>
      <c r="D336">
        <v>2182033.1556372549</v>
      </c>
      <c r="E336">
        <v>952</v>
      </c>
      <c r="F336">
        <v>175</v>
      </c>
      <c r="G336">
        <v>1.1010015070653E-3</v>
      </c>
      <c r="H336">
        <v>5</v>
      </c>
      <c r="I336">
        <v>4</v>
      </c>
      <c r="J336">
        <v>0.13371941151960259</v>
      </c>
      <c r="K336">
        <v>-0.23766364660148831</v>
      </c>
      <c r="L336">
        <v>37826360.466780372</v>
      </c>
      <c r="M336" t="s">
        <v>612</v>
      </c>
      <c r="N336" t="s">
        <v>643</v>
      </c>
      <c r="O336" t="s">
        <v>644</v>
      </c>
      <c r="P336">
        <v>3830</v>
      </c>
      <c r="Q336">
        <v>579</v>
      </c>
      <c r="R336">
        <v>3251</v>
      </c>
      <c r="S336" t="e">
        <f>#REF!/#REF!</f>
        <v>#REF!</v>
      </c>
    </row>
    <row r="337" spans="1:19" x14ac:dyDescent="0.3">
      <c r="A337" t="s">
        <v>1357</v>
      </c>
      <c r="B337">
        <v>2022</v>
      </c>
      <c r="C337">
        <v>7.5093485201931287</v>
      </c>
      <c r="D337">
        <v>496260.453125</v>
      </c>
      <c r="E337">
        <v>109</v>
      </c>
      <c r="F337">
        <v>504</v>
      </c>
      <c r="G337">
        <v>8.3340106912160004E-4</v>
      </c>
      <c r="H337">
        <v>7</v>
      </c>
      <c r="I337">
        <v>10</v>
      </c>
      <c r="J337">
        <v>0.52403723442751593</v>
      </c>
      <c r="K337">
        <v>-0.24777987031886489</v>
      </c>
      <c r="L337">
        <v>49300232.450722598</v>
      </c>
      <c r="M337" t="s">
        <v>674</v>
      </c>
      <c r="N337" t="s">
        <v>675</v>
      </c>
      <c r="O337" t="s">
        <v>676</v>
      </c>
      <c r="P337">
        <v>22193</v>
      </c>
      <c r="Q337">
        <v>17362</v>
      </c>
      <c r="R337">
        <v>4831</v>
      </c>
      <c r="S337" t="e">
        <f>#REF!/#REF!</f>
        <v>#REF!</v>
      </c>
    </row>
    <row r="338" spans="1:19" x14ac:dyDescent="0.3">
      <c r="A338" t="s">
        <v>1358</v>
      </c>
      <c r="B338">
        <v>2022</v>
      </c>
      <c r="C338">
        <v>26.7511045047053</v>
      </c>
      <c r="D338">
        <v>61173051.714522026</v>
      </c>
      <c r="E338">
        <v>5754</v>
      </c>
      <c r="F338">
        <v>4126</v>
      </c>
      <c r="G338">
        <v>1.6790212465359999E-4</v>
      </c>
      <c r="H338">
        <v>42</v>
      </c>
      <c r="I338">
        <v>68</v>
      </c>
      <c r="J338">
        <v>0.23866365758624539</v>
      </c>
      <c r="K338">
        <v>-0.2587110147931882</v>
      </c>
      <c r="L338">
        <v>61940420.657532647</v>
      </c>
      <c r="M338" t="s">
        <v>232</v>
      </c>
      <c r="N338" t="s">
        <v>233</v>
      </c>
      <c r="O338" t="s">
        <v>233</v>
      </c>
      <c r="P338">
        <v>188664</v>
      </c>
      <c r="Q338">
        <v>165953</v>
      </c>
      <c r="R338">
        <v>22711</v>
      </c>
      <c r="S338" t="e">
        <f>#REF!/#REF!</f>
        <v>#REF!</v>
      </c>
    </row>
    <row r="339" spans="1:19" x14ac:dyDescent="0.3">
      <c r="A339" t="s">
        <v>1359</v>
      </c>
      <c r="B339">
        <v>2022</v>
      </c>
      <c r="C339">
        <v>10.64862767927748</v>
      </c>
      <c r="D339">
        <v>32341220.518075991</v>
      </c>
      <c r="E339">
        <v>1362</v>
      </c>
      <c r="F339">
        <v>3579</v>
      </c>
      <c r="G339">
        <v>1.102216911668E-4</v>
      </c>
      <c r="H339">
        <v>45</v>
      </c>
      <c r="I339">
        <v>74</v>
      </c>
      <c r="J339">
        <v>0.32528921857282828</v>
      </c>
      <c r="K339">
        <v>-0.28225653709590459</v>
      </c>
      <c r="L339">
        <v>243330442.4585571</v>
      </c>
      <c r="M339" t="s">
        <v>460</v>
      </c>
      <c r="N339" t="s">
        <v>461</v>
      </c>
      <c r="O339" t="s">
        <v>462</v>
      </c>
      <c r="P339">
        <v>167180</v>
      </c>
      <c r="Q339">
        <v>143530</v>
      </c>
      <c r="R339">
        <v>23650</v>
      </c>
      <c r="S339" t="e">
        <f>#REF!/#REF!</f>
        <v>#REF!</v>
      </c>
    </row>
    <row r="340" spans="1:19" x14ac:dyDescent="0.3">
      <c r="A340" t="s">
        <v>1360</v>
      </c>
      <c r="B340">
        <v>2022</v>
      </c>
      <c r="C340">
        <v>4.4754281741223263</v>
      </c>
      <c r="D340">
        <v>1560658.036335784</v>
      </c>
      <c r="E340">
        <v>619</v>
      </c>
      <c r="F340">
        <v>195</v>
      </c>
      <c r="G340">
        <v>5.4177607866270005E-4</v>
      </c>
      <c r="H340">
        <v>11</v>
      </c>
      <c r="I340">
        <v>3</v>
      </c>
      <c r="J340">
        <v>0.43910673122203631</v>
      </c>
      <c r="K340">
        <v>-0.30487233129981889</v>
      </c>
      <c r="L340">
        <v>36327238.314407893</v>
      </c>
      <c r="M340" t="s">
        <v>830</v>
      </c>
      <c r="N340" t="s">
        <v>831</v>
      </c>
      <c r="O340" t="s">
        <v>837</v>
      </c>
      <c r="P340">
        <v>7520</v>
      </c>
      <c r="Q340">
        <v>2718</v>
      </c>
      <c r="R340">
        <v>4802</v>
      </c>
      <c r="S340" t="e">
        <f>#REF!/#REF!</f>
        <v>#REF!</v>
      </c>
    </row>
    <row r="341" spans="1:19" x14ac:dyDescent="0.3">
      <c r="A341" t="s">
        <v>1361</v>
      </c>
      <c r="B341">
        <v>2022</v>
      </c>
      <c r="C341">
        <v>3.85062534719453</v>
      </c>
      <c r="D341">
        <v>1944.165196078432</v>
      </c>
      <c r="E341">
        <v>1</v>
      </c>
      <c r="F341">
        <v>188</v>
      </c>
      <c r="G341">
        <v>7.231536583458E-4</v>
      </c>
      <c r="H341">
        <v>12</v>
      </c>
      <c r="I341">
        <v>2</v>
      </c>
      <c r="J341">
        <v>0.55215417612784579</v>
      </c>
      <c r="K341">
        <v>-0.33242443365909241</v>
      </c>
      <c r="L341">
        <v>52207767.948683813</v>
      </c>
      <c r="M341" t="s">
        <v>287</v>
      </c>
      <c r="N341" t="s">
        <v>330</v>
      </c>
      <c r="O341" t="s">
        <v>331</v>
      </c>
      <c r="P341">
        <v>5047</v>
      </c>
      <c r="Q341">
        <v>3414</v>
      </c>
      <c r="R341">
        <v>1633</v>
      </c>
      <c r="S341" t="e">
        <f>#REF!/#REF!</f>
        <v>#REF!</v>
      </c>
    </row>
    <row r="342" spans="1:19" x14ac:dyDescent="0.3">
      <c r="A342" t="s">
        <v>1362</v>
      </c>
      <c r="B342">
        <v>2022</v>
      </c>
      <c r="C342">
        <v>2.0640041873349619</v>
      </c>
      <c r="D342">
        <v>8565660.0443627462</v>
      </c>
      <c r="E342">
        <v>191</v>
      </c>
      <c r="F342">
        <v>1062</v>
      </c>
      <c r="G342">
        <v>8.5512866676205754E-5</v>
      </c>
      <c r="H342">
        <v>19</v>
      </c>
      <c r="I342">
        <v>35</v>
      </c>
      <c r="J342">
        <v>0.408633760743918</v>
      </c>
      <c r="K342">
        <v>-0.27098525002774149</v>
      </c>
      <c r="L342">
        <v>508072175.42837429</v>
      </c>
      <c r="M342" t="s">
        <v>97</v>
      </c>
      <c r="N342" t="s">
        <v>98</v>
      </c>
      <c r="O342" t="s">
        <v>98</v>
      </c>
      <c r="P342">
        <v>62268</v>
      </c>
      <c r="Q342">
        <v>29538</v>
      </c>
      <c r="R342">
        <v>32730</v>
      </c>
      <c r="S342" t="e">
        <f>#REF!/#REF!</f>
        <v>#REF!</v>
      </c>
    </row>
    <row r="343" spans="1:19" x14ac:dyDescent="0.3">
      <c r="A343" t="s">
        <v>1363</v>
      </c>
      <c r="B343">
        <v>2022</v>
      </c>
      <c r="C343">
        <v>2.057593178477251</v>
      </c>
      <c r="D343">
        <v>73412045.510968134</v>
      </c>
      <c r="E343">
        <v>2410</v>
      </c>
      <c r="F343">
        <v>1115</v>
      </c>
      <c r="G343">
        <v>1.055997131714E-4</v>
      </c>
      <c r="H343">
        <v>26</v>
      </c>
      <c r="I343">
        <v>27</v>
      </c>
      <c r="J343">
        <v>0.39049864153355912</v>
      </c>
      <c r="K343">
        <v>-0.35077581181832701</v>
      </c>
      <c r="L343">
        <v>294979973.72974533</v>
      </c>
      <c r="M343" t="s">
        <v>191</v>
      </c>
      <c r="N343" t="s">
        <v>211</v>
      </c>
      <c r="O343" t="s">
        <v>211</v>
      </c>
      <c r="P343">
        <v>42545</v>
      </c>
      <c r="Q343">
        <v>20568</v>
      </c>
      <c r="R343">
        <v>21977</v>
      </c>
      <c r="S343" t="e">
        <f>#REF!/#REF!</f>
        <v>#REF!</v>
      </c>
    </row>
    <row r="344" spans="1:19" x14ac:dyDescent="0.3">
      <c r="A344" t="s">
        <v>1364</v>
      </c>
      <c r="B344">
        <v>2022</v>
      </c>
      <c r="C344">
        <v>1.193110509562834</v>
      </c>
      <c r="D344">
        <v>147991.75888480389</v>
      </c>
      <c r="E344">
        <v>55</v>
      </c>
      <c r="F344">
        <v>80</v>
      </c>
      <c r="G344">
        <v>9.3196040918110004E-4</v>
      </c>
      <c r="H344">
        <v>16</v>
      </c>
      <c r="I344">
        <v>1</v>
      </c>
      <c r="J344">
        <v>0.44426631531496108</v>
      </c>
      <c r="K344">
        <v>-0.35844824135066361</v>
      </c>
      <c r="L344">
        <v>126340622.855841</v>
      </c>
      <c r="M344" t="s">
        <v>830</v>
      </c>
      <c r="N344" t="s">
        <v>864</v>
      </c>
      <c r="O344" t="s">
        <v>868</v>
      </c>
      <c r="P344">
        <v>2266</v>
      </c>
      <c r="Q344">
        <v>1115</v>
      </c>
      <c r="R344">
        <v>1151</v>
      </c>
      <c r="S344" t="e">
        <f>#REF!/#REF!</f>
        <v>#REF!</v>
      </c>
    </row>
    <row r="345" spans="1:19" x14ac:dyDescent="0.3">
      <c r="A345" t="s">
        <v>1365</v>
      </c>
      <c r="B345">
        <v>2022</v>
      </c>
      <c r="C345">
        <v>8.1256181078399443</v>
      </c>
      <c r="D345">
        <v>152860.6020833333</v>
      </c>
      <c r="E345">
        <v>284</v>
      </c>
      <c r="F345">
        <v>116</v>
      </c>
      <c r="G345">
        <v>1.3976037202232999E-3</v>
      </c>
      <c r="H345">
        <v>20</v>
      </c>
      <c r="I345">
        <v>0</v>
      </c>
      <c r="J345">
        <v>0.49418212416724322</v>
      </c>
      <c r="K345">
        <v>-0.33192335090032732</v>
      </c>
      <c r="L345">
        <v>12578332.529853599</v>
      </c>
      <c r="M345" t="s">
        <v>830</v>
      </c>
      <c r="N345" t="s">
        <v>864</v>
      </c>
      <c r="O345" t="s">
        <v>869</v>
      </c>
      <c r="P345">
        <v>3264</v>
      </c>
      <c r="Q345">
        <v>1967</v>
      </c>
      <c r="R345">
        <v>1297</v>
      </c>
      <c r="S345" t="e">
        <f>#REF!/#REF!</f>
        <v>#REF!</v>
      </c>
    </row>
    <row r="346" spans="1:19" x14ac:dyDescent="0.3">
      <c r="A346" t="s">
        <v>1366</v>
      </c>
      <c r="B346">
        <v>2022</v>
      </c>
      <c r="C346">
        <v>1.4616461688726139</v>
      </c>
      <c r="D346">
        <v>496641.5625</v>
      </c>
      <c r="E346">
        <v>47</v>
      </c>
      <c r="F346">
        <v>556</v>
      </c>
      <c r="G346">
        <v>2.9083638094559998E-4</v>
      </c>
      <c r="H346">
        <v>19</v>
      </c>
      <c r="I346">
        <v>23</v>
      </c>
      <c r="J346">
        <v>0.48535812946645968</v>
      </c>
      <c r="K346">
        <v>-0.2377160184661353</v>
      </c>
      <c r="L346">
        <v>244341791.58672729</v>
      </c>
      <c r="M346" t="s">
        <v>990</v>
      </c>
      <c r="N346" t="s">
        <v>991</v>
      </c>
      <c r="O346" t="s">
        <v>994</v>
      </c>
      <c r="P346">
        <v>11628</v>
      </c>
      <c r="Q346">
        <v>1649</v>
      </c>
      <c r="R346">
        <v>9979</v>
      </c>
      <c r="S346" t="e">
        <f>#REF!/#REF!</f>
        <v>#REF!</v>
      </c>
    </row>
    <row r="347" spans="1:19" x14ac:dyDescent="0.3">
      <c r="A347" t="s">
        <v>1367</v>
      </c>
      <c r="B347">
        <v>2022</v>
      </c>
      <c r="C347">
        <v>7.137780994102199</v>
      </c>
      <c r="D347">
        <v>28242327.796875</v>
      </c>
      <c r="E347">
        <v>718</v>
      </c>
      <c r="F347">
        <v>5060</v>
      </c>
      <c r="G347">
        <v>6.1943818797238398E-5</v>
      </c>
      <c r="H347">
        <v>8</v>
      </c>
      <c r="I347">
        <v>53</v>
      </c>
      <c r="J347">
        <v>0.48950723683874459</v>
      </c>
      <c r="K347">
        <v>-0.28561813110095702</v>
      </c>
      <c r="L347">
        <v>284771384.55177629</v>
      </c>
      <c r="M347" t="s">
        <v>499</v>
      </c>
      <c r="N347" t="s">
        <v>499</v>
      </c>
      <c r="O347" t="s">
        <v>499</v>
      </c>
      <c r="P347">
        <v>213130</v>
      </c>
      <c r="Q347">
        <v>173785</v>
      </c>
      <c r="R347">
        <v>39345</v>
      </c>
      <c r="S347" t="e">
        <f>#REF!/#REF!</f>
        <v>#REF!</v>
      </c>
    </row>
    <row r="348" spans="1:19" x14ac:dyDescent="0.3">
      <c r="A348" t="s">
        <v>1368</v>
      </c>
      <c r="B348">
        <v>2022</v>
      </c>
      <c r="C348">
        <v>2.1727678819841301</v>
      </c>
      <c r="D348">
        <v>7447765.609375</v>
      </c>
      <c r="E348">
        <v>226</v>
      </c>
      <c r="F348">
        <v>1090</v>
      </c>
      <c r="G348">
        <v>1.5643766427280001E-4</v>
      </c>
      <c r="H348">
        <v>22</v>
      </c>
      <c r="I348">
        <v>39</v>
      </c>
      <c r="J348">
        <v>0.29362296883301942</v>
      </c>
      <c r="K348">
        <v>-0.27690265525959618</v>
      </c>
      <c r="L348">
        <v>384915169.30222178</v>
      </c>
      <c r="M348" t="s">
        <v>612</v>
      </c>
      <c r="N348" t="s">
        <v>635</v>
      </c>
      <c r="O348" t="s">
        <v>635</v>
      </c>
      <c r="P348">
        <v>54438</v>
      </c>
      <c r="Q348">
        <v>19431</v>
      </c>
      <c r="R348">
        <v>35007</v>
      </c>
      <c r="S348" t="e">
        <f>#REF!/#REF!</f>
        <v>#REF!</v>
      </c>
    </row>
    <row r="349" spans="1:19" x14ac:dyDescent="0.3">
      <c r="A349" t="s">
        <v>1369</v>
      </c>
      <c r="B349">
        <v>2022</v>
      </c>
      <c r="C349">
        <v>5.3463921036745878</v>
      </c>
      <c r="D349">
        <v>3228755.4239583332</v>
      </c>
      <c r="E349">
        <v>1814</v>
      </c>
      <c r="F349">
        <v>551</v>
      </c>
      <c r="G349">
        <v>3.3056772889759997E-4</v>
      </c>
      <c r="H349">
        <v>18</v>
      </c>
      <c r="I349">
        <v>5</v>
      </c>
      <c r="J349">
        <v>0.47010704760652039</v>
      </c>
      <c r="K349">
        <v>-0.32052494218337269</v>
      </c>
      <c r="L349">
        <v>37927340.137363829</v>
      </c>
      <c r="M349" t="s">
        <v>191</v>
      </c>
      <c r="N349" t="s">
        <v>192</v>
      </c>
      <c r="O349" t="s">
        <v>194</v>
      </c>
      <c r="P349">
        <v>7269</v>
      </c>
      <c r="Q349">
        <v>4123</v>
      </c>
      <c r="R349">
        <v>3146</v>
      </c>
      <c r="S349" t="e">
        <f>#REF!/#REF!</f>
        <v>#REF!</v>
      </c>
    </row>
    <row r="350" spans="1:19" x14ac:dyDescent="0.3">
      <c r="A350" t="s">
        <v>1370</v>
      </c>
      <c r="B350">
        <v>2022</v>
      </c>
      <c r="C350">
        <v>3.7388634666211189</v>
      </c>
      <c r="D350">
        <v>8707977.406740196</v>
      </c>
      <c r="E350">
        <v>517</v>
      </c>
      <c r="F350">
        <v>903</v>
      </c>
      <c r="G350">
        <v>3.0401199188159999E-4</v>
      </c>
      <c r="H350">
        <v>5</v>
      </c>
      <c r="I350">
        <v>25</v>
      </c>
      <c r="J350">
        <v>0.40325576720175521</v>
      </c>
      <c r="K350">
        <v>-0.2491114425901029</v>
      </c>
      <c r="L350">
        <v>254845272.22283539</v>
      </c>
      <c r="M350" t="s">
        <v>652</v>
      </c>
      <c r="N350" t="s">
        <v>803</v>
      </c>
      <c r="O350" t="s">
        <v>803</v>
      </c>
      <c r="P350">
        <v>49187</v>
      </c>
      <c r="Q350">
        <v>38664</v>
      </c>
      <c r="R350">
        <v>10523</v>
      </c>
      <c r="S350" t="e">
        <f>#REF!/#REF!</f>
        <v>#REF!</v>
      </c>
    </row>
    <row r="351" spans="1:19" x14ac:dyDescent="0.3">
      <c r="A351" t="s">
        <v>1371</v>
      </c>
      <c r="B351">
        <v>2022</v>
      </c>
      <c r="C351">
        <v>1.5181792447094391</v>
      </c>
      <c r="D351">
        <v>496453.859375</v>
      </c>
      <c r="E351">
        <v>35</v>
      </c>
      <c r="F351">
        <v>225</v>
      </c>
      <c r="G351">
        <v>6.5529530322029996E-4</v>
      </c>
      <c r="H351">
        <v>36</v>
      </c>
      <c r="I351">
        <v>4</v>
      </c>
      <c r="J351">
        <v>0.37664702519265031</v>
      </c>
      <c r="K351">
        <v>-0.26456524706862561</v>
      </c>
      <c r="L351">
        <v>138363257.0630697</v>
      </c>
      <c r="M351" t="s">
        <v>586</v>
      </c>
      <c r="N351" t="s">
        <v>603</v>
      </c>
      <c r="O351" t="s">
        <v>604</v>
      </c>
      <c r="P351">
        <v>17378</v>
      </c>
      <c r="Q351">
        <v>3328</v>
      </c>
      <c r="R351">
        <v>14050</v>
      </c>
      <c r="S351" t="e">
        <f>#REF!/#REF!</f>
        <v>#REF!</v>
      </c>
    </row>
    <row r="352" spans="1:19" x14ac:dyDescent="0.3">
      <c r="A352" t="s">
        <v>1372</v>
      </c>
      <c r="B352">
        <v>2022</v>
      </c>
      <c r="C352">
        <v>0.83285142787500288</v>
      </c>
      <c r="D352">
        <v>150928.25723039219</v>
      </c>
      <c r="E352">
        <v>53</v>
      </c>
      <c r="F352">
        <v>196</v>
      </c>
      <c r="G352">
        <v>1.9409209778890001E-4</v>
      </c>
      <c r="H352">
        <v>2</v>
      </c>
      <c r="I352">
        <v>12</v>
      </c>
      <c r="L352">
        <v>84817419.47465466</v>
      </c>
      <c r="M352" t="s">
        <v>191</v>
      </c>
      <c r="N352" t="s">
        <v>227</v>
      </c>
      <c r="O352" t="s">
        <v>229</v>
      </c>
      <c r="P352">
        <v>1941</v>
      </c>
      <c r="Q352">
        <v>114</v>
      </c>
      <c r="R352">
        <v>1827</v>
      </c>
      <c r="S352" t="e">
        <f>#REF!/#REF!</f>
        <v>#REF!</v>
      </c>
    </row>
    <row r="353" spans="1:19" x14ac:dyDescent="0.3">
      <c r="A353" t="s">
        <v>1373</v>
      </c>
      <c r="B353">
        <v>2022</v>
      </c>
      <c r="C353">
        <v>0.87060322900523635</v>
      </c>
      <c r="D353">
        <v>1944.1741421568629</v>
      </c>
      <c r="E353">
        <v>1</v>
      </c>
      <c r="F353">
        <v>151</v>
      </c>
      <c r="G353">
        <v>2.9158621419309998E-4</v>
      </c>
      <c r="H353">
        <v>8</v>
      </c>
      <c r="I353">
        <v>0</v>
      </c>
      <c r="J353">
        <v>0.40019579541198208</v>
      </c>
      <c r="K353">
        <v>-0.31868342218099938</v>
      </c>
      <c r="L353">
        <v>154489740.52742019</v>
      </c>
      <c r="M353" t="s">
        <v>20</v>
      </c>
      <c r="N353" t="s">
        <v>55</v>
      </c>
      <c r="O353" t="s">
        <v>57</v>
      </c>
      <c r="P353">
        <v>1388</v>
      </c>
      <c r="Q353">
        <v>397</v>
      </c>
      <c r="R353">
        <v>991</v>
      </c>
      <c r="S353" t="e">
        <f>#REF!/#REF!</f>
        <v>#REF!</v>
      </c>
    </row>
    <row r="354" spans="1:19" x14ac:dyDescent="0.3">
      <c r="A354" t="s">
        <v>1374</v>
      </c>
      <c r="B354">
        <v>2022</v>
      </c>
      <c r="C354">
        <v>0.79098112599467751</v>
      </c>
      <c r="D354">
        <v>1986366.109375</v>
      </c>
      <c r="E354">
        <v>88</v>
      </c>
      <c r="F354">
        <v>499</v>
      </c>
      <c r="G354">
        <v>5.0206537657290003E-4</v>
      </c>
      <c r="H354">
        <v>13</v>
      </c>
      <c r="I354">
        <v>1</v>
      </c>
      <c r="J354">
        <v>0.52079598583627262</v>
      </c>
      <c r="K354">
        <v>-0.29104404979641829</v>
      </c>
      <c r="L354">
        <v>979326879.88451958</v>
      </c>
      <c r="M354" t="s">
        <v>730</v>
      </c>
      <c r="N354" t="s">
        <v>739</v>
      </c>
      <c r="O354" t="s">
        <v>739</v>
      </c>
      <c r="P354">
        <v>14873</v>
      </c>
      <c r="Q354">
        <v>5634</v>
      </c>
      <c r="R354">
        <v>9239</v>
      </c>
      <c r="S354" t="e">
        <f>#REF!/#REF!</f>
        <v>#REF!</v>
      </c>
    </row>
    <row r="355" spans="1:19" x14ac:dyDescent="0.3">
      <c r="A355" t="s">
        <v>1375</v>
      </c>
      <c r="B355">
        <v>2022</v>
      </c>
      <c r="C355">
        <v>0.90336429884032021</v>
      </c>
      <c r="D355">
        <v>496651.59375</v>
      </c>
      <c r="E355">
        <v>60</v>
      </c>
      <c r="F355">
        <v>291</v>
      </c>
      <c r="G355">
        <v>4.2605887095600002E-4</v>
      </c>
      <c r="H355">
        <v>3</v>
      </c>
      <c r="I355">
        <v>0</v>
      </c>
      <c r="J355">
        <v>0.62796948186424695</v>
      </c>
      <c r="K355">
        <v>-0.25286807874121181</v>
      </c>
      <c r="L355">
        <v>1108590008.749454</v>
      </c>
      <c r="M355" t="s">
        <v>922</v>
      </c>
      <c r="N355" t="s">
        <v>956</v>
      </c>
      <c r="O355" t="s">
        <v>957</v>
      </c>
      <c r="P355">
        <v>6739</v>
      </c>
      <c r="Q355">
        <v>1513</v>
      </c>
      <c r="R355">
        <v>5226</v>
      </c>
      <c r="S355" t="e">
        <f>#REF!/#REF!</f>
        <v>#REF!</v>
      </c>
    </row>
    <row r="356" spans="1:19" x14ac:dyDescent="0.3">
      <c r="A356" t="s">
        <v>1376</v>
      </c>
      <c r="B356">
        <v>2022</v>
      </c>
      <c r="C356">
        <v>49.79970432839248</v>
      </c>
      <c r="D356">
        <v>46779558.402696073</v>
      </c>
      <c r="E356">
        <v>11678</v>
      </c>
      <c r="F356">
        <v>5177</v>
      </c>
      <c r="G356">
        <v>1.164322260246E-4</v>
      </c>
      <c r="H356">
        <v>43</v>
      </c>
      <c r="I356">
        <v>62</v>
      </c>
      <c r="J356">
        <v>0.25912946520281849</v>
      </c>
      <c r="K356">
        <v>-0.25154245907998141</v>
      </c>
      <c r="L356">
        <v>47034175.994357944</v>
      </c>
      <c r="M356" t="s">
        <v>830</v>
      </c>
      <c r="N356" t="s">
        <v>831</v>
      </c>
      <c r="O356" t="s">
        <v>831</v>
      </c>
      <c r="P356">
        <v>187137</v>
      </c>
      <c r="Q356">
        <v>164186</v>
      </c>
      <c r="R356">
        <v>22951</v>
      </c>
      <c r="S356" t="e">
        <f>#REF!/#REF!</f>
        <v>#REF!</v>
      </c>
    </row>
    <row r="357" spans="1:19" x14ac:dyDescent="0.3">
      <c r="A357" t="s">
        <v>1377</v>
      </c>
      <c r="B357">
        <v>2022</v>
      </c>
      <c r="C357">
        <v>5.5079910488289752</v>
      </c>
      <c r="D357">
        <v>1986337.265625</v>
      </c>
      <c r="E357">
        <v>1634</v>
      </c>
      <c r="F357">
        <v>424</v>
      </c>
      <c r="G357">
        <v>5.1283919926900002E-4</v>
      </c>
      <c r="H357">
        <v>15</v>
      </c>
      <c r="I357">
        <v>8</v>
      </c>
      <c r="J357">
        <v>0.30404299018100489</v>
      </c>
      <c r="K357">
        <v>-0.1155356245365375</v>
      </c>
      <c r="L357">
        <v>73037283.394602761</v>
      </c>
      <c r="M357" t="s">
        <v>348</v>
      </c>
      <c r="N357" t="s">
        <v>348</v>
      </c>
      <c r="O357" t="s">
        <v>355</v>
      </c>
      <c r="P357">
        <v>6395</v>
      </c>
      <c r="Q357">
        <v>2948</v>
      </c>
      <c r="R357">
        <v>3447</v>
      </c>
      <c r="S357" t="e">
        <f>#REF!/#REF!</f>
        <v>#REF!</v>
      </c>
    </row>
    <row r="358" spans="1:19" x14ac:dyDescent="0.3">
      <c r="A358" t="s">
        <v>1378</v>
      </c>
      <c r="B358">
        <v>2022</v>
      </c>
      <c r="C358">
        <v>1.018952407026809</v>
      </c>
      <c r="D358">
        <v>991195.25</v>
      </c>
      <c r="E358">
        <v>300</v>
      </c>
      <c r="F358">
        <v>135</v>
      </c>
      <c r="G358">
        <v>6.6848004907139999E-4</v>
      </c>
      <c r="H358">
        <v>1</v>
      </c>
      <c r="I358">
        <v>2</v>
      </c>
      <c r="J358">
        <v>0.33146211277659859</v>
      </c>
      <c r="K358">
        <v>-0.24056502352772879</v>
      </c>
      <c r="L358">
        <v>108149666.15886401</v>
      </c>
      <c r="M358" t="s">
        <v>287</v>
      </c>
      <c r="N358" t="s">
        <v>346</v>
      </c>
      <c r="O358" t="s">
        <v>214</v>
      </c>
      <c r="P358">
        <v>3275</v>
      </c>
      <c r="Q358">
        <v>2322</v>
      </c>
      <c r="R358">
        <v>953</v>
      </c>
      <c r="S358" t="e">
        <f>#REF!/#REF!</f>
        <v>#REF!</v>
      </c>
    </row>
    <row r="359" spans="1:19" x14ac:dyDescent="0.3">
      <c r="A359" t="s">
        <v>1379</v>
      </c>
      <c r="B359">
        <v>2022</v>
      </c>
      <c r="C359">
        <v>1.9380196765538229</v>
      </c>
      <c r="D359">
        <v>2940849.994240196</v>
      </c>
      <c r="E359">
        <v>172</v>
      </c>
      <c r="F359">
        <v>976</v>
      </c>
      <c r="G359">
        <v>1.308782600222E-4</v>
      </c>
      <c r="H359">
        <v>30</v>
      </c>
      <c r="I359">
        <v>15</v>
      </c>
      <c r="L359">
        <v>392909735.18197</v>
      </c>
      <c r="M359" t="s">
        <v>652</v>
      </c>
      <c r="N359" t="s">
        <v>809</v>
      </c>
      <c r="O359" t="s">
        <v>810</v>
      </c>
      <c r="P359">
        <v>32808</v>
      </c>
      <c r="Q359">
        <v>26241</v>
      </c>
      <c r="R359">
        <v>6567</v>
      </c>
      <c r="S359" t="e">
        <f>#REF!/#REF!</f>
        <v>#REF!</v>
      </c>
    </row>
    <row r="360" spans="1:19" x14ac:dyDescent="0.3">
      <c r="A360" t="s">
        <v>1380</v>
      </c>
      <c r="B360">
        <v>2022</v>
      </c>
      <c r="C360">
        <v>3.238849884199285</v>
      </c>
      <c r="D360">
        <v>5418343.115196079</v>
      </c>
      <c r="E360">
        <v>762</v>
      </c>
      <c r="F360">
        <v>787</v>
      </c>
      <c r="G360">
        <v>1.691958529513E-4</v>
      </c>
      <c r="H360">
        <v>13</v>
      </c>
      <c r="I360">
        <v>12</v>
      </c>
      <c r="J360">
        <v>0.47392129372534619</v>
      </c>
      <c r="K360">
        <v>-0.33926990091459958</v>
      </c>
      <c r="L360">
        <v>254315779.3372232</v>
      </c>
      <c r="M360" t="s">
        <v>652</v>
      </c>
      <c r="N360" t="s">
        <v>772</v>
      </c>
      <c r="O360" t="s">
        <v>793</v>
      </c>
      <c r="P360">
        <v>23142</v>
      </c>
      <c r="Q360">
        <v>17585</v>
      </c>
      <c r="R360">
        <v>5557</v>
      </c>
      <c r="S360" t="e">
        <f>#REF!/#REF!</f>
        <v>#REF!</v>
      </c>
    </row>
    <row r="361" spans="1:19" x14ac:dyDescent="0.3">
      <c r="A361" t="s">
        <v>1381</v>
      </c>
      <c r="B361">
        <v>2022</v>
      </c>
      <c r="C361">
        <v>2.1640428207633762</v>
      </c>
      <c r="D361">
        <v>3214508.7770220591</v>
      </c>
      <c r="E361">
        <v>662</v>
      </c>
      <c r="F361">
        <v>414</v>
      </c>
      <c r="G361">
        <v>2.0524862132899999E-4</v>
      </c>
      <c r="H361">
        <v>21</v>
      </c>
      <c r="I361">
        <v>4</v>
      </c>
      <c r="J361">
        <v>0.43436907721301338</v>
      </c>
      <c r="K361">
        <v>-0.35633761961319238</v>
      </c>
      <c r="L361">
        <v>204188873.02618241</v>
      </c>
      <c r="M361" t="s">
        <v>20</v>
      </c>
      <c r="N361" t="s">
        <v>21</v>
      </c>
      <c r="O361" t="s">
        <v>34</v>
      </c>
      <c r="P361">
        <v>10728</v>
      </c>
      <c r="Q361">
        <v>7651</v>
      </c>
      <c r="R361">
        <v>3077</v>
      </c>
      <c r="S361" t="e">
        <f>#REF!/#REF!</f>
        <v>#REF!</v>
      </c>
    </row>
    <row r="362" spans="1:19" x14ac:dyDescent="0.3">
      <c r="A362" t="s">
        <v>1382</v>
      </c>
      <c r="B362">
        <v>2022</v>
      </c>
      <c r="C362">
        <v>3.5039059611286971</v>
      </c>
      <c r="D362">
        <v>25319.07720588236</v>
      </c>
      <c r="E362">
        <v>21</v>
      </c>
      <c r="F362">
        <v>212</v>
      </c>
      <c r="G362">
        <v>9.917851031401E-4</v>
      </c>
      <c r="H362">
        <v>9</v>
      </c>
      <c r="I362">
        <v>2</v>
      </c>
      <c r="L362">
        <v>35987760.846254677</v>
      </c>
      <c r="M362" t="s">
        <v>652</v>
      </c>
      <c r="N362" t="s">
        <v>822</v>
      </c>
      <c r="O362" t="s">
        <v>824</v>
      </c>
      <c r="P362">
        <v>4384</v>
      </c>
      <c r="Q362">
        <v>3494</v>
      </c>
      <c r="R362">
        <v>890</v>
      </c>
      <c r="S362" t="e">
        <f>#REF!/#REF!</f>
        <v>#REF!</v>
      </c>
    </row>
    <row r="363" spans="1:19" x14ac:dyDescent="0.3">
      <c r="A363" t="s">
        <v>1383</v>
      </c>
      <c r="B363">
        <v>2022</v>
      </c>
      <c r="C363">
        <v>4.3358789573094354</v>
      </c>
      <c r="D363">
        <v>2336527.9207107839</v>
      </c>
      <c r="E363">
        <v>767</v>
      </c>
      <c r="F363">
        <v>460</v>
      </c>
      <c r="G363">
        <v>1.9856251211700001E-4</v>
      </c>
      <c r="H363">
        <v>5</v>
      </c>
      <c r="I363">
        <v>3</v>
      </c>
      <c r="J363">
        <v>0.3598534421617115</v>
      </c>
      <c r="K363">
        <v>-0.19262466247411131</v>
      </c>
      <c r="L363">
        <v>94450644.164688259</v>
      </c>
      <c r="M363" t="s">
        <v>830</v>
      </c>
      <c r="N363" t="s">
        <v>855</v>
      </c>
      <c r="O363" t="s">
        <v>855</v>
      </c>
      <c r="P363">
        <v>14399</v>
      </c>
      <c r="Q363">
        <v>6207</v>
      </c>
      <c r="R363">
        <v>8192</v>
      </c>
      <c r="S363" t="e">
        <f>#REF!/#REF!</f>
        <v>#REF!</v>
      </c>
    </row>
    <row r="364" spans="1:19" x14ac:dyDescent="0.3">
      <c r="A364" t="s">
        <v>1384</v>
      </c>
      <c r="B364">
        <v>2022</v>
      </c>
      <c r="C364">
        <v>2.2791094880266121</v>
      </c>
      <c r="D364">
        <v>7931972.7018995089</v>
      </c>
      <c r="E364">
        <v>1893</v>
      </c>
      <c r="F364">
        <v>341</v>
      </c>
      <c r="G364">
        <v>2.0194453628790001E-4</v>
      </c>
      <c r="H364">
        <v>6</v>
      </c>
      <c r="I364">
        <v>5</v>
      </c>
      <c r="J364">
        <v>0.4957916798923665</v>
      </c>
      <c r="K364">
        <v>-0.3340559893029344</v>
      </c>
      <c r="L364">
        <v>122148437.3872254</v>
      </c>
      <c r="M364" t="s">
        <v>830</v>
      </c>
      <c r="N364" t="s">
        <v>831</v>
      </c>
      <c r="O364" t="s">
        <v>841</v>
      </c>
      <c r="P364">
        <v>10766</v>
      </c>
      <c r="Q364">
        <v>4723</v>
      </c>
      <c r="R364">
        <v>6043</v>
      </c>
      <c r="S364" t="e">
        <f>#REF!/#REF!</f>
        <v>#REF!</v>
      </c>
    </row>
    <row r="365" spans="1:19" x14ac:dyDescent="0.3">
      <c r="A365" t="s">
        <v>1385</v>
      </c>
      <c r="B365">
        <v>2022</v>
      </c>
      <c r="C365">
        <v>1.6705284114522021</v>
      </c>
      <c r="D365">
        <v>1488378.59375</v>
      </c>
      <c r="E365">
        <v>55</v>
      </c>
      <c r="F365">
        <v>914</v>
      </c>
      <c r="G365">
        <v>3.399012813787E-4</v>
      </c>
      <c r="H365">
        <v>9</v>
      </c>
      <c r="I365">
        <v>2</v>
      </c>
      <c r="J365">
        <v>0.25751536500245309</v>
      </c>
      <c r="K365">
        <v>-0.12243458043794971</v>
      </c>
      <c r="L365">
        <v>601867837.41078603</v>
      </c>
      <c r="M365" t="s">
        <v>406</v>
      </c>
      <c r="N365" t="s">
        <v>429</v>
      </c>
      <c r="O365" t="s">
        <v>429</v>
      </c>
      <c r="P365">
        <v>51986</v>
      </c>
      <c r="Q365">
        <v>30277</v>
      </c>
      <c r="R365">
        <v>21709</v>
      </c>
      <c r="S365" t="e">
        <f>#REF!/#REF!</f>
        <v>#REF!</v>
      </c>
    </row>
    <row r="366" spans="1:19" x14ac:dyDescent="0.3">
      <c r="A366" t="s">
        <v>1386</v>
      </c>
      <c r="B366">
        <v>2022</v>
      </c>
      <c r="C366">
        <v>6.813210583023027</v>
      </c>
      <c r="D366">
        <v>2116540.1432598042</v>
      </c>
      <c r="E366">
        <v>1321</v>
      </c>
      <c r="F366">
        <v>461</v>
      </c>
      <c r="G366">
        <v>3.6900804581239998E-4</v>
      </c>
      <c r="H366">
        <v>17</v>
      </c>
      <c r="I366">
        <v>5</v>
      </c>
      <c r="J366">
        <v>0.43343373232824473</v>
      </c>
      <c r="K366">
        <v>-0.28668866241819518</v>
      </c>
      <c r="L366">
        <v>48380459.52806621</v>
      </c>
      <c r="M366" t="s">
        <v>830</v>
      </c>
      <c r="N366" t="s">
        <v>872</v>
      </c>
      <c r="O366" t="s">
        <v>872</v>
      </c>
      <c r="P366">
        <v>12674</v>
      </c>
      <c r="Q366">
        <v>7551</v>
      </c>
      <c r="R366">
        <v>5123</v>
      </c>
      <c r="S366" t="e">
        <f>#REF!/#REF!</f>
        <v>#REF!</v>
      </c>
    </row>
    <row r="367" spans="1:19" x14ac:dyDescent="0.3">
      <c r="A367" t="s">
        <v>1387</v>
      </c>
      <c r="B367">
        <v>2022</v>
      </c>
      <c r="C367">
        <v>1.1850249453966</v>
      </c>
      <c r="D367">
        <v>1734026.71875</v>
      </c>
      <c r="E367">
        <v>135</v>
      </c>
      <c r="F367">
        <v>603</v>
      </c>
      <c r="G367">
        <v>3.5364099988410001E-4</v>
      </c>
      <c r="H367">
        <v>4</v>
      </c>
      <c r="I367">
        <v>18</v>
      </c>
      <c r="J367">
        <v>0.56018639475579535</v>
      </c>
      <c r="K367">
        <v>-0.25366123999224349</v>
      </c>
      <c r="L367">
        <v>395551253.34086227</v>
      </c>
      <c r="M367" t="s">
        <v>874</v>
      </c>
      <c r="N367" t="s">
        <v>875</v>
      </c>
      <c r="O367" t="s">
        <v>875</v>
      </c>
      <c r="P367">
        <v>17741</v>
      </c>
      <c r="Q367">
        <v>14274</v>
      </c>
      <c r="R367">
        <v>3467</v>
      </c>
      <c r="S367" t="e">
        <f>#REF!/#REF!</f>
        <v>#REF!</v>
      </c>
    </row>
    <row r="368" spans="1:19" x14ac:dyDescent="0.3">
      <c r="A368" t="s">
        <v>1388</v>
      </c>
      <c r="B368">
        <v>2022</v>
      </c>
      <c r="C368">
        <v>1.1682915738395609</v>
      </c>
      <c r="D368">
        <v>4860.4129901960787</v>
      </c>
      <c r="E368">
        <v>7</v>
      </c>
      <c r="F368">
        <v>98</v>
      </c>
      <c r="G368">
        <v>7.7095303701149999E-4</v>
      </c>
      <c r="H368">
        <v>3</v>
      </c>
      <c r="I368">
        <v>1</v>
      </c>
      <c r="J368">
        <v>0.37549933101416622</v>
      </c>
      <c r="K368">
        <v>-0.37414841902824048</v>
      </c>
      <c r="L368">
        <v>72153206.242964998</v>
      </c>
      <c r="M368" t="s">
        <v>20</v>
      </c>
      <c r="N368" t="s">
        <v>82</v>
      </c>
      <c r="O368" t="s">
        <v>84</v>
      </c>
      <c r="P368">
        <v>966</v>
      </c>
      <c r="Q368">
        <v>522</v>
      </c>
      <c r="R368">
        <v>444</v>
      </c>
      <c r="S368" t="e">
        <f>#REF!/#REF!</f>
        <v>#REF!</v>
      </c>
    </row>
    <row r="369" spans="1:19" x14ac:dyDescent="0.3">
      <c r="A369" t="s">
        <v>1389</v>
      </c>
      <c r="B369">
        <v>2022</v>
      </c>
      <c r="C369">
        <v>3.5865226379132169</v>
      </c>
      <c r="D369">
        <v>5710582.28125</v>
      </c>
      <c r="E369">
        <v>479</v>
      </c>
      <c r="F369">
        <v>546</v>
      </c>
      <c r="G369">
        <v>4.9075835401910005E-4</v>
      </c>
      <c r="H369">
        <v>14</v>
      </c>
      <c r="I369">
        <v>14</v>
      </c>
      <c r="J369">
        <v>0.2738149451353491</v>
      </c>
      <c r="K369">
        <v>-0.22018272214265469</v>
      </c>
      <c r="L369">
        <v>147977706.3676658</v>
      </c>
      <c r="M369" t="s">
        <v>406</v>
      </c>
      <c r="N369" t="s">
        <v>423</v>
      </c>
      <c r="O369" t="s">
        <v>424</v>
      </c>
      <c r="P369">
        <v>50926</v>
      </c>
      <c r="Q369">
        <v>20067</v>
      </c>
      <c r="R369">
        <v>30859</v>
      </c>
      <c r="S369" t="e">
        <f>#REF!/#REF!</f>
        <v>#REF!</v>
      </c>
    </row>
    <row r="370" spans="1:19" x14ac:dyDescent="0.3">
      <c r="A370" t="s">
        <v>1390</v>
      </c>
      <c r="B370">
        <v>2022</v>
      </c>
      <c r="C370">
        <v>2.1451965195115799</v>
      </c>
      <c r="D370">
        <v>3115738.479656863</v>
      </c>
      <c r="E370">
        <v>1255</v>
      </c>
      <c r="F370">
        <v>247</v>
      </c>
      <c r="G370">
        <v>3.1818185158320002E-4</v>
      </c>
      <c r="H370">
        <v>11</v>
      </c>
      <c r="I370">
        <v>2</v>
      </c>
      <c r="J370">
        <v>0.40118543879930468</v>
      </c>
      <c r="K370">
        <v>-0.30343686707228468</v>
      </c>
      <c r="L370">
        <v>60036570.93130374</v>
      </c>
      <c r="M370" t="s">
        <v>232</v>
      </c>
      <c r="N370" t="s">
        <v>233</v>
      </c>
      <c r="O370" t="s">
        <v>239</v>
      </c>
      <c r="P370">
        <v>6776</v>
      </c>
      <c r="Q370">
        <v>1368</v>
      </c>
      <c r="R370">
        <v>5408</v>
      </c>
      <c r="S370" t="e">
        <f>#REF!/#REF!</f>
        <v>#REF!</v>
      </c>
    </row>
    <row r="371" spans="1:19" x14ac:dyDescent="0.3">
      <c r="A371" t="s">
        <v>1391</v>
      </c>
      <c r="B371">
        <v>2022</v>
      </c>
      <c r="C371">
        <v>0.87128715065324525</v>
      </c>
      <c r="D371">
        <v>951290.42457107839</v>
      </c>
      <c r="E371">
        <v>299</v>
      </c>
      <c r="F371">
        <v>141</v>
      </c>
      <c r="G371">
        <v>6.5103778446959999E-4</v>
      </c>
      <c r="H371">
        <v>27</v>
      </c>
      <c r="I371">
        <v>13</v>
      </c>
      <c r="J371">
        <v>0.34641710362918421</v>
      </c>
      <c r="K371">
        <v>-0.2108209815525782</v>
      </c>
      <c r="L371">
        <v>97656972.936622113</v>
      </c>
      <c r="M371" t="s">
        <v>612</v>
      </c>
      <c r="N371" t="s">
        <v>97</v>
      </c>
      <c r="O371" t="s">
        <v>478</v>
      </c>
      <c r="P371">
        <v>3552</v>
      </c>
      <c r="Q371">
        <v>740</v>
      </c>
      <c r="R371">
        <v>2812</v>
      </c>
      <c r="S371" t="e">
        <f>#REF!/#REF!</f>
        <v>#REF!</v>
      </c>
    </row>
    <row r="372" spans="1:19" x14ac:dyDescent="0.3">
      <c r="A372" t="s">
        <v>1392</v>
      </c>
      <c r="B372">
        <v>2022</v>
      </c>
      <c r="C372">
        <v>9.7994597641732248</v>
      </c>
      <c r="D372">
        <v>9108909.3975490164</v>
      </c>
      <c r="E372">
        <v>4281</v>
      </c>
      <c r="F372">
        <v>1166</v>
      </c>
      <c r="G372">
        <v>3.3847659660700001E-4</v>
      </c>
      <c r="H372">
        <v>30</v>
      </c>
      <c r="I372">
        <v>14</v>
      </c>
      <c r="J372">
        <v>0.16596185702955021</v>
      </c>
      <c r="K372">
        <v>-0.26723427395512978</v>
      </c>
      <c r="L372">
        <v>96508042.56701228</v>
      </c>
      <c r="M372" t="s">
        <v>612</v>
      </c>
      <c r="N372" t="s">
        <v>672</v>
      </c>
      <c r="O372" t="s">
        <v>672</v>
      </c>
      <c r="P372">
        <v>29754</v>
      </c>
      <c r="Q372">
        <v>13078</v>
      </c>
      <c r="R372">
        <v>16676</v>
      </c>
      <c r="S372" t="e">
        <f>#REF!/#REF!</f>
        <v>#REF!</v>
      </c>
    </row>
    <row r="373" spans="1:19" x14ac:dyDescent="0.3">
      <c r="A373" t="s">
        <v>1393</v>
      </c>
      <c r="B373">
        <v>2022</v>
      </c>
      <c r="C373">
        <v>1.0303865884803911</v>
      </c>
      <c r="D373">
        <v>3549562.2768995101</v>
      </c>
      <c r="E373">
        <v>357</v>
      </c>
      <c r="F373">
        <v>370</v>
      </c>
      <c r="G373">
        <v>3.1302693457489999E-4</v>
      </c>
      <c r="H373">
        <v>7</v>
      </c>
      <c r="I373">
        <v>2</v>
      </c>
      <c r="J373">
        <v>0.12773692026108999</v>
      </c>
      <c r="K373">
        <v>8.4342539044171799E-2</v>
      </c>
      <c r="L373">
        <v>2212268439.9646978</v>
      </c>
      <c r="M373" t="s">
        <v>406</v>
      </c>
      <c r="N373" t="s">
        <v>407</v>
      </c>
      <c r="O373" t="s">
        <v>411</v>
      </c>
      <c r="P373">
        <v>15244</v>
      </c>
      <c r="Q373">
        <v>1035</v>
      </c>
      <c r="R373">
        <v>14209</v>
      </c>
      <c r="S373" t="e">
        <f>#REF!/#REF!</f>
        <v>#REF!</v>
      </c>
    </row>
    <row r="374" spans="1:19" x14ac:dyDescent="0.3">
      <c r="A374" t="s">
        <v>1394</v>
      </c>
      <c r="B374">
        <v>2022</v>
      </c>
      <c r="C374">
        <v>2.126416818619846</v>
      </c>
      <c r="D374">
        <v>2371198.6125612748</v>
      </c>
      <c r="E374">
        <v>345</v>
      </c>
      <c r="F374">
        <v>581</v>
      </c>
      <c r="G374">
        <v>1.950773910438E-4</v>
      </c>
      <c r="H374">
        <v>53</v>
      </c>
      <c r="I374">
        <v>7</v>
      </c>
      <c r="J374">
        <v>0.4949963941250447</v>
      </c>
      <c r="K374">
        <v>-0.3867596533965697</v>
      </c>
      <c r="L374">
        <v>251442841.82870281</v>
      </c>
      <c r="M374" t="s">
        <v>20</v>
      </c>
      <c r="N374" t="s">
        <v>21</v>
      </c>
      <c r="O374" t="s">
        <v>22</v>
      </c>
      <c r="P374">
        <v>21783</v>
      </c>
      <c r="Q374">
        <v>15591</v>
      </c>
      <c r="R374">
        <v>6192</v>
      </c>
      <c r="S374" t="e">
        <f>#REF!/#REF!</f>
        <v>#REF!</v>
      </c>
    </row>
    <row r="375" spans="1:19" x14ac:dyDescent="0.3">
      <c r="A375" t="s">
        <v>1395</v>
      </c>
      <c r="B375">
        <v>2022</v>
      </c>
      <c r="C375">
        <v>1.7019203166136421</v>
      </c>
      <c r="D375">
        <v>993125.140625</v>
      </c>
      <c r="E375">
        <v>821</v>
      </c>
      <c r="F375">
        <v>449</v>
      </c>
      <c r="G375">
        <v>2.9624901700630002E-4</v>
      </c>
      <c r="H375">
        <v>30</v>
      </c>
      <c r="I375">
        <v>2</v>
      </c>
      <c r="J375">
        <v>0.24241370232964859</v>
      </c>
      <c r="K375">
        <v>-0.30590066002582778</v>
      </c>
      <c r="L375">
        <v>106422326.7346554</v>
      </c>
      <c r="M375" t="s">
        <v>612</v>
      </c>
      <c r="N375" t="s">
        <v>645</v>
      </c>
      <c r="O375" t="s">
        <v>646</v>
      </c>
      <c r="P375">
        <v>3079</v>
      </c>
      <c r="Q375">
        <v>35</v>
      </c>
      <c r="R375">
        <v>3044</v>
      </c>
      <c r="S375" t="e">
        <f>#REF!/#REF!</f>
        <v>#REF!</v>
      </c>
    </row>
    <row r="376" spans="1:19" x14ac:dyDescent="0.3">
      <c r="A376" t="s">
        <v>1396</v>
      </c>
      <c r="B376">
        <v>2022</v>
      </c>
      <c r="C376">
        <v>3.4603094491336139</v>
      </c>
      <c r="D376">
        <v>56395.636029411769</v>
      </c>
      <c r="E376">
        <v>70</v>
      </c>
      <c r="F376">
        <v>461</v>
      </c>
      <c r="G376">
        <v>2.512502983135E-4</v>
      </c>
      <c r="H376">
        <v>2</v>
      </c>
      <c r="I376">
        <v>2</v>
      </c>
      <c r="J376">
        <v>0.54625352816006734</v>
      </c>
      <c r="K376">
        <v>-0.35437357135935799</v>
      </c>
      <c r="L376">
        <v>62429820.4129299</v>
      </c>
      <c r="M376" t="s">
        <v>20</v>
      </c>
      <c r="N376" t="s">
        <v>71</v>
      </c>
      <c r="O376" t="s">
        <v>72</v>
      </c>
      <c r="P376">
        <v>4194</v>
      </c>
      <c r="Q376">
        <v>3149</v>
      </c>
      <c r="R376">
        <v>1045</v>
      </c>
      <c r="S376" t="e">
        <f>#REF!/#REF!</f>
        <v>#REF!</v>
      </c>
    </row>
    <row r="377" spans="1:19" x14ac:dyDescent="0.3">
      <c r="A377" t="s">
        <v>1397</v>
      </c>
      <c r="B377">
        <v>2022</v>
      </c>
      <c r="C377">
        <v>4.444080250514622</v>
      </c>
      <c r="D377">
        <v>1737150.9375</v>
      </c>
      <c r="E377">
        <v>364</v>
      </c>
      <c r="F377">
        <v>723</v>
      </c>
      <c r="G377">
        <v>3.5589920103389999E-4</v>
      </c>
      <c r="H377">
        <v>30</v>
      </c>
      <c r="I377">
        <v>6</v>
      </c>
      <c r="J377">
        <v>0.3306296057529019</v>
      </c>
      <c r="K377">
        <v>-7.1412522148076807E-2</v>
      </c>
      <c r="L377">
        <v>277261853.80029571</v>
      </c>
      <c r="M377" t="s">
        <v>406</v>
      </c>
      <c r="N377" t="s">
        <v>446</v>
      </c>
      <c r="O377" t="s">
        <v>446</v>
      </c>
      <c r="P377">
        <v>32913</v>
      </c>
      <c r="Q377">
        <v>16685</v>
      </c>
      <c r="R377">
        <v>16228</v>
      </c>
      <c r="S377" t="e">
        <f>#REF!/#REF!</f>
        <v>#REF!</v>
      </c>
    </row>
    <row r="378" spans="1:19" x14ac:dyDescent="0.3">
      <c r="A378" t="s">
        <v>1398</v>
      </c>
      <c r="B378">
        <v>2022</v>
      </c>
      <c r="C378">
        <v>0.94451939504351756</v>
      </c>
      <c r="D378">
        <v>992716.125</v>
      </c>
      <c r="E378">
        <v>124</v>
      </c>
      <c r="F378">
        <v>361</v>
      </c>
      <c r="G378">
        <v>1.275437237255E-4</v>
      </c>
      <c r="H378">
        <v>5</v>
      </c>
      <c r="I378">
        <v>8</v>
      </c>
      <c r="J378">
        <v>0.54173489594460134</v>
      </c>
      <c r="K378">
        <v>-0.31237476190312058</v>
      </c>
      <c r="L378">
        <v>380092591.19016892</v>
      </c>
      <c r="M378" t="s">
        <v>232</v>
      </c>
      <c r="N378" t="s">
        <v>278</v>
      </c>
      <c r="O378" t="s">
        <v>278</v>
      </c>
      <c r="P378">
        <v>11732</v>
      </c>
      <c r="Q378">
        <v>4128</v>
      </c>
      <c r="R378">
        <v>7604</v>
      </c>
      <c r="S378" t="e">
        <f>#REF!/#REF!</f>
        <v>#REF!</v>
      </c>
    </row>
    <row r="379" spans="1:19" x14ac:dyDescent="0.3">
      <c r="A379" t="s">
        <v>1399</v>
      </c>
      <c r="B379">
        <v>2022</v>
      </c>
      <c r="C379">
        <v>1.076770976649071</v>
      </c>
      <c r="D379">
        <v>169443.51360294121</v>
      </c>
      <c r="E379">
        <v>52</v>
      </c>
      <c r="F379">
        <v>173</v>
      </c>
      <c r="G379">
        <v>3.802852039066E-4</v>
      </c>
      <c r="H379">
        <v>8</v>
      </c>
      <c r="I379">
        <v>0</v>
      </c>
      <c r="J379">
        <v>0.49993198318642967</v>
      </c>
      <c r="K379">
        <v>-0.37709740917470019</v>
      </c>
      <c r="L379">
        <v>229476508.38396201</v>
      </c>
      <c r="M379" t="s">
        <v>460</v>
      </c>
      <c r="N379" t="s">
        <v>473</v>
      </c>
      <c r="O379" t="s">
        <v>475</v>
      </c>
      <c r="P379">
        <v>5476</v>
      </c>
      <c r="Q379">
        <v>1916</v>
      </c>
      <c r="R379">
        <v>3560</v>
      </c>
      <c r="S379" t="e">
        <f>#REF!/#REF!</f>
        <v>#REF!</v>
      </c>
    </row>
    <row r="380" spans="1:19" x14ac:dyDescent="0.3">
      <c r="A380" t="s">
        <v>1400</v>
      </c>
      <c r="B380">
        <v>2022</v>
      </c>
      <c r="C380">
        <v>1.4067100174317291</v>
      </c>
      <c r="D380">
        <v>213006.96838235299</v>
      </c>
      <c r="E380">
        <v>46</v>
      </c>
      <c r="F380">
        <v>364</v>
      </c>
      <c r="G380">
        <v>1.757717035038E-4</v>
      </c>
      <c r="H380">
        <v>22</v>
      </c>
      <c r="I380">
        <v>2</v>
      </c>
      <c r="J380">
        <v>0.37656735332051638</v>
      </c>
      <c r="K380">
        <v>-0.33516031960568399</v>
      </c>
      <c r="L380">
        <v>279737882.7429893</v>
      </c>
      <c r="M380" t="s">
        <v>20</v>
      </c>
      <c r="N380" t="s">
        <v>21</v>
      </c>
      <c r="O380" t="s">
        <v>36</v>
      </c>
      <c r="P380">
        <v>10351</v>
      </c>
      <c r="Q380">
        <v>7347</v>
      </c>
      <c r="R380">
        <v>3004</v>
      </c>
      <c r="S380" t="e">
        <f>#REF!/#REF!</f>
        <v>#REF!</v>
      </c>
    </row>
    <row r="381" spans="1:19" x14ac:dyDescent="0.3">
      <c r="A381" t="s">
        <v>1401</v>
      </c>
      <c r="B381">
        <v>2022</v>
      </c>
      <c r="C381">
        <v>1.0853586620093709</v>
      </c>
      <c r="D381">
        <v>496208.46875</v>
      </c>
      <c r="E381">
        <v>54</v>
      </c>
      <c r="F381">
        <v>462</v>
      </c>
      <c r="G381">
        <v>5.4003172042870005E-4</v>
      </c>
      <c r="H381">
        <v>8</v>
      </c>
      <c r="I381">
        <v>9</v>
      </c>
      <c r="J381">
        <v>0.41357552434643119</v>
      </c>
      <c r="K381">
        <v>-0.17058299846571359</v>
      </c>
      <c r="L381">
        <v>718958547.49397612</v>
      </c>
      <c r="M381" t="s">
        <v>674</v>
      </c>
      <c r="N381" t="s">
        <v>709</v>
      </c>
      <c r="O381" t="s">
        <v>709</v>
      </c>
      <c r="P381">
        <v>16277</v>
      </c>
      <c r="Q381">
        <v>9056</v>
      </c>
      <c r="R381">
        <v>7221</v>
      </c>
      <c r="S381" t="e">
        <f>#REF!/#REF!</f>
        <v>#REF!</v>
      </c>
    </row>
    <row r="382" spans="1:19" x14ac:dyDescent="0.3">
      <c r="A382" t="s">
        <v>1402</v>
      </c>
      <c r="B382">
        <v>2022</v>
      </c>
      <c r="C382">
        <v>1.673266408127752</v>
      </c>
      <c r="D382">
        <v>3470340.9033088242</v>
      </c>
      <c r="E382">
        <v>1218</v>
      </c>
      <c r="F382">
        <v>288</v>
      </c>
      <c r="G382">
        <v>4.5386113840400002E-4</v>
      </c>
      <c r="H382">
        <v>26</v>
      </c>
      <c r="I382">
        <v>6</v>
      </c>
      <c r="L382">
        <v>144180861.38840449</v>
      </c>
      <c r="M382" t="s">
        <v>191</v>
      </c>
      <c r="N382" t="s">
        <v>192</v>
      </c>
      <c r="O382" t="s">
        <v>193</v>
      </c>
      <c r="P382">
        <v>7957</v>
      </c>
      <c r="Q382">
        <v>4451</v>
      </c>
      <c r="R382">
        <v>3506</v>
      </c>
      <c r="S382" t="e">
        <f>#REF!/#REF!</f>
        <v>#REF!</v>
      </c>
    </row>
    <row r="383" spans="1:19" x14ac:dyDescent="0.3">
      <c r="A383" t="s">
        <v>1403</v>
      </c>
      <c r="B383">
        <v>2022</v>
      </c>
      <c r="C383">
        <v>2.11494034330387</v>
      </c>
      <c r="D383">
        <v>1241324.703125</v>
      </c>
      <c r="E383">
        <v>137</v>
      </c>
      <c r="F383">
        <v>466</v>
      </c>
      <c r="G383">
        <v>4.7238085663719998E-4</v>
      </c>
      <c r="H383">
        <v>14</v>
      </c>
      <c r="I383">
        <v>10</v>
      </c>
      <c r="J383">
        <v>0.60659956219617905</v>
      </c>
      <c r="K383">
        <v>-0.19639699621318549</v>
      </c>
      <c r="L383">
        <v>248304339.2913247</v>
      </c>
      <c r="M383" t="s">
        <v>348</v>
      </c>
      <c r="N383" t="s">
        <v>102</v>
      </c>
      <c r="O383" t="s">
        <v>102</v>
      </c>
      <c r="P383">
        <v>32117</v>
      </c>
      <c r="Q383">
        <v>10318</v>
      </c>
      <c r="R383">
        <v>21799</v>
      </c>
      <c r="S383" t="e">
        <f>#REF!/#REF!</f>
        <v>#REF!</v>
      </c>
    </row>
    <row r="384" spans="1:19" x14ac:dyDescent="0.3">
      <c r="A384" t="s">
        <v>1404</v>
      </c>
      <c r="B384">
        <v>2022</v>
      </c>
      <c r="C384">
        <v>1.769240191146489</v>
      </c>
      <c r="D384">
        <v>3227541.28125</v>
      </c>
      <c r="E384">
        <v>422</v>
      </c>
      <c r="F384">
        <v>517</v>
      </c>
      <c r="G384">
        <v>2.2834594745939999E-4</v>
      </c>
      <c r="H384">
        <v>18</v>
      </c>
      <c r="I384">
        <v>46</v>
      </c>
      <c r="J384">
        <v>0.36168124350463482</v>
      </c>
      <c r="K384">
        <v>-0.2584711049895087</v>
      </c>
      <c r="L384">
        <v>293020483.75270581</v>
      </c>
      <c r="M384" t="s">
        <v>612</v>
      </c>
      <c r="N384" t="s">
        <v>35</v>
      </c>
      <c r="O384" t="s">
        <v>654</v>
      </c>
      <c r="P384">
        <v>24500</v>
      </c>
      <c r="Q384">
        <v>10080</v>
      </c>
      <c r="R384">
        <v>14420</v>
      </c>
      <c r="S384" t="e">
        <f>#REF!/#REF!</f>
        <v>#REF!</v>
      </c>
    </row>
    <row r="385" spans="1:19" x14ac:dyDescent="0.3">
      <c r="A385" t="s">
        <v>1405</v>
      </c>
      <c r="B385">
        <v>2022</v>
      </c>
      <c r="C385">
        <v>0.55338181985514523</v>
      </c>
      <c r="D385">
        <v>417770.14632352942</v>
      </c>
      <c r="E385">
        <v>838</v>
      </c>
      <c r="F385">
        <v>113</v>
      </c>
      <c r="G385">
        <v>7.5951996300869997E-4</v>
      </c>
      <c r="H385">
        <v>7</v>
      </c>
      <c r="I385">
        <v>0</v>
      </c>
      <c r="J385">
        <v>0.61972121336741526</v>
      </c>
      <c r="K385">
        <v>-0.2378492121328096</v>
      </c>
      <c r="L385">
        <v>1929913701.823293</v>
      </c>
      <c r="M385" t="s">
        <v>730</v>
      </c>
      <c r="N385" t="s">
        <v>743</v>
      </c>
      <c r="O385" t="s">
        <v>744</v>
      </c>
      <c r="P385">
        <v>519</v>
      </c>
      <c r="Q385">
        <v>70</v>
      </c>
      <c r="R385">
        <v>449</v>
      </c>
      <c r="S385" t="e">
        <f>#REF!/#REF!</f>
        <v>#REF!</v>
      </c>
    </row>
    <row r="386" spans="1:19" x14ac:dyDescent="0.3">
      <c r="A386" t="s">
        <v>1406</v>
      </c>
      <c r="B386">
        <v>2022</v>
      </c>
      <c r="C386">
        <v>1.6230173958176961</v>
      </c>
      <c r="D386">
        <v>3503254.8737745099</v>
      </c>
      <c r="E386">
        <v>2008</v>
      </c>
      <c r="F386">
        <v>450</v>
      </c>
      <c r="G386">
        <v>2.9894001409630001E-4</v>
      </c>
      <c r="H386">
        <v>13</v>
      </c>
      <c r="I386">
        <v>2</v>
      </c>
      <c r="J386">
        <v>0.1961194573869843</v>
      </c>
      <c r="K386">
        <v>-0.2068218491735139</v>
      </c>
      <c r="L386">
        <v>162043794.28649461</v>
      </c>
      <c r="M386" t="s">
        <v>612</v>
      </c>
      <c r="N386" t="s">
        <v>643</v>
      </c>
      <c r="O386" t="s">
        <v>102</v>
      </c>
      <c r="P386">
        <v>5438</v>
      </c>
      <c r="Q386">
        <v>628</v>
      </c>
      <c r="R386">
        <v>4810</v>
      </c>
      <c r="S386" t="e">
        <f>#REF!/#REF!</f>
        <v>#REF!</v>
      </c>
    </row>
    <row r="387" spans="1:19" x14ac:dyDescent="0.3">
      <c r="A387" t="s">
        <v>1407</v>
      </c>
      <c r="B387">
        <v>2022</v>
      </c>
      <c r="C387">
        <v>0.87844730764429646</v>
      </c>
      <c r="D387">
        <v>1238526.453125</v>
      </c>
      <c r="E387">
        <v>318</v>
      </c>
      <c r="F387">
        <v>268</v>
      </c>
      <c r="G387">
        <v>1.982463352153E-4</v>
      </c>
      <c r="H387">
        <v>10</v>
      </c>
      <c r="I387">
        <v>2</v>
      </c>
      <c r="J387">
        <v>0.4275579486368607</v>
      </c>
      <c r="K387">
        <v>-0.37747862693174378</v>
      </c>
      <c r="L387">
        <v>238476582.3791258</v>
      </c>
      <c r="M387" t="s">
        <v>499</v>
      </c>
      <c r="N387" t="s">
        <v>522</v>
      </c>
      <c r="O387" t="s">
        <v>522</v>
      </c>
      <c r="P387">
        <v>6677</v>
      </c>
      <c r="Q387">
        <v>4068</v>
      </c>
      <c r="R387">
        <v>2609</v>
      </c>
      <c r="S387" t="e">
        <f>#REF!/#REF!</f>
        <v>#REF!</v>
      </c>
    </row>
    <row r="388" spans="1:19" x14ac:dyDescent="0.3">
      <c r="A388" t="s">
        <v>1408</v>
      </c>
      <c r="B388">
        <v>2022</v>
      </c>
      <c r="C388">
        <v>1.561792242322096</v>
      </c>
      <c r="D388">
        <v>1489927.984375</v>
      </c>
      <c r="E388">
        <v>196</v>
      </c>
      <c r="F388">
        <v>746</v>
      </c>
      <c r="G388">
        <v>1.1265804066509999E-4</v>
      </c>
      <c r="H388">
        <v>19</v>
      </c>
      <c r="I388">
        <v>14</v>
      </c>
      <c r="J388">
        <v>0.48797362234290831</v>
      </c>
      <c r="K388">
        <v>-0.34664798759710141</v>
      </c>
      <c r="L388">
        <v>486515784.24552959</v>
      </c>
      <c r="M388" t="s">
        <v>652</v>
      </c>
      <c r="N388" t="s">
        <v>772</v>
      </c>
      <c r="O388" t="s">
        <v>794</v>
      </c>
      <c r="P388">
        <v>23239</v>
      </c>
      <c r="Q388">
        <v>14781</v>
      </c>
      <c r="R388">
        <v>8458</v>
      </c>
      <c r="S388" t="e">
        <f>#REF!/#REF!</f>
        <v>#REF!</v>
      </c>
    </row>
    <row r="389" spans="1:19" x14ac:dyDescent="0.3">
      <c r="A389" t="s">
        <v>1409</v>
      </c>
      <c r="B389">
        <v>2022</v>
      </c>
      <c r="C389">
        <v>1.997449787158585</v>
      </c>
      <c r="D389">
        <v>1141196.1680759799</v>
      </c>
      <c r="E389">
        <v>902</v>
      </c>
      <c r="F389">
        <v>271</v>
      </c>
      <c r="G389">
        <v>5.8573859677329997E-4</v>
      </c>
      <c r="H389">
        <v>26</v>
      </c>
      <c r="I389">
        <v>12</v>
      </c>
      <c r="J389">
        <v>0.59494286477937042</v>
      </c>
      <c r="K389">
        <v>-0.41018635586914232</v>
      </c>
      <c r="L389">
        <v>76118779.69844684</v>
      </c>
      <c r="M389" t="s">
        <v>191</v>
      </c>
      <c r="N389" t="s">
        <v>192</v>
      </c>
      <c r="O389" t="s">
        <v>199</v>
      </c>
      <c r="P389">
        <v>4960</v>
      </c>
      <c r="Q389">
        <v>1166</v>
      </c>
      <c r="R389">
        <v>3794</v>
      </c>
      <c r="S389" t="e">
        <f>#REF!/#REF!</f>
        <v>#REF!</v>
      </c>
    </row>
    <row r="390" spans="1:19" x14ac:dyDescent="0.3">
      <c r="A390" t="s">
        <v>1410</v>
      </c>
      <c r="B390">
        <v>2022</v>
      </c>
      <c r="C390">
        <v>1.763335149157611</v>
      </c>
      <c r="D390">
        <v>2231627.4375</v>
      </c>
      <c r="E390">
        <v>927</v>
      </c>
      <c r="F390">
        <v>462</v>
      </c>
      <c r="G390">
        <v>1.6853231648590001E-4</v>
      </c>
      <c r="H390">
        <v>17</v>
      </c>
      <c r="I390">
        <v>10</v>
      </c>
      <c r="J390">
        <v>0.52328807430078761</v>
      </c>
      <c r="K390">
        <v>-0.38024872999993092</v>
      </c>
      <c r="L390">
        <v>239518819.46180749</v>
      </c>
      <c r="M390" t="s">
        <v>20</v>
      </c>
      <c r="N390" t="s">
        <v>43</v>
      </c>
      <c r="O390" t="s">
        <v>43</v>
      </c>
      <c r="P390">
        <v>8434</v>
      </c>
      <c r="Q390">
        <v>5457</v>
      </c>
      <c r="R390">
        <v>2977</v>
      </c>
      <c r="S390" t="e">
        <f>#REF!/#REF!</f>
        <v>#REF!</v>
      </c>
    </row>
    <row r="391" spans="1:19" x14ac:dyDescent="0.3">
      <c r="A391" t="s">
        <v>1411</v>
      </c>
      <c r="B391">
        <v>2022</v>
      </c>
      <c r="C391">
        <v>1.4885544001467641</v>
      </c>
      <c r="D391">
        <v>1241612.0625</v>
      </c>
      <c r="E391">
        <v>66</v>
      </c>
      <c r="F391">
        <v>869</v>
      </c>
      <c r="G391">
        <v>1.6022338430790001E-4</v>
      </c>
      <c r="H391">
        <v>34</v>
      </c>
      <c r="I391">
        <v>15</v>
      </c>
      <c r="J391">
        <v>0.54891085123109851</v>
      </c>
      <c r="K391">
        <v>-0.25962795457852372</v>
      </c>
      <c r="L391">
        <v>1021275146.89344</v>
      </c>
      <c r="M391" t="s">
        <v>348</v>
      </c>
      <c r="N391" t="s">
        <v>380</v>
      </c>
      <c r="O391" t="s">
        <v>381</v>
      </c>
      <c r="P391">
        <v>55614</v>
      </c>
      <c r="Q391">
        <v>21446</v>
      </c>
      <c r="R391">
        <v>34168</v>
      </c>
      <c r="S391" t="e">
        <f>#REF!/#REF!</f>
        <v>#REF!</v>
      </c>
    </row>
    <row r="392" spans="1:19" x14ac:dyDescent="0.3">
      <c r="A392" t="s">
        <v>1412</v>
      </c>
      <c r="B392">
        <v>2022</v>
      </c>
      <c r="C392">
        <v>9.4114939036594745</v>
      </c>
      <c r="D392">
        <v>5163149.6766544124</v>
      </c>
      <c r="E392">
        <v>2379</v>
      </c>
      <c r="F392">
        <v>909</v>
      </c>
      <c r="G392">
        <v>4.0894732118360001E-4</v>
      </c>
      <c r="H392">
        <v>27</v>
      </c>
      <c r="I392">
        <v>12</v>
      </c>
      <c r="L392">
        <v>56377558.010918632</v>
      </c>
      <c r="M392" t="s">
        <v>652</v>
      </c>
      <c r="N392" t="s">
        <v>772</v>
      </c>
      <c r="O392" t="s">
        <v>775</v>
      </c>
      <c r="P392">
        <v>43150</v>
      </c>
      <c r="Q392">
        <v>32488</v>
      </c>
      <c r="R392">
        <v>10662</v>
      </c>
      <c r="S392" t="e">
        <f>#REF!/#REF!</f>
        <v>#REF!</v>
      </c>
    </row>
    <row r="393" spans="1:19" x14ac:dyDescent="0.3">
      <c r="A393" t="s">
        <v>1413</v>
      </c>
      <c r="B393">
        <v>2022</v>
      </c>
      <c r="C393">
        <v>1.842753650841841</v>
      </c>
      <c r="D393">
        <v>7195761.2194852941</v>
      </c>
      <c r="E393">
        <v>487</v>
      </c>
      <c r="F393">
        <v>1147</v>
      </c>
      <c r="G393">
        <v>2.0228432171710001E-4</v>
      </c>
      <c r="H393">
        <v>15</v>
      </c>
      <c r="I393">
        <v>30</v>
      </c>
      <c r="J393">
        <v>0.48644178957676171</v>
      </c>
      <c r="K393">
        <v>-0.21396374857742209</v>
      </c>
      <c r="L393">
        <v>414927824.12271118</v>
      </c>
      <c r="M393" t="s">
        <v>586</v>
      </c>
      <c r="N393" t="s">
        <v>606</v>
      </c>
      <c r="O393" t="s">
        <v>607</v>
      </c>
      <c r="P393">
        <v>59389</v>
      </c>
      <c r="Q393">
        <v>31688</v>
      </c>
      <c r="R393">
        <v>27701</v>
      </c>
      <c r="S393" t="e">
        <f>#REF!/#REF!</f>
        <v>#REF!</v>
      </c>
    </row>
    <row r="394" spans="1:19" x14ac:dyDescent="0.3">
      <c r="A394" t="s">
        <v>1414</v>
      </c>
      <c r="B394">
        <v>2022</v>
      </c>
      <c r="C394">
        <v>0.58634077770451076</v>
      </c>
      <c r="D394">
        <v>993305.28125</v>
      </c>
      <c r="E394">
        <v>1263</v>
      </c>
      <c r="F394">
        <v>62</v>
      </c>
      <c r="G394">
        <v>1.2460628939503001E-3</v>
      </c>
      <c r="H394">
        <v>3</v>
      </c>
      <c r="I394">
        <v>0</v>
      </c>
      <c r="J394">
        <v>0.48669428587534208</v>
      </c>
      <c r="K394">
        <v>-0.19273173322903661</v>
      </c>
      <c r="L394">
        <v>985553361.84256399</v>
      </c>
      <c r="M394" t="s">
        <v>922</v>
      </c>
      <c r="N394" t="s">
        <v>931</v>
      </c>
      <c r="O394" t="s">
        <v>933</v>
      </c>
      <c r="P394">
        <v>1063</v>
      </c>
      <c r="Q394">
        <v>422</v>
      </c>
      <c r="R394">
        <v>641</v>
      </c>
      <c r="S394" t="e">
        <f>#REF!/#REF!</f>
        <v>#REF!</v>
      </c>
    </row>
    <row r="395" spans="1:19" x14ac:dyDescent="0.3">
      <c r="A395" t="s">
        <v>1415</v>
      </c>
      <c r="B395">
        <v>2022</v>
      </c>
      <c r="C395">
        <v>0.70362513376039337</v>
      </c>
      <c r="D395">
        <v>196699.41850490199</v>
      </c>
      <c r="E395">
        <v>55</v>
      </c>
      <c r="F395">
        <v>107</v>
      </c>
      <c r="G395">
        <v>1.4386535616207001E-3</v>
      </c>
      <c r="H395">
        <v>1</v>
      </c>
      <c r="I395">
        <v>0</v>
      </c>
      <c r="J395">
        <v>0.65780582404973664</v>
      </c>
      <c r="K395">
        <v>-0.2942440189867514</v>
      </c>
      <c r="L395">
        <v>331310206.39121151</v>
      </c>
      <c r="M395" t="s">
        <v>959</v>
      </c>
      <c r="N395" t="s">
        <v>984</v>
      </c>
      <c r="O395" t="s">
        <v>985</v>
      </c>
      <c r="P395">
        <v>5863</v>
      </c>
      <c r="Q395">
        <v>688</v>
      </c>
      <c r="R395">
        <v>5175</v>
      </c>
      <c r="S395" t="e">
        <f>#REF!/#REF!</f>
        <v>#REF!</v>
      </c>
    </row>
    <row r="396" spans="1:19" x14ac:dyDescent="0.3">
      <c r="A396" t="s">
        <v>1416</v>
      </c>
      <c r="B396">
        <v>2022</v>
      </c>
      <c r="C396">
        <v>0.62495055620893825</v>
      </c>
      <c r="D396">
        <v>248303.796875</v>
      </c>
      <c r="E396">
        <v>102</v>
      </c>
      <c r="F396">
        <v>73</v>
      </c>
      <c r="G396">
        <v>3.0915123128236999E-3</v>
      </c>
      <c r="H396">
        <v>6</v>
      </c>
      <c r="I396">
        <v>1</v>
      </c>
      <c r="J396">
        <v>0.5701947331938757</v>
      </c>
      <c r="K396">
        <v>-0.19544137577164561</v>
      </c>
      <c r="L396">
        <v>1741295690.6669919</v>
      </c>
      <c r="M396" t="s">
        <v>959</v>
      </c>
      <c r="N396" t="s">
        <v>971</v>
      </c>
      <c r="O396" t="s">
        <v>972</v>
      </c>
      <c r="P396">
        <v>3659</v>
      </c>
      <c r="Q396">
        <v>1098</v>
      </c>
      <c r="R396">
        <v>2561</v>
      </c>
      <c r="S396" t="e">
        <f>#REF!/#REF!</f>
        <v>#REF!</v>
      </c>
    </row>
    <row r="397" spans="1:19" x14ac:dyDescent="0.3">
      <c r="A397" t="s">
        <v>1417</v>
      </c>
      <c r="B397">
        <v>2022</v>
      </c>
      <c r="C397">
        <v>7.1420456641221044</v>
      </c>
      <c r="D397">
        <v>91977951.313419119</v>
      </c>
      <c r="E397">
        <v>13116</v>
      </c>
      <c r="F397">
        <v>3866</v>
      </c>
      <c r="G397">
        <v>8.2284462782322866E-5</v>
      </c>
      <c r="H397">
        <v>49</v>
      </c>
      <c r="I397">
        <v>84</v>
      </c>
      <c r="J397">
        <v>0.37163436864961658</v>
      </c>
      <c r="K397">
        <v>-0.3260429656267414</v>
      </c>
      <c r="L397">
        <v>266340098.35864449</v>
      </c>
      <c r="M397" t="s">
        <v>191</v>
      </c>
      <c r="N397" t="s">
        <v>192</v>
      </c>
      <c r="O397" t="s">
        <v>192</v>
      </c>
      <c r="P397">
        <v>125524</v>
      </c>
      <c r="Q397">
        <v>90652</v>
      </c>
      <c r="R397">
        <v>34872</v>
      </c>
      <c r="S397" t="e">
        <f>#REF!/#REF!</f>
        <v>#REF!</v>
      </c>
    </row>
    <row r="398" spans="1:19" x14ac:dyDescent="0.3">
      <c r="A398" t="s">
        <v>1418</v>
      </c>
      <c r="B398">
        <v>2022</v>
      </c>
      <c r="C398">
        <v>3.9245217221942261</v>
      </c>
      <c r="D398">
        <v>2234286.359375</v>
      </c>
      <c r="E398">
        <v>1367</v>
      </c>
      <c r="F398">
        <v>465</v>
      </c>
      <c r="G398">
        <v>4.0707887269150002E-4</v>
      </c>
      <c r="H398">
        <v>16</v>
      </c>
      <c r="I398">
        <v>10</v>
      </c>
      <c r="J398">
        <v>0.3912351726810373</v>
      </c>
      <c r="K398">
        <v>-0.16450106011443771</v>
      </c>
      <c r="L398">
        <v>84056930.649310797</v>
      </c>
      <c r="M398" t="s">
        <v>830</v>
      </c>
      <c r="N398" t="s">
        <v>846</v>
      </c>
      <c r="O398" t="s">
        <v>22</v>
      </c>
      <c r="P398">
        <v>15917</v>
      </c>
      <c r="Q398">
        <v>13264</v>
      </c>
      <c r="R398">
        <v>2653</v>
      </c>
      <c r="S398" t="e">
        <f>#REF!/#REF!</f>
        <v>#REF!</v>
      </c>
    </row>
    <row r="399" spans="1:19" x14ac:dyDescent="0.3">
      <c r="A399" t="s">
        <v>1419</v>
      </c>
      <c r="B399">
        <v>2022</v>
      </c>
      <c r="C399">
        <v>3.7629199832373179</v>
      </c>
      <c r="D399">
        <v>343558.91348039208</v>
      </c>
      <c r="E399">
        <v>358</v>
      </c>
      <c r="F399">
        <v>167</v>
      </c>
      <c r="G399">
        <v>6.5788963981990001E-4</v>
      </c>
      <c r="H399">
        <v>8</v>
      </c>
      <c r="I399">
        <v>1</v>
      </c>
      <c r="J399">
        <v>0.35208374669088333</v>
      </c>
      <c r="K399">
        <v>-0.1797551369525347</v>
      </c>
      <c r="L399">
        <v>121734914.8096883</v>
      </c>
      <c r="M399" t="s">
        <v>406</v>
      </c>
      <c r="N399" t="s">
        <v>373</v>
      </c>
      <c r="O399" t="s">
        <v>421</v>
      </c>
      <c r="P399">
        <v>9695</v>
      </c>
      <c r="Q399">
        <v>252</v>
      </c>
      <c r="R399">
        <v>9443</v>
      </c>
      <c r="S399" t="e">
        <f>#REF!/#REF!</f>
        <v>#REF!</v>
      </c>
    </row>
    <row r="400" spans="1:19" x14ac:dyDescent="0.3">
      <c r="A400" t="s">
        <v>1420</v>
      </c>
      <c r="B400">
        <v>2022</v>
      </c>
      <c r="C400">
        <v>5.3776237636739159</v>
      </c>
      <c r="D400">
        <v>12656.756188725491</v>
      </c>
      <c r="E400">
        <v>66</v>
      </c>
      <c r="F400">
        <v>83</v>
      </c>
      <c r="G400">
        <v>5.901307444839E-4</v>
      </c>
      <c r="H400">
        <v>7</v>
      </c>
      <c r="I400">
        <v>1</v>
      </c>
      <c r="J400">
        <v>0.45481073710220021</v>
      </c>
      <c r="K400">
        <v>-0.3227188946049207</v>
      </c>
      <c r="L400">
        <v>15998355.58944915</v>
      </c>
      <c r="M400" t="s">
        <v>830</v>
      </c>
      <c r="N400" t="s">
        <v>857</v>
      </c>
      <c r="O400" t="s">
        <v>861</v>
      </c>
      <c r="P400">
        <v>2844</v>
      </c>
      <c r="Q400">
        <v>309</v>
      </c>
      <c r="R400">
        <v>2535</v>
      </c>
      <c r="S400" t="e">
        <f>#REF!/#REF!</f>
        <v>#REF!</v>
      </c>
    </row>
    <row r="401" spans="1:19" x14ac:dyDescent="0.3">
      <c r="A401" t="s">
        <v>1421</v>
      </c>
      <c r="B401">
        <v>2022</v>
      </c>
      <c r="C401">
        <v>4.4334527150109526</v>
      </c>
      <c r="D401">
        <v>1950487.53125</v>
      </c>
      <c r="E401">
        <v>1145</v>
      </c>
      <c r="F401">
        <v>456</v>
      </c>
      <c r="G401">
        <v>5.152552924667E-4</v>
      </c>
      <c r="H401">
        <v>8</v>
      </c>
      <c r="I401">
        <v>2</v>
      </c>
      <c r="J401">
        <v>0.27904957717445411</v>
      </c>
      <c r="K401">
        <v>-0.20935602555716989</v>
      </c>
      <c r="L401">
        <v>134677621.7439625</v>
      </c>
      <c r="M401" t="s">
        <v>406</v>
      </c>
      <c r="N401" t="s">
        <v>455</v>
      </c>
      <c r="O401" t="s">
        <v>456</v>
      </c>
      <c r="P401">
        <v>23753</v>
      </c>
      <c r="Q401">
        <v>12198</v>
      </c>
      <c r="R401">
        <v>11555</v>
      </c>
      <c r="S401" t="e">
        <f>#REF!/#REF!</f>
        <v>#REF!</v>
      </c>
    </row>
    <row r="402" spans="1:19" x14ac:dyDescent="0.3">
      <c r="A402" t="s">
        <v>1422</v>
      </c>
      <c r="B402">
        <v>2022</v>
      </c>
      <c r="C402">
        <v>0.78094592644511573</v>
      </c>
      <c r="D402">
        <v>744005.18682598043</v>
      </c>
      <c r="E402">
        <v>444</v>
      </c>
      <c r="F402">
        <v>130</v>
      </c>
      <c r="G402">
        <v>1.5601177179732E-3</v>
      </c>
      <c r="H402">
        <v>18</v>
      </c>
      <c r="I402">
        <v>0</v>
      </c>
      <c r="J402">
        <v>0.71440296813523119</v>
      </c>
      <c r="K402">
        <v>-0.31023934322768598</v>
      </c>
      <c r="L402">
        <v>246794938.88758329</v>
      </c>
      <c r="M402" t="s">
        <v>922</v>
      </c>
      <c r="N402" t="s">
        <v>931</v>
      </c>
      <c r="O402" t="s">
        <v>932</v>
      </c>
      <c r="P402">
        <v>4159</v>
      </c>
      <c r="Q402">
        <v>2671</v>
      </c>
      <c r="R402">
        <v>1488</v>
      </c>
      <c r="S402" t="e">
        <f>#REF!/#REF!</f>
        <v>#REF!</v>
      </c>
    </row>
    <row r="403" spans="1:19" x14ac:dyDescent="0.3">
      <c r="A403" t="s">
        <v>1423</v>
      </c>
      <c r="B403">
        <v>2022</v>
      </c>
      <c r="C403">
        <v>1.4425900576694941</v>
      </c>
      <c r="D403">
        <v>1241372.65625</v>
      </c>
      <c r="E403">
        <v>138</v>
      </c>
      <c r="F403">
        <v>707</v>
      </c>
      <c r="G403">
        <v>1.7116292944580001E-4</v>
      </c>
      <c r="H403">
        <v>36</v>
      </c>
      <c r="I403">
        <v>14</v>
      </c>
      <c r="J403">
        <v>0.3458473225109775</v>
      </c>
      <c r="K403">
        <v>-0.26209193401615449</v>
      </c>
      <c r="L403">
        <v>565602867.36832094</v>
      </c>
      <c r="M403" t="s">
        <v>586</v>
      </c>
      <c r="N403" t="s">
        <v>610</v>
      </c>
      <c r="O403" t="s">
        <v>610</v>
      </c>
      <c r="P403">
        <v>42023</v>
      </c>
      <c r="Q403">
        <v>10918</v>
      </c>
      <c r="R403">
        <v>31105</v>
      </c>
      <c r="S403" t="e">
        <f>#REF!/#REF!</f>
        <v>#REF!</v>
      </c>
    </row>
    <row r="404" spans="1:19" x14ac:dyDescent="0.3">
      <c r="A404" t="s">
        <v>1424</v>
      </c>
      <c r="B404">
        <v>2022</v>
      </c>
      <c r="C404">
        <v>1.4493943352846519</v>
      </c>
      <c r="D404">
        <v>502290.59411764698</v>
      </c>
      <c r="E404">
        <v>550</v>
      </c>
      <c r="F404">
        <v>200</v>
      </c>
      <c r="G404">
        <v>2.7793594297980003E-4</v>
      </c>
      <c r="H404">
        <v>3</v>
      </c>
      <c r="I404">
        <v>1</v>
      </c>
      <c r="J404">
        <v>0.38805377607899538</v>
      </c>
      <c r="K404">
        <v>-0.2117939716897857</v>
      </c>
      <c r="L404">
        <v>135922102.73123449</v>
      </c>
      <c r="M404" t="s">
        <v>232</v>
      </c>
      <c r="N404" t="s">
        <v>233</v>
      </c>
      <c r="O404" t="s">
        <v>242</v>
      </c>
      <c r="P404">
        <v>4479</v>
      </c>
      <c r="Q404">
        <v>931</v>
      </c>
      <c r="R404">
        <v>3548</v>
      </c>
      <c r="S404" t="e">
        <f>#REF!/#REF!</f>
        <v>#REF!</v>
      </c>
    </row>
    <row r="405" spans="1:19" x14ac:dyDescent="0.3">
      <c r="A405" t="s">
        <v>1425</v>
      </c>
      <c r="B405">
        <v>2022</v>
      </c>
      <c r="C405">
        <v>5.4792007814570347</v>
      </c>
      <c r="D405">
        <v>4409977.5375612751</v>
      </c>
      <c r="E405">
        <v>4845</v>
      </c>
      <c r="F405">
        <v>917</v>
      </c>
      <c r="G405">
        <v>2.76201793615E-4</v>
      </c>
      <c r="H405">
        <v>10</v>
      </c>
      <c r="I405">
        <v>16</v>
      </c>
      <c r="J405">
        <v>0.20724466258939769</v>
      </c>
      <c r="K405">
        <v>-0.26412480740454852</v>
      </c>
      <c r="L405">
        <v>61886853.552497409</v>
      </c>
      <c r="M405" t="s">
        <v>612</v>
      </c>
      <c r="N405" t="s">
        <v>613</v>
      </c>
      <c r="O405" t="s">
        <v>615</v>
      </c>
      <c r="P405">
        <v>16985</v>
      </c>
      <c r="Q405">
        <v>2892</v>
      </c>
      <c r="R405">
        <v>14093</v>
      </c>
      <c r="S405" t="e">
        <f>#REF!/#REF!</f>
        <v>#REF!</v>
      </c>
    </row>
    <row r="406" spans="1:19" x14ac:dyDescent="0.3">
      <c r="A406" t="s">
        <v>1426</v>
      </c>
      <c r="B406">
        <v>2022</v>
      </c>
      <c r="C406">
        <v>9.3223013068664127</v>
      </c>
      <c r="D406">
        <v>18502.357169117651</v>
      </c>
      <c r="E406">
        <v>96</v>
      </c>
      <c r="F406">
        <v>233</v>
      </c>
      <c r="G406">
        <v>1.0966445907503999E-3</v>
      </c>
      <c r="H406">
        <v>12</v>
      </c>
      <c r="I406">
        <v>2</v>
      </c>
      <c r="L406">
        <v>21076878.140606541</v>
      </c>
      <c r="M406" t="s">
        <v>652</v>
      </c>
      <c r="N406" t="s">
        <v>809</v>
      </c>
      <c r="O406" t="s">
        <v>816</v>
      </c>
      <c r="P406">
        <v>6192</v>
      </c>
      <c r="Q406">
        <v>4858</v>
      </c>
      <c r="R406">
        <v>1334</v>
      </c>
      <c r="S406" t="e">
        <f>#REF!/#REF!</f>
        <v>#REF!</v>
      </c>
    </row>
    <row r="407" spans="1:19" x14ac:dyDescent="0.3">
      <c r="A407" t="s">
        <v>1427</v>
      </c>
      <c r="B407">
        <v>2022</v>
      </c>
      <c r="C407">
        <v>0.67511605727884627</v>
      </c>
      <c r="D407">
        <v>228846.22549019611</v>
      </c>
      <c r="E407">
        <v>46</v>
      </c>
      <c r="F407">
        <v>378</v>
      </c>
      <c r="G407">
        <v>1.3420979169929999E-4</v>
      </c>
      <c r="H407">
        <v>11</v>
      </c>
      <c r="I407">
        <v>20</v>
      </c>
      <c r="J407">
        <v>0.46801354253716898</v>
      </c>
      <c r="K407">
        <v>-0.2070031000056764</v>
      </c>
      <c r="L407">
        <v>886281770.00175893</v>
      </c>
      <c r="M407" t="s">
        <v>460</v>
      </c>
      <c r="N407" t="s">
        <v>473</v>
      </c>
      <c r="O407" t="s">
        <v>167</v>
      </c>
      <c r="P407">
        <v>11546</v>
      </c>
      <c r="Q407">
        <v>1764</v>
      </c>
      <c r="R407">
        <v>9782</v>
      </c>
      <c r="S407" t="e">
        <f>#REF!/#REF!</f>
        <v>#REF!</v>
      </c>
    </row>
    <row r="408" spans="1:19" x14ac:dyDescent="0.3">
      <c r="A408" t="s">
        <v>1428</v>
      </c>
      <c r="B408">
        <v>2022</v>
      </c>
      <c r="C408">
        <v>0.93118321249375358</v>
      </c>
      <c r="D408">
        <v>1440112.7147671571</v>
      </c>
      <c r="E408">
        <v>713</v>
      </c>
      <c r="F408">
        <v>351</v>
      </c>
      <c r="G408">
        <v>1.8300655925080001E-4</v>
      </c>
      <c r="H408">
        <v>30</v>
      </c>
      <c r="I408">
        <v>19</v>
      </c>
      <c r="J408">
        <v>0.2972387422693617</v>
      </c>
      <c r="K408">
        <v>-0.2322624857092791</v>
      </c>
      <c r="L408">
        <v>208803427.4539369</v>
      </c>
      <c r="M408" t="s">
        <v>191</v>
      </c>
      <c r="N408" t="s">
        <v>211</v>
      </c>
      <c r="O408" t="s">
        <v>217</v>
      </c>
      <c r="P408">
        <v>6934</v>
      </c>
      <c r="Q408">
        <v>376</v>
      </c>
      <c r="R408">
        <v>6558</v>
      </c>
      <c r="S408" t="e">
        <f>#REF!/#REF!</f>
        <v>#REF!</v>
      </c>
    </row>
    <row r="409" spans="1:19" x14ac:dyDescent="0.3">
      <c r="A409" t="s">
        <v>1429</v>
      </c>
      <c r="B409">
        <v>2022</v>
      </c>
      <c r="C409">
        <v>3.8591361294807789</v>
      </c>
      <c r="D409">
        <v>1241601.078125</v>
      </c>
      <c r="E409">
        <v>1895</v>
      </c>
      <c r="F409">
        <v>376</v>
      </c>
      <c r="G409">
        <v>7.0438633269959995E-4</v>
      </c>
      <c r="H409">
        <v>8</v>
      </c>
      <c r="I409">
        <v>6</v>
      </c>
      <c r="L409">
        <v>50002336.075365268</v>
      </c>
      <c r="M409" t="s">
        <v>652</v>
      </c>
      <c r="N409" t="s">
        <v>809</v>
      </c>
      <c r="O409" t="s">
        <v>394</v>
      </c>
      <c r="P409">
        <v>9842</v>
      </c>
      <c r="Q409">
        <v>7893</v>
      </c>
      <c r="R409">
        <v>1949</v>
      </c>
      <c r="S409" t="e">
        <f>#REF!/#REF!</f>
        <v>#REF!</v>
      </c>
    </row>
    <row r="410" spans="1:19" x14ac:dyDescent="0.3">
      <c r="A410" t="s">
        <v>1430</v>
      </c>
      <c r="B410">
        <v>2022</v>
      </c>
      <c r="C410">
        <v>2.2217469705135122</v>
      </c>
      <c r="D410">
        <v>747543.18995098048</v>
      </c>
      <c r="E410">
        <v>230</v>
      </c>
      <c r="F410">
        <v>415</v>
      </c>
      <c r="G410">
        <v>2.718791856234E-4</v>
      </c>
      <c r="H410">
        <v>15</v>
      </c>
      <c r="I410">
        <v>0</v>
      </c>
      <c r="J410">
        <v>0.2283076241585153</v>
      </c>
      <c r="K410">
        <v>-0.1396659338558395</v>
      </c>
      <c r="L410">
        <v>279333626.444736</v>
      </c>
      <c r="M410" t="s">
        <v>586</v>
      </c>
      <c r="N410" t="s">
        <v>587</v>
      </c>
      <c r="O410" t="s">
        <v>590</v>
      </c>
      <c r="P410">
        <v>28135</v>
      </c>
      <c r="Q410">
        <v>5570</v>
      </c>
      <c r="R410">
        <v>22565</v>
      </c>
      <c r="S410" t="e">
        <f>#REF!/#REF!</f>
        <v>#REF!</v>
      </c>
    </row>
    <row r="411" spans="1:19" x14ac:dyDescent="0.3">
      <c r="A411" t="s">
        <v>1431</v>
      </c>
      <c r="B411">
        <v>2022</v>
      </c>
      <c r="C411">
        <v>1.36340393030343</v>
      </c>
      <c r="D411">
        <v>67183.710294117642</v>
      </c>
      <c r="E411">
        <v>50</v>
      </c>
      <c r="F411">
        <v>205</v>
      </c>
      <c r="G411">
        <v>9.207766974538E-4</v>
      </c>
      <c r="H411">
        <v>10</v>
      </c>
      <c r="I411">
        <v>7</v>
      </c>
      <c r="J411">
        <v>0.69593573780413509</v>
      </c>
      <c r="K411">
        <v>-0.31082597838025372</v>
      </c>
      <c r="L411">
        <v>223725852.82066491</v>
      </c>
      <c r="M411" t="s">
        <v>730</v>
      </c>
      <c r="N411" t="s">
        <v>731</v>
      </c>
      <c r="O411" t="s">
        <v>736</v>
      </c>
      <c r="P411">
        <v>7144</v>
      </c>
      <c r="Q411">
        <v>1581</v>
      </c>
      <c r="R411">
        <v>5563</v>
      </c>
      <c r="S411" t="e">
        <f>#REF!/#REF!</f>
        <v>#REF!</v>
      </c>
    </row>
    <row r="412" spans="1:19" x14ac:dyDescent="0.3">
      <c r="A412" t="s">
        <v>1432</v>
      </c>
      <c r="B412">
        <v>2022</v>
      </c>
      <c r="C412">
        <v>1.3346522389838511</v>
      </c>
      <c r="D412">
        <v>993038.28125</v>
      </c>
      <c r="E412">
        <v>1234</v>
      </c>
      <c r="F412">
        <v>418</v>
      </c>
      <c r="G412">
        <v>3.8411345440269998E-4</v>
      </c>
      <c r="H412">
        <v>14</v>
      </c>
      <c r="I412">
        <v>9</v>
      </c>
      <c r="J412">
        <v>0.3351480399357164</v>
      </c>
      <c r="K412">
        <v>-0.23543792625803081</v>
      </c>
      <c r="L412">
        <v>182887694.85142329</v>
      </c>
      <c r="M412" t="s">
        <v>612</v>
      </c>
      <c r="N412" t="s">
        <v>635</v>
      </c>
      <c r="O412" t="s">
        <v>641</v>
      </c>
      <c r="P412">
        <v>4455</v>
      </c>
      <c r="Q412">
        <v>848</v>
      </c>
      <c r="R412">
        <v>3607</v>
      </c>
      <c r="S412" t="e">
        <f>#REF!/#REF!</f>
        <v>#REF!</v>
      </c>
    </row>
    <row r="413" spans="1:19" x14ac:dyDescent="0.3">
      <c r="A413" t="s">
        <v>1433</v>
      </c>
      <c r="B413">
        <v>2022</v>
      </c>
      <c r="C413">
        <v>0.93200399497777242</v>
      </c>
      <c r="D413">
        <v>2561910.5442401958</v>
      </c>
      <c r="E413">
        <v>1123</v>
      </c>
      <c r="F413">
        <v>725</v>
      </c>
      <c r="G413">
        <v>1.6685746740369999E-4</v>
      </c>
      <c r="H413">
        <v>36</v>
      </c>
      <c r="I413">
        <v>4</v>
      </c>
      <c r="L413">
        <v>509424857.30415767</v>
      </c>
      <c r="M413" t="s">
        <v>191</v>
      </c>
      <c r="N413" t="s">
        <v>192</v>
      </c>
      <c r="O413" t="s">
        <v>197</v>
      </c>
      <c r="P413">
        <v>9098</v>
      </c>
      <c r="Q413">
        <v>4250</v>
      </c>
      <c r="R413">
        <v>4848</v>
      </c>
      <c r="S413" t="e">
        <f>#REF!/#REF!</f>
        <v>#REF!</v>
      </c>
    </row>
    <row r="414" spans="1:19" x14ac:dyDescent="0.3">
      <c r="A414" t="s">
        <v>1434</v>
      </c>
      <c r="B414">
        <v>2022</v>
      </c>
      <c r="C414">
        <v>0.88332333637123239</v>
      </c>
      <c r="D414">
        <v>1565663.5319852941</v>
      </c>
      <c r="E414">
        <v>346</v>
      </c>
      <c r="F414">
        <v>395</v>
      </c>
      <c r="G414">
        <v>7.3607792088328875E-5</v>
      </c>
      <c r="H414">
        <v>36</v>
      </c>
      <c r="I414">
        <v>12</v>
      </c>
      <c r="J414">
        <v>0.30476091106461051</v>
      </c>
      <c r="K414">
        <v>-0.17408255750551069</v>
      </c>
      <c r="L414">
        <v>500707740.77392417</v>
      </c>
      <c r="M414" t="s">
        <v>612</v>
      </c>
      <c r="N414" t="s">
        <v>652</v>
      </c>
      <c r="O414" t="s">
        <v>652</v>
      </c>
      <c r="P414">
        <v>17293</v>
      </c>
      <c r="Q414">
        <v>3722</v>
      </c>
      <c r="R414">
        <v>13571</v>
      </c>
      <c r="S414" t="e">
        <f>#REF!/#REF!</f>
        <v>#REF!</v>
      </c>
    </row>
    <row r="415" spans="1:19" x14ac:dyDescent="0.3">
      <c r="A415" t="s">
        <v>1435</v>
      </c>
      <c r="B415">
        <v>2022</v>
      </c>
      <c r="C415">
        <v>1.5363705630760769</v>
      </c>
      <c r="D415">
        <v>2384589.9401960778</v>
      </c>
      <c r="E415">
        <v>487</v>
      </c>
      <c r="F415">
        <v>1187</v>
      </c>
      <c r="G415">
        <v>1.7478878386079999E-4</v>
      </c>
      <c r="H415">
        <v>13</v>
      </c>
      <c r="I415">
        <v>15</v>
      </c>
      <c r="J415">
        <v>0.46809441541062968</v>
      </c>
      <c r="K415">
        <v>-0.25385596132138161</v>
      </c>
      <c r="L415">
        <v>424701164.87465948</v>
      </c>
      <c r="M415" t="s">
        <v>940</v>
      </c>
      <c r="N415" t="s">
        <v>940</v>
      </c>
      <c r="O415" t="s">
        <v>1006</v>
      </c>
      <c r="P415">
        <v>36849</v>
      </c>
      <c r="Q415">
        <v>16383</v>
      </c>
      <c r="R415">
        <v>20466</v>
      </c>
      <c r="S415" t="e">
        <f>#REF!/#REF!</f>
        <v>#REF!</v>
      </c>
    </row>
    <row r="416" spans="1:19" x14ac:dyDescent="0.3">
      <c r="A416" t="s">
        <v>1436</v>
      </c>
      <c r="B416">
        <v>2022</v>
      </c>
      <c r="C416">
        <v>7.2998610692142147</v>
      </c>
      <c r="D416">
        <v>13837731.271691181</v>
      </c>
      <c r="E416">
        <v>8044</v>
      </c>
      <c r="F416">
        <v>1059</v>
      </c>
      <c r="G416">
        <v>2.5755974070000001E-4</v>
      </c>
      <c r="H416">
        <v>9</v>
      </c>
      <c r="I416">
        <v>80</v>
      </c>
      <c r="J416">
        <v>0.38549053783636161</v>
      </c>
      <c r="K416">
        <v>-0.29702747670959873</v>
      </c>
      <c r="L416">
        <v>135925871.89272779</v>
      </c>
      <c r="M416" t="s">
        <v>156</v>
      </c>
      <c r="N416" t="s">
        <v>157</v>
      </c>
      <c r="O416" t="s">
        <v>157</v>
      </c>
      <c r="P416">
        <v>63348</v>
      </c>
      <c r="Q416">
        <v>53245</v>
      </c>
      <c r="R416">
        <v>10103</v>
      </c>
      <c r="S416" t="e">
        <f>#REF!/#REF!</f>
        <v>#REF!</v>
      </c>
    </row>
    <row r="417" spans="1:19" x14ac:dyDescent="0.3">
      <c r="A417" t="s">
        <v>1437</v>
      </c>
      <c r="B417">
        <v>2022</v>
      </c>
      <c r="C417">
        <v>8.6997776208768762</v>
      </c>
      <c r="D417">
        <v>22097610.578125</v>
      </c>
      <c r="E417">
        <v>5289</v>
      </c>
      <c r="F417">
        <v>2726</v>
      </c>
      <c r="G417">
        <v>1.5095415420520001E-4</v>
      </c>
      <c r="H417">
        <v>40</v>
      </c>
      <c r="I417">
        <v>46</v>
      </c>
      <c r="J417">
        <v>0.4236677538866721</v>
      </c>
      <c r="K417">
        <v>-0.16070521319676009</v>
      </c>
      <c r="L417">
        <v>255522650.7786729</v>
      </c>
      <c r="M417" t="s">
        <v>586</v>
      </c>
      <c r="N417" t="s">
        <v>597</v>
      </c>
      <c r="O417" t="s">
        <v>597</v>
      </c>
      <c r="P417">
        <v>186215</v>
      </c>
      <c r="Q417">
        <v>95171</v>
      </c>
      <c r="R417">
        <v>91044</v>
      </c>
      <c r="S417" t="e">
        <f>#REF!/#REF!</f>
        <v>#REF!</v>
      </c>
    </row>
    <row r="418" spans="1:19" x14ac:dyDescent="0.3">
      <c r="A418" t="s">
        <v>1438</v>
      </c>
      <c r="B418">
        <v>2022</v>
      </c>
      <c r="C418">
        <v>0.65626527486372355</v>
      </c>
      <c r="D418">
        <v>1240692.328125</v>
      </c>
      <c r="E418">
        <v>526</v>
      </c>
      <c r="F418">
        <v>240</v>
      </c>
      <c r="G418">
        <v>1.7548268365439999E-4</v>
      </c>
      <c r="H418">
        <v>6</v>
      </c>
      <c r="I418">
        <v>0</v>
      </c>
      <c r="J418">
        <v>0.38802322509608389</v>
      </c>
      <c r="K418">
        <v>-0.34651350204162029</v>
      </c>
      <c r="L418">
        <v>580991657.03418493</v>
      </c>
      <c r="M418" t="s">
        <v>232</v>
      </c>
      <c r="N418" t="s">
        <v>244</v>
      </c>
      <c r="O418" t="s">
        <v>245</v>
      </c>
      <c r="P418">
        <v>8111</v>
      </c>
      <c r="Q418">
        <v>497</v>
      </c>
      <c r="R418">
        <v>7614</v>
      </c>
      <c r="S418" t="e">
        <f>#REF!/#REF!</f>
        <v>#REF!</v>
      </c>
    </row>
    <row r="419" spans="1:19" x14ac:dyDescent="0.3">
      <c r="A419" t="s">
        <v>1439</v>
      </c>
      <c r="B419">
        <v>2022</v>
      </c>
      <c r="C419">
        <v>0.76903795542761055</v>
      </c>
      <c r="D419">
        <v>993122.9375</v>
      </c>
      <c r="E419">
        <v>700</v>
      </c>
      <c r="F419">
        <v>302</v>
      </c>
      <c r="G419">
        <v>2.8465500579000002E-4</v>
      </c>
      <c r="H419">
        <v>30</v>
      </c>
      <c r="I419">
        <v>8</v>
      </c>
      <c r="J419">
        <v>0.34043547862679641</v>
      </c>
      <c r="K419">
        <v>-0.18225014211028401</v>
      </c>
      <c r="L419">
        <v>160814804.53751159</v>
      </c>
      <c r="M419" t="s">
        <v>612</v>
      </c>
      <c r="N419" t="s">
        <v>35</v>
      </c>
      <c r="O419" t="s">
        <v>142</v>
      </c>
      <c r="P419">
        <v>5794</v>
      </c>
      <c r="Q419">
        <v>756</v>
      </c>
      <c r="R419">
        <v>5038</v>
      </c>
      <c r="S419" t="e">
        <f>#REF!/#REF!</f>
        <v>#REF!</v>
      </c>
    </row>
    <row r="420" spans="1:19" x14ac:dyDescent="0.3">
      <c r="A420" t="s">
        <v>1440</v>
      </c>
      <c r="B420">
        <v>2022</v>
      </c>
      <c r="C420">
        <v>2.1182447261066608</v>
      </c>
      <c r="D420">
        <v>5479676.8614583332</v>
      </c>
      <c r="E420">
        <v>826</v>
      </c>
      <c r="F420">
        <v>1493</v>
      </c>
      <c r="G420">
        <v>7.0622747866389438E-5</v>
      </c>
      <c r="H420">
        <v>36</v>
      </c>
      <c r="I420">
        <v>41</v>
      </c>
      <c r="J420">
        <v>0.47185335734033362</v>
      </c>
      <c r="K420">
        <v>-0.2375623489586407</v>
      </c>
      <c r="L420">
        <v>754816762.66881049</v>
      </c>
      <c r="M420" t="s">
        <v>612</v>
      </c>
      <c r="N420" t="s">
        <v>627</v>
      </c>
      <c r="O420" t="s">
        <v>627</v>
      </c>
      <c r="P420">
        <v>84123</v>
      </c>
      <c r="Q420">
        <v>32247</v>
      </c>
      <c r="R420">
        <v>51876</v>
      </c>
      <c r="S420" t="e">
        <f>#REF!/#REF!</f>
        <v>#REF!</v>
      </c>
    </row>
    <row r="421" spans="1:19" x14ac:dyDescent="0.3">
      <c r="A421" t="s">
        <v>1441</v>
      </c>
      <c r="B421">
        <v>2022</v>
      </c>
      <c r="C421">
        <v>37.0922059122774</v>
      </c>
      <c r="D421">
        <v>54330153.365379907</v>
      </c>
      <c r="E421">
        <v>48708</v>
      </c>
      <c r="F421">
        <v>6289</v>
      </c>
      <c r="G421">
        <v>1.063063055005E-4</v>
      </c>
      <c r="H421">
        <v>56</v>
      </c>
      <c r="I421">
        <v>52</v>
      </c>
      <c r="J421">
        <v>8.1538643603403196E-2</v>
      </c>
      <c r="K421">
        <v>-0.19189616538199919</v>
      </c>
      <c r="L421">
        <v>96215067.576395318</v>
      </c>
      <c r="M421" t="s">
        <v>612</v>
      </c>
      <c r="N421" t="s">
        <v>643</v>
      </c>
      <c r="O421" t="s">
        <v>643</v>
      </c>
      <c r="P421">
        <v>261692</v>
      </c>
      <c r="Q421">
        <v>181931</v>
      </c>
      <c r="R421">
        <v>79761</v>
      </c>
      <c r="S421" t="e">
        <f>#REF!/#REF!</f>
        <v>#REF!</v>
      </c>
    </row>
    <row r="422" spans="1:19" x14ac:dyDescent="0.3">
      <c r="A422" t="s">
        <v>1442</v>
      </c>
      <c r="B422">
        <v>2022</v>
      </c>
      <c r="C422">
        <v>0.61822957644374565</v>
      </c>
      <c r="D422">
        <v>77905.843137254895</v>
      </c>
      <c r="E422">
        <v>189</v>
      </c>
      <c r="F422">
        <v>84</v>
      </c>
      <c r="G422">
        <v>4.575539287432E-4</v>
      </c>
      <c r="H422">
        <v>4</v>
      </c>
      <c r="I422">
        <v>0</v>
      </c>
      <c r="J422">
        <v>0.63675908441852658</v>
      </c>
      <c r="K422">
        <v>-0.28787303894951882</v>
      </c>
      <c r="L422">
        <v>307949316.47968978</v>
      </c>
      <c r="M422" t="s">
        <v>730</v>
      </c>
      <c r="N422" t="s">
        <v>743</v>
      </c>
      <c r="O422" t="s">
        <v>330</v>
      </c>
      <c r="P422">
        <v>1646</v>
      </c>
      <c r="Q422">
        <v>892</v>
      </c>
      <c r="R422">
        <v>754</v>
      </c>
      <c r="S422" t="e">
        <f>#REF!/#REF!</f>
        <v>#REF!</v>
      </c>
    </row>
    <row r="423" spans="1:19" x14ac:dyDescent="0.3">
      <c r="A423" t="s">
        <v>1443</v>
      </c>
      <c r="B423">
        <v>2022</v>
      </c>
      <c r="C423">
        <v>0.89191431456403725</v>
      </c>
      <c r="D423">
        <v>1238288.515625</v>
      </c>
      <c r="E423">
        <v>1487</v>
      </c>
      <c r="F423">
        <v>319</v>
      </c>
      <c r="G423">
        <v>3.2841620853560002E-4</v>
      </c>
      <c r="H423">
        <v>14</v>
      </c>
      <c r="I423">
        <v>4</v>
      </c>
      <c r="J423">
        <v>0.46904782853579358</v>
      </c>
      <c r="K423">
        <v>-0.36243833065734032</v>
      </c>
      <c r="L423">
        <v>159768511.02759969</v>
      </c>
      <c r="M423" t="s">
        <v>499</v>
      </c>
      <c r="N423" t="s">
        <v>499</v>
      </c>
      <c r="O423" t="s">
        <v>509</v>
      </c>
      <c r="P423">
        <v>5487</v>
      </c>
      <c r="Q423">
        <v>3624</v>
      </c>
      <c r="R423">
        <v>1863</v>
      </c>
      <c r="S423" t="e">
        <f>#REF!/#REF!</f>
        <v>#REF!</v>
      </c>
    </row>
    <row r="424" spans="1:19" x14ac:dyDescent="0.3">
      <c r="A424" t="s">
        <v>1444</v>
      </c>
      <c r="B424">
        <v>2022</v>
      </c>
      <c r="C424">
        <v>2.8448787292289062</v>
      </c>
      <c r="D424">
        <v>1738283.09375</v>
      </c>
      <c r="E424">
        <v>2751</v>
      </c>
      <c r="F424">
        <v>437</v>
      </c>
      <c r="G424">
        <v>2.6906445735659998E-4</v>
      </c>
      <c r="H424">
        <v>13</v>
      </c>
      <c r="I424">
        <v>4</v>
      </c>
      <c r="J424">
        <v>0.48068344232598431</v>
      </c>
      <c r="K424">
        <v>-0.30809179978294221</v>
      </c>
      <c r="L424">
        <v>130795071.9694521</v>
      </c>
      <c r="M424" t="s">
        <v>652</v>
      </c>
      <c r="N424" t="s">
        <v>803</v>
      </c>
      <c r="O424" t="s">
        <v>808</v>
      </c>
      <c r="P424">
        <v>14388</v>
      </c>
      <c r="Q424">
        <v>9005</v>
      </c>
      <c r="R424">
        <v>5383</v>
      </c>
      <c r="S424" t="e">
        <f>#REF!/#REF!</f>
        <v>#REF!</v>
      </c>
    </row>
    <row r="425" spans="1:19" x14ac:dyDescent="0.3">
      <c r="A425" t="s">
        <v>1445</v>
      </c>
      <c r="B425">
        <v>2022</v>
      </c>
      <c r="C425">
        <v>1.7420905347949189</v>
      </c>
      <c r="D425">
        <v>3020460.8047794122</v>
      </c>
      <c r="E425">
        <v>1359</v>
      </c>
      <c r="F425">
        <v>674</v>
      </c>
      <c r="G425">
        <v>1.5941256929799999E-4</v>
      </c>
      <c r="H425">
        <v>92</v>
      </c>
      <c r="I425">
        <v>64</v>
      </c>
      <c r="J425">
        <v>0.32725532444650068</v>
      </c>
      <c r="K425">
        <v>-0.22324912249824419</v>
      </c>
      <c r="L425">
        <v>304517906.77206689</v>
      </c>
      <c r="M425" t="s">
        <v>612</v>
      </c>
      <c r="N425" t="s">
        <v>97</v>
      </c>
      <c r="O425" t="s">
        <v>620</v>
      </c>
      <c r="P425">
        <v>34688</v>
      </c>
      <c r="Q425">
        <v>8429</v>
      </c>
      <c r="R425">
        <v>26259</v>
      </c>
      <c r="S425" t="e">
        <f>#REF!/#REF!</f>
        <v>#REF!</v>
      </c>
    </row>
    <row r="426" spans="1:19" x14ac:dyDescent="0.3">
      <c r="A426" t="s">
        <v>1446</v>
      </c>
      <c r="B426">
        <v>2022</v>
      </c>
      <c r="C426">
        <v>8.8108912297405091</v>
      </c>
      <c r="D426">
        <v>13361309.084436269</v>
      </c>
      <c r="E426">
        <v>19137</v>
      </c>
      <c r="F426">
        <v>1256</v>
      </c>
      <c r="G426">
        <v>3.2947659571369998E-4</v>
      </c>
      <c r="H426">
        <v>17</v>
      </c>
      <c r="I426">
        <v>54</v>
      </c>
      <c r="J426">
        <v>0.17075936391467611</v>
      </c>
      <c r="K426">
        <v>1.5748718757568302E-2</v>
      </c>
      <c r="L426">
        <v>98476770.138014376</v>
      </c>
      <c r="M426" t="s">
        <v>287</v>
      </c>
      <c r="N426" t="s">
        <v>309</v>
      </c>
      <c r="O426" t="s">
        <v>309</v>
      </c>
      <c r="P426">
        <v>56267</v>
      </c>
      <c r="Q426">
        <v>33009</v>
      </c>
      <c r="R426">
        <v>23258</v>
      </c>
      <c r="S426" t="e">
        <f>#REF!/#REF!</f>
        <v>#REF!</v>
      </c>
    </row>
    <row r="427" spans="1:19" x14ac:dyDescent="0.3">
      <c r="A427" t="s">
        <v>1447</v>
      </c>
      <c r="B427">
        <v>2022</v>
      </c>
      <c r="C427">
        <v>8.4638424524671976</v>
      </c>
      <c r="D427">
        <v>12415936.640625</v>
      </c>
      <c r="E427">
        <v>16413</v>
      </c>
      <c r="F427">
        <v>1230</v>
      </c>
      <c r="G427">
        <v>5.3501220719369999E-4</v>
      </c>
      <c r="H427">
        <v>24</v>
      </c>
      <c r="I427">
        <v>12</v>
      </c>
      <c r="J427">
        <v>0.48503601281498099</v>
      </c>
      <c r="K427">
        <v>-0.1822868082801295</v>
      </c>
      <c r="L427">
        <v>147560059.4418143</v>
      </c>
      <c r="M427" t="s">
        <v>959</v>
      </c>
      <c r="N427" t="s">
        <v>960</v>
      </c>
      <c r="O427" t="s">
        <v>961</v>
      </c>
      <c r="P427">
        <v>59016</v>
      </c>
      <c r="Q427">
        <v>35312</v>
      </c>
      <c r="R427">
        <v>23704</v>
      </c>
      <c r="S427" t="e">
        <f>#REF!/#REF!</f>
        <v>#REF!</v>
      </c>
    </row>
    <row r="428" spans="1:19" x14ac:dyDescent="0.3">
      <c r="A428" t="s">
        <v>1448</v>
      </c>
      <c r="B428">
        <v>2022</v>
      </c>
      <c r="C428">
        <v>1.018702134512508</v>
      </c>
      <c r="D428">
        <v>2476371.265625</v>
      </c>
      <c r="E428">
        <v>1232</v>
      </c>
      <c r="F428">
        <v>1286</v>
      </c>
      <c r="G428">
        <v>7.399316304126916E-5</v>
      </c>
      <c r="H428">
        <v>12</v>
      </c>
      <c r="I428">
        <v>23</v>
      </c>
      <c r="J428">
        <v>0.46980223164924029</v>
      </c>
      <c r="K428">
        <v>-0.39711908461248818</v>
      </c>
      <c r="L428">
        <v>349330560.48472393</v>
      </c>
      <c r="M428" t="s">
        <v>499</v>
      </c>
      <c r="N428" t="s">
        <v>512</v>
      </c>
      <c r="O428" t="s">
        <v>513</v>
      </c>
      <c r="P428">
        <v>19361</v>
      </c>
      <c r="Q428">
        <v>11887</v>
      </c>
      <c r="R428">
        <v>7474</v>
      </c>
      <c r="S428" t="e">
        <f>#REF!/#REF!</f>
        <v>#REF!</v>
      </c>
    </row>
    <row r="429" spans="1:19" x14ac:dyDescent="0.3">
      <c r="A429" t="s">
        <v>1449</v>
      </c>
      <c r="B429">
        <v>2022</v>
      </c>
      <c r="C429">
        <v>1.159063783443752</v>
      </c>
      <c r="D429">
        <v>993019.234375</v>
      </c>
      <c r="E429">
        <v>1150</v>
      </c>
      <c r="F429">
        <v>170</v>
      </c>
      <c r="G429">
        <v>4.1092662107320002E-4</v>
      </c>
      <c r="H429">
        <v>21</v>
      </c>
      <c r="I429">
        <v>13</v>
      </c>
      <c r="J429">
        <v>0.37118529513885179</v>
      </c>
      <c r="K429">
        <v>-0.26719665126149411</v>
      </c>
      <c r="L429">
        <v>256787710.57124299</v>
      </c>
      <c r="M429" t="s">
        <v>612</v>
      </c>
      <c r="N429" t="s">
        <v>584</v>
      </c>
      <c r="O429" t="s">
        <v>584</v>
      </c>
      <c r="P429">
        <v>10085</v>
      </c>
      <c r="Q429">
        <v>645</v>
      </c>
      <c r="R429">
        <v>9440</v>
      </c>
      <c r="S429" t="e">
        <f>#REF!/#REF!</f>
        <v>#REF!</v>
      </c>
    </row>
    <row r="430" spans="1:19" x14ac:dyDescent="0.3">
      <c r="A430" t="s">
        <v>1450</v>
      </c>
      <c r="B430">
        <v>2022</v>
      </c>
      <c r="C430">
        <v>35.634589514387407</v>
      </c>
      <c r="D430">
        <v>204097559.589093</v>
      </c>
      <c r="E430">
        <v>41409</v>
      </c>
      <c r="F430">
        <v>68586</v>
      </c>
      <c r="G430">
        <v>1.0293767021062221E-5</v>
      </c>
      <c r="H430">
        <v>1257</v>
      </c>
      <c r="I430">
        <v>519</v>
      </c>
      <c r="L430">
        <v>364173136.32824057</v>
      </c>
      <c r="M430" t="s">
        <v>652</v>
      </c>
      <c r="N430" t="s">
        <v>772</v>
      </c>
      <c r="O430" t="s">
        <v>773</v>
      </c>
      <c r="P430">
        <v>1772665</v>
      </c>
      <c r="Q430">
        <v>1566150</v>
      </c>
      <c r="R430">
        <v>206515</v>
      </c>
      <c r="S430" t="e">
        <f>#REF!/#REF!</f>
        <v>#REF!</v>
      </c>
    </row>
    <row r="431" spans="1:19" x14ac:dyDescent="0.3">
      <c r="A431" t="s">
        <v>1451</v>
      </c>
      <c r="B431">
        <v>2022</v>
      </c>
      <c r="C431">
        <v>8.389404387650659</v>
      </c>
      <c r="D431">
        <v>235638.03541666671</v>
      </c>
      <c r="E431">
        <v>2293</v>
      </c>
      <c r="F431">
        <v>529</v>
      </c>
      <c r="G431">
        <v>3.6849130434400001E-4</v>
      </c>
      <c r="H431">
        <v>78</v>
      </c>
      <c r="I431">
        <v>5</v>
      </c>
      <c r="J431">
        <v>0.25500607686621268</v>
      </c>
      <c r="K431">
        <v>-8.8507438911655106E-2</v>
      </c>
      <c r="L431">
        <v>77228122.569014952</v>
      </c>
      <c r="M431" t="s">
        <v>348</v>
      </c>
      <c r="N431" t="s">
        <v>348</v>
      </c>
      <c r="O431" t="s">
        <v>356</v>
      </c>
      <c r="P431">
        <v>8930</v>
      </c>
      <c r="Q431">
        <v>3713</v>
      </c>
      <c r="R431">
        <v>5217</v>
      </c>
      <c r="S431" t="e">
        <f>#REF!/#REF!</f>
        <v>#REF!</v>
      </c>
    </row>
    <row r="432" spans="1:19" x14ac:dyDescent="0.3">
      <c r="A432" t="s">
        <v>1452</v>
      </c>
      <c r="B432">
        <v>2022</v>
      </c>
      <c r="C432">
        <v>34.769514979344542</v>
      </c>
      <c r="D432">
        <v>19478856.363664221</v>
      </c>
      <c r="E432">
        <v>42399</v>
      </c>
      <c r="F432">
        <v>2801</v>
      </c>
      <c r="G432">
        <v>1.441708908064E-4</v>
      </c>
      <c r="H432">
        <v>36</v>
      </c>
      <c r="I432">
        <v>92</v>
      </c>
      <c r="J432">
        <v>0.21501836502959251</v>
      </c>
      <c r="K432">
        <v>-7.6765222154999299E-2</v>
      </c>
      <c r="L432">
        <v>70817049.983287379</v>
      </c>
      <c r="M432" t="s">
        <v>348</v>
      </c>
      <c r="N432" t="s">
        <v>348</v>
      </c>
      <c r="O432" t="s">
        <v>348</v>
      </c>
      <c r="P432">
        <v>168676</v>
      </c>
      <c r="Q432">
        <v>119664</v>
      </c>
      <c r="R432">
        <v>49012</v>
      </c>
      <c r="S432" t="e">
        <f>#REF!/#REF!</f>
        <v>#REF!</v>
      </c>
    </row>
    <row r="433" spans="1:19" x14ac:dyDescent="0.3">
      <c r="A433" t="s">
        <v>1453</v>
      </c>
      <c r="B433">
        <v>2022</v>
      </c>
      <c r="C433">
        <v>15.30751365900349</v>
      </c>
      <c r="D433">
        <v>213587821.21654409</v>
      </c>
      <c r="E433">
        <v>13190</v>
      </c>
      <c r="F433">
        <v>31354</v>
      </c>
      <c r="G433">
        <v>2.1399320792392751E-5</v>
      </c>
      <c r="H433">
        <v>85</v>
      </c>
      <c r="I433">
        <v>441</v>
      </c>
      <c r="J433">
        <v>0.2723531593417462</v>
      </c>
      <c r="K433">
        <v>-0.13248575832976239</v>
      </c>
      <c r="L433">
        <v>1768389286.4875529</v>
      </c>
      <c r="M433" t="s">
        <v>406</v>
      </c>
      <c r="N433" t="s">
        <v>407</v>
      </c>
      <c r="O433" t="s">
        <v>407</v>
      </c>
      <c r="P433">
        <v>2651280</v>
      </c>
      <c r="Q433">
        <v>1910806</v>
      </c>
      <c r="R433">
        <v>740474</v>
      </c>
      <c r="S433" t="e">
        <f>#REF!/#REF!</f>
        <v>#REF!</v>
      </c>
    </row>
    <row r="434" spans="1:19" x14ac:dyDescent="0.3">
      <c r="A434" t="s">
        <v>1454</v>
      </c>
      <c r="B434">
        <v>2022</v>
      </c>
      <c r="C434">
        <v>2.2874671731043721</v>
      </c>
      <c r="D434">
        <v>6455803.984375</v>
      </c>
      <c r="E434">
        <v>7491</v>
      </c>
      <c r="F434">
        <v>2015</v>
      </c>
      <c r="G434">
        <v>8.6635940144367345E-5</v>
      </c>
      <c r="H434">
        <v>71</v>
      </c>
      <c r="I434">
        <v>26</v>
      </c>
      <c r="J434">
        <v>0.1191691413979676</v>
      </c>
      <c r="K434">
        <v>-0.211144840309899</v>
      </c>
      <c r="L434">
        <v>248319342.95368329</v>
      </c>
      <c r="M434" t="s">
        <v>612</v>
      </c>
      <c r="N434" t="s">
        <v>656</v>
      </c>
      <c r="O434" t="s">
        <v>658</v>
      </c>
      <c r="P434">
        <v>23270</v>
      </c>
      <c r="Q434">
        <v>3611</v>
      </c>
      <c r="R434">
        <v>19659</v>
      </c>
      <c r="S434" t="e">
        <f>#REF!/#REF!</f>
        <v>#REF!</v>
      </c>
    </row>
    <row r="435" spans="1:19" x14ac:dyDescent="0.3">
      <c r="A435" t="s">
        <v>1455</v>
      </c>
      <c r="B435">
        <v>2022</v>
      </c>
      <c r="C435">
        <v>3.211736584143261</v>
      </c>
      <c r="D435">
        <v>5702405.5128676472</v>
      </c>
      <c r="E435">
        <v>8264</v>
      </c>
      <c r="F435">
        <v>1873</v>
      </c>
      <c r="G435">
        <v>1.0277315171500001E-4</v>
      </c>
      <c r="H435">
        <v>69</v>
      </c>
      <c r="I435">
        <v>32</v>
      </c>
      <c r="J435">
        <v>0.10773746431222379</v>
      </c>
      <c r="K435">
        <v>-0.14456209012947649</v>
      </c>
      <c r="L435">
        <v>168504208.790838</v>
      </c>
      <c r="M435" t="s">
        <v>612</v>
      </c>
      <c r="N435" t="s">
        <v>656</v>
      </c>
      <c r="O435" t="s">
        <v>657</v>
      </c>
      <c r="P435">
        <v>26948</v>
      </c>
      <c r="Q435">
        <v>14933</v>
      </c>
      <c r="R435">
        <v>12015</v>
      </c>
      <c r="S435" t="e">
        <f>#REF!/#REF!</f>
        <v>#REF!</v>
      </c>
    </row>
    <row r="436" spans="1:19" x14ac:dyDescent="0.3">
      <c r="A436" t="s">
        <v>1456</v>
      </c>
      <c r="B436">
        <v>2022</v>
      </c>
      <c r="C436">
        <v>5.9134239351128581</v>
      </c>
      <c r="D436">
        <v>1458631.9277573531</v>
      </c>
      <c r="E436">
        <v>5126</v>
      </c>
      <c r="F436">
        <v>904</v>
      </c>
      <c r="G436">
        <v>2.82962615029E-4</v>
      </c>
      <c r="H436">
        <v>39</v>
      </c>
      <c r="I436">
        <v>6</v>
      </c>
      <c r="J436">
        <v>0.28866634981207212</v>
      </c>
      <c r="K436">
        <v>-0.1153687532733642</v>
      </c>
      <c r="L436">
        <v>104068120.41231801</v>
      </c>
      <c r="M436" t="s">
        <v>348</v>
      </c>
      <c r="N436" t="s">
        <v>396</v>
      </c>
      <c r="O436" t="s">
        <v>396</v>
      </c>
      <c r="P436">
        <v>21645</v>
      </c>
      <c r="Q436">
        <v>6907</v>
      </c>
      <c r="R436">
        <v>14738</v>
      </c>
      <c r="S436" t="e">
        <f>#REF!/#REF!</f>
        <v>#REF!</v>
      </c>
    </row>
    <row r="437" spans="1:19" x14ac:dyDescent="0.3">
      <c r="A437" t="s">
        <v>1457</v>
      </c>
      <c r="B437">
        <v>2022</v>
      </c>
      <c r="C437">
        <v>0.82165576702524268</v>
      </c>
      <c r="D437">
        <v>491752.10477941169</v>
      </c>
      <c r="E437">
        <v>1218</v>
      </c>
      <c r="F437">
        <v>240</v>
      </c>
      <c r="G437">
        <v>4.4393442420149999E-4</v>
      </c>
      <c r="H437">
        <v>56</v>
      </c>
      <c r="I437">
        <v>7</v>
      </c>
      <c r="J437">
        <v>0.24769713990668071</v>
      </c>
      <c r="K437">
        <v>-2.4461698076561601E-2</v>
      </c>
      <c r="L437">
        <v>191192605.27642411</v>
      </c>
      <c r="M437" t="s">
        <v>348</v>
      </c>
      <c r="N437" t="s">
        <v>372</v>
      </c>
      <c r="O437" t="s">
        <v>377</v>
      </c>
      <c r="P437">
        <v>4992</v>
      </c>
      <c r="Q437">
        <v>309</v>
      </c>
      <c r="R437">
        <v>4683</v>
      </c>
      <c r="S437" t="e">
        <f>#REF!/#REF!</f>
        <v>#REF!</v>
      </c>
    </row>
    <row r="438" spans="1:19" x14ac:dyDescent="0.3">
      <c r="A438" t="s">
        <v>1458</v>
      </c>
      <c r="B438">
        <v>2022</v>
      </c>
      <c r="C438">
        <v>3.9955812214478108</v>
      </c>
      <c r="D438">
        <v>34165311.471139707</v>
      </c>
      <c r="E438">
        <v>22001</v>
      </c>
      <c r="F438">
        <v>4403</v>
      </c>
      <c r="G438">
        <v>5.4022104712526822E-5</v>
      </c>
      <c r="H438">
        <v>122</v>
      </c>
      <c r="I438">
        <v>27</v>
      </c>
      <c r="J438">
        <v>0.21551785280642061</v>
      </c>
      <c r="K438">
        <v>-0.2530815818787901</v>
      </c>
      <c r="L438">
        <v>598650570.34879041</v>
      </c>
      <c r="M438" t="s">
        <v>612</v>
      </c>
      <c r="N438" t="s">
        <v>645</v>
      </c>
      <c r="O438" t="s">
        <v>645</v>
      </c>
      <c r="P438">
        <v>96831</v>
      </c>
      <c r="Q438">
        <v>21148</v>
      </c>
      <c r="R438">
        <v>75683</v>
      </c>
      <c r="S438" t="e">
        <f>#REF!/#REF!</f>
        <v>#REF!</v>
      </c>
    </row>
    <row r="439" spans="1:19" x14ac:dyDescent="0.3">
      <c r="A439" t="s">
        <v>1459</v>
      </c>
      <c r="B439">
        <v>2022</v>
      </c>
      <c r="C439">
        <v>0.7608616964339936</v>
      </c>
      <c r="D439">
        <v>1489926.234375</v>
      </c>
      <c r="E439">
        <v>1083</v>
      </c>
      <c r="F439">
        <v>885</v>
      </c>
      <c r="G439">
        <v>5.7616546652005887E-5</v>
      </c>
      <c r="H439">
        <v>113</v>
      </c>
      <c r="I439">
        <v>21</v>
      </c>
      <c r="J439">
        <v>0.4076625337483531</v>
      </c>
      <c r="K439">
        <v>-0.19767087616936829</v>
      </c>
      <c r="L439">
        <v>986421810.18037856</v>
      </c>
      <c r="M439" t="s">
        <v>612</v>
      </c>
      <c r="N439" t="s">
        <v>632</v>
      </c>
      <c r="O439" t="s">
        <v>632</v>
      </c>
      <c r="P439">
        <v>20170</v>
      </c>
      <c r="Q439">
        <v>3332</v>
      </c>
      <c r="R439">
        <v>16838</v>
      </c>
      <c r="S439" t="e">
        <f>#REF!/#REF!</f>
        <v>#REF!</v>
      </c>
    </row>
    <row r="440" spans="1:19" x14ac:dyDescent="0.3">
      <c r="A440" t="s">
        <v>1460</v>
      </c>
      <c r="B440">
        <v>2022</v>
      </c>
      <c r="C440">
        <v>1.5082426213611519</v>
      </c>
      <c r="D440">
        <v>496625.328125</v>
      </c>
      <c r="E440">
        <v>2118</v>
      </c>
      <c r="F440">
        <v>199</v>
      </c>
      <c r="G440">
        <v>1.3646166558663E-3</v>
      </c>
      <c r="H440">
        <v>34</v>
      </c>
      <c r="I440">
        <v>5</v>
      </c>
      <c r="J440">
        <v>0.16860256120954201</v>
      </c>
      <c r="K440">
        <v>1.8433148578374199E-2</v>
      </c>
      <c r="L440">
        <v>142533824.0558745</v>
      </c>
      <c r="M440" t="s">
        <v>348</v>
      </c>
      <c r="N440" t="s">
        <v>372</v>
      </c>
      <c r="O440" t="s">
        <v>372</v>
      </c>
      <c r="P440">
        <v>8747</v>
      </c>
      <c r="Q440">
        <v>1233</v>
      </c>
      <c r="R440">
        <v>7514</v>
      </c>
      <c r="S440" t="e">
        <f>#REF!/#REF!</f>
        <v>#REF!</v>
      </c>
    </row>
    <row r="441" spans="1:19" x14ac:dyDescent="0.3">
      <c r="A441" t="s">
        <v>1461</v>
      </c>
      <c r="B441">
        <v>2022</v>
      </c>
      <c r="C441">
        <v>3.6385017436700848</v>
      </c>
      <c r="D441">
        <v>5263854.6624999996</v>
      </c>
      <c r="E441">
        <v>12019</v>
      </c>
      <c r="F441">
        <v>3259</v>
      </c>
      <c r="G441">
        <v>6.6865342567574897E-5</v>
      </c>
      <c r="H441">
        <v>226</v>
      </c>
      <c r="I441">
        <v>52</v>
      </c>
      <c r="J441">
        <v>0.1920908888816017</v>
      </c>
      <c r="K441">
        <v>-0.22845774309523861</v>
      </c>
      <c r="L441">
        <v>278587073.38175052</v>
      </c>
      <c r="M441" t="s">
        <v>612</v>
      </c>
      <c r="N441" t="s">
        <v>405</v>
      </c>
      <c r="O441" t="s">
        <v>405</v>
      </c>
      <c r="P441">
        <v>42684</v>
      </c>
      <c r="Q441">
        <v>20555</v>
      </c>
      <c r="R441">
        <v>22129</v>
      </c>
      <c r="S441" t="e">
        <f>#REF!/#REF!</f>
        <v>#REF!</v>
      </c>
    </row>
    <row r="442" spans="1:19" x14ac:dyDescent="0.3">
      <c r="A442" t="s">
        <v>1462</v>
      </c>
      <c r="B442">
        <v>2022</v>
      </c>
      <c r="C442">
        <v>0.93935701496553159</v>
      </c>
      <c r="D442">
        <v>1946.39068627451</v>
      </c>
      <c r="E442">
        <v>6</v>
      </c>
      <c r="F442">
        <v>216</v>
      </c>
      <c r="G442">
        <v>2.0849916542360001E-4</v>
      </c>
      <c r="H442">
        <v>12</v>
      </c>
      <c r="I442">
        <v>2</v>
      </c>
      <c r="J442">
        <v>0.36361917133115651</v>
      </c>
      <c r="K442">
        <v>-0.3215772669179896</v>
      </c>
      <c r="L442">
        <v>180906927.25762519</v>
      </c>
      <c r="M442" t="s">
        <v>232</v>
      </c>
      <c r="N442" t="s">
        <v>244</v>
      </c>
      <c r="O442" t="s">
        <v>253</v>
      </c>
      <c r="P442">
        <v>8530</v>
      </c>
      <c r="Q442">
        <v>773</v>
      </c>
      <c r="R442">
        <v>7757</v>
      </c>
      <c r="S442" t="e">
        <f>#REF!/#REF!</f>
        <v>#REF!</v>
      </c>
    </row>
    <row r="443" spans="1:19" x14ac:dyDescent="0.3">
      <c r="A443" t="s">
        <v>1463</v>
      </c>
      <c r="B443">
        <v>2022</v>
      </c>
      <c r="C443">
        <v>10.303970663473191</v>
      </c>
      <c r="D443">
        <v>43895892.055024512</v>
      </c>
      <c r="E443">
        <v>51099</v>
      </c>
      <c r="F443">
        <v>6689</v>
      </c>
      <c r="G443">
        <v>4.6960328127408177E-5</v>
      </c>
      <c r="H443">
        <v>132</v>
      </c>
      <c r="I443">
        <v>149</v>
      </c>
      <c r="J443">
        <v>0.2310238205776807</v>
      </c>
      <c r="K443">
        <v>-0.2579888785410574</v>
      </c>
      <c r="L443">
        <v>415361757.8346622</v>
      </c>
      <c r="M443" t="s">
        <v>612</v>
      </c>
      <c r="N443" t="s">
        <v>613</v>
      </c>
      <c r="O443" t="s">
        <v>613</v>
      </c>
      <c r="P443">
        <v>252044</v>
      </c>
      <c r="Q443">
        <v>174246</v>
      </c>
      <c r="R443">
        <v>77798</v>
      </c>
      <c r="S443" t="e">
        <f>#REF!/#REF!</f>
        <v>#REF!</v>
      </c>
    </row>
    <row r="444" spans="1:19" x14ac:dyDescent="0.3">
      <c r="A444" t="s">
        <v>1464</v>
      </c>
      <c r="B444">
        <v>2022</v>
      </c>
      <c r="C444">
        <v>3.062199922562975</v>
      </c>
      <c r="D444">
        <v>993148.828125</v>
      </c>
      <c r="E444">
        <v>5141</v>
      </c>
      <c r="F444">
        <v>581</v>
      </c>
      <c r="G444">
        <v>3.574322862474E-4</v>
      </c>
      <c r="H444">
        <v>64</v>
      </c>
      <c r="I444">
        <v>19</v>
      </c>
      <c r="J444">
        <v>0.3367020870661202</v>
      </c>
      <c r="K444">
        <v>-0.220683660838422</v>
      </c>
      <c r="L444">
        <v>120865842.4380302</v>
      </c>
      <c r="M444" t="s">
        <v>612</v>
      </c>
      <c r="N444" t="s">
        <v>613</v>
      </c>
      <c r="O444" t="s">
        <v>72</v>
      </c>
      <c r="P444">
        <v>16848</v>
      </c>
      <c r="Q444">
        <v>1955</v>
      </c>
      <c r="R444">
        <v>14893</v>
      </c>
      <c r="S444" t="e">
        <f>#REF!/#REF!</f>
        <v>#REF!</v>
      </c>
    </row>
    <row r="445" spans="1:19" x14ac:dyDescent="0.3">
      <c r="A445" t="s">
        <v>1465</v>
      </c>
      <c r="B445">
        <v>2022</v>
      </c>
      <c r="C445">
        <v>1.202354706970103</v>
      </c>
      <c r="D445">
        <v>496570.09375</v>
      </c>
      <c r="E445">
        <v>2311</v>
      </c>
      <c r="F445">
        <v>300</v>
      </c>
      <c r="G445">
        <v>3.9493818663059998E-4</v>
      </c>
      <c r="H445">
        <v>43</v>
      </c>
      <c r="I445">
        <v>12</v>
      </c>
      <c r="J445">
        <v>0.3341494250628132</v>
      </c>
      <c r="K445">
        <v>-0.17343771237473221</v>
      </c>
      <c r="L445">
        <v>139082614.8431758</v>
      </c>
      <c r="M445" t="s">
        <v>612</v>
      </c>
      <c r="N445" t="s">
        <v>613</v>
      </c>
      <c r="O445" t="s">
        <v>618</v>
      </c>
      <c r="P445">
        <v>8180</v>
      </c>
      <c r="Q445">
        <v>505</v>
      </c>
      <c r="R445">
        <v>7675</v>
      </c>
      <c r="S445" t="e">
        <f>#REF!/#REF!</f>
        <v>#REF!</v>
      </c>
    </row>
    <row r="446" spans="1:19" x14ac:dyDescent="0.3">
      <c r="A446" t="s">
        <v>1466</v>
      </c>
      <c r="B446">
        <v>2022</v>
      </c>
      <c r="C446">
        <v>4.2656221073792544</v>
      </c>
      <c r="D446">
        <v>4868.6222426470586</v>
      </c>
      <c r="E446">
        <v>286</v>
      </c>
      <c r="F446">
        <v>213</v>
      </c>
      <c r="G446">
        <v>1.1640837098405999E-3</v>
      </c>
      <c r="H446">
        <v>15</v>
      </c>
      <c r="I446">
        <v>1</v>
      </c>
      <c r="L446">
        <v>18407692.516123399</v>
      </c>
      <c r="M446" t="s">
        <v>191</v>
      </c>
      <c r="N446" t="s">
        <v>192</v>
      </c>
      <c r="O446" t="s">
        <v>196</v>
      </c>
      <c r="P446">
        <v>2467</v>
      </c>
      <c r="Q446">
        <v>1481</v>
      </c>
      <c r="R446">
        <v>986</v>
      </c>
      <c r="S446" t="e">
        <f>#REF!/#REF!</f>
        <v>#REF!</v>
      </c>
    </row>
    <row r="447" spans="1:19" x14ac:dyDescent="0.3">
      <c r="A447" t="s">
        <v>1467</v>
      </c>
      <c r="B447">
        <v>2022</v>
      </c>
      <c r="C447">
        <v>1.0046101769521381</v>
      </c>
      <c r="D447">
        <v>18502.46078431372</v>
      </c>
      <c r="E447">
        <v>30</v>
      </c>
      <c r="F447">
        <v>910</v>
      </c>
      <c r="G447">
        <v>7.3338342493053485E-5</v>
      </c>
      <c r="H447">
        <v>9</v>
      </c>
      <c r="I447">
        <v>8</v>
      </c>
      <c r="J447">
        <v>0.48695999231545101</v>
      </c>
      <c r="K447">
        <v>-0.21940821107218109</v>
      </c>
      <c r="L447">
        <v>695708834.03387284</v>
      </c>
      <c r="M447" t="s">
        <v>652</v>
      </c>
      <c r="N447" t="s">
        <v>829</v>
      </c>
      <c r="O447" t="s">
        <v>829</v>
      </c>
      <c r="P447">
        <v>25043</v>
      </c>
      <c r="Q447">
        <v>8237</v>
      </c>
      <c r="R447">
        <v>16806</v>
      </c>
      <c r="S447" t="e">
        <f>#REF!/#REF!</f>
        <v>#REF!</v>
      </c>
    </row>
    <row r="448" spans="1:19" x14ac:dyDescent="0.3">
      <c r="A448" t="s">
        <v>1468</v>
      </c>
      <c r="B448">
        <v>2022</v>
      </c>
      <c r="C448">
        <v>0.99033179907850444</v>
      </c>
      <c r="D448">
        <v>1489949.28125</v>
      </c>
      <c r="E448">
        <v>4872</v>
      </c>
      <c r="F448">
        <v>1904</v>
      </c>
      <c r="G448">
        <v>6.4031141018292676E-5</v>
      </c>
      <c r="H448">
        <v>116</v>
      </c>
      <c r="I448">
        <v>41</v>
      </c>
      <c r="J448">
        <v>0.22705526677367091</v>
      </c>
      <c r="K448">
        <v>-0.1916345278005907</v>
      </c>
      <c r="L448">
        <v>568072935.45889437</v>
      </c>
      <c r="M448" t="s">
        <v>612</v>
      </c>
      <c r="N448" t="s">
        <v>671</v>
      </c>
      <c r="O448" t="s">
        <v>671</v>
      </c>
      <c r="P448">
        <v>16568</v>
      </c>
      <c r="Q448">
        <v>5414</v>
      </c>
      <c r="R448">
        <v>11154</v>
      </c>
      <c r="S448" t="e">
        <f>#REF!/#REF!</f>
        <v>#REF!</v>
      </c>
    </row>
    <row r="449" spans="1:19" x14ac:dyDescent="0.3">
      <c r="A449" t="s">
        <v>1469</v>
      </c>
      <c r="B449">
        <v>2022</v>
      </c>
      <c r="C449">
        <v>0.99404056306395405</v>
      </c>
      <c r="D449">
        <v>744907.984375</v>
      </c>
      <c r="E449">
        <v>3641</v>
      </c>
      <c r="F449">
        <v>1278</v>
      </c>
      <c r="G449">
        <v>1.0711960846949999E-4</v>
      </c>
      <c r="H449">
        <v>114</v>
      </c>
      <c r="I449">
        <v>32</v>
      </c>
      <c r="J449">
        <v>0.37518908694362391</v>
      </c>
      <c r="K449">
        <v>-0.29182247289940189</v>
      </c>
      <c r="L449">
        <v>206220877.80385321</v>
      </c>
      <c r="M449" t="s">
        <v>612</v>
      </c>
      <c r="N449" t="s">
        <v>622</v>
      </c>
      <c r="O449" t="s">
        <v>624</v>
      </c>
      <c r="P449">
        <v>11132</v>
      </c>
      <c r="Q449">
        <v>776</v>
      </c>
      <c r="R449">
        <v>10356</v>
      </c>
      <c r="S449" t="e">
        <f>#REF!/#REF!</f>
        <v>#REF!</v>
      </c>
    </row>
    <row r="450" spans="1:19" x14ac:dyDescent="0.3">
      <c r="A450" t="s">
        <v>1470</v>
      </c>
      <c r="B450">
        <v>2022</v>
      </c>
      <c r="C450">
        <v>0.69433415758294281</v>
      </c>
      <c r="D450">
        <v>248325.625</v>
      </c>
      <c r="E450">
        <v>1668</v>
      </c>
      <c r="F450">
        <v>611</v>
      </c>
      <c r="G450">
        <v>1.6697250340080001E-4</v>
      </c>
      <c r="H450">
        <v>87</v>
      </c>
      <c r="I450">
        <v>34</v>
      </c>
      <c r="J450">
        <v>0.34450698138181762</v>
      </c>
      <c r="K450">
        <v>-0.24795127841476891</v>
      </c>
      <c r="L450">
        <v>231323090.891729</v>
      </c>
      <c r="M450" t="s">
        <v>612</v>
      </c>
      <c r="N450" t="s">
        <v>665</v>
      </c>
      <c r="O450" t="s">
        <v>667</v>
      </c>
      <c r="P450">
        <v>6135</v>
      </c>
      <c r="Q450">
        <v>209</v>
      </c>
      <c r="R450">
        <v>5926</v>
      </c>
      <c r="S450" t="e">
        <f>#REF!/#REF!</f>
        <v>#REF!</v>
      </c>
    </row>
    <row r="451" spans="1:19" x14ac:dyDescent="0.3">
      <c r="A451" t="s">
        <v>1471</v>
      </c>
      <c r="B451">
        <v>2022</v>
      </c>
      <c r="C451">
        <v>1.996044867653386</v>
      </c>
      <c r="D451">
        <v>2483036.09375</v>
      </c>
      <c r="E451">
        <v>9688</v>
      </c>
      <c r="F451">
        <v>2457</v>
      </c>
      <c r="G451">
        <v>6.8080640062677107E-5</v>
      </c>
      <c r="H451">
        <v>163</v>
      </c>
      <c r="I451">
        <v>57</v>
      </c>
      <c r="J451">
        <v>0.1100744791313787</v>
      </c>
      <c r="K451">
        <v>-0.18376665602080369</v>
      </c>
      <c r="L451">
        <v>248055289.69217429</v>
      </c>
      <c r="M451" t="s">
        <v>612</v>
      </c>
      <c r="N451" t="s">
        <v>659</v>
      </c>
      <c r="O451" t="s">
        <v>659</v>
      </c>
      <c r="P451">
        <v>31306</v>
      </c>
      <c r="Q451">
        <v>12525</v>
      </c>
      <c r="R451">
        <v>18781</v>
      </c>
      <c r="S451" t="e">
        <f>#REF!/#REF!</f>
        <v>#REF!</v>
      </c>
    </row>
    <row r="452" spans="1:19" x14ac:dyDescent="0.3">
      <c r="A452" t="s">
        <v>1472</v>
      </c>
      <c r="B452">
        <v>2022</v>
      </c>
      <c r="C452">
        <v>0.53747005077454224</v>
      </c>
      <c r="D452">
        <v>496233.28125</v>
      </c>
      <c r="E452">
        <v>2325</v>
      </c>
      <c r="F452">
        <v>353</v>
      </c>
      <c r="G452">
        <v>3.930771947269E-4</v>
      </c>
      <c r="H452">
        <v>25</v>
      </c>
      <c r="I452">
        <v>4</v>
      </c>
      <c r="J452">
        <v>0.60858717217612179</v>
      </c>
      <c r="K452">
        <v>-0.25345862570576472</v>
      </c>
      <c r="L452">
        <v>1326085100.118645</v>
      </c>
      <c r="M452" t="s">
        <v>674</v>
      </c>
      <c r="N452" t="s">
        <v>719</v>
      </c>
      <c r="O452" t="s">
        <v>719</v>
      </c>
      <c r="P452">
        <v>7812</v>
      </c>
      <c r="Q452">
        <v>796</v>
      </c>
      <c r="R452">
        <v>7016</v>
      </c>
      <c r="S452" t="e">
        <f>#REF!/#REF!</f>
        <v>#REF!</v>
      </c>
    </row>
    <row r="453" spans="1:19" x14ac:dyDescent="0.3">
      <c r="A453" t="s">
        <v>1473</v>
      </c>
      <c r="B453">
        <v>2022</v>
      </c>
      <c r="C453">
        <v>0.87138714119240246</v>
      </c>
      <c r="D453">
        <v>993281.453125</v>
      </c>
      <c r="E453">
        <v>5003</v>
      </c>
      <c r="F453">
        <v>1301</v>
      </c>
      <c r="G453">
        <v>9.1330597671794998E-5</v>
      </c>
      <c r="H453">
        <v>118</v>
      </c>
      <c r="I453">
        <v>40</v>
      </c>
      <c r="J453">
        <v>0.20948667966879739</v>
      </c>
      <c r="K453">
        <v>-0.23285108618725081</v>
      </c>
      <c r="L453">
        <v>276164275.21635699</v>
      </c>
      <c r="M453" t="s">
        <v>612</v>
      </c>
      <c r="N453" t="s">
        <v>656</v>
      </c>
      <c r="O453" t="s">
        <v>176</v>
      </c>
      <c r="P453">
        <v>12196</v>
      </c>
      <c r="Q453">
        <v>2697</v>
      </c>
      <c r="R453">
        <v>9499</v>
      </c>
      <c r="S453" t="e">
        <f>#REF!/#REF!</f>
        <v>#REF!</v>
      </c>
    </row>
    <row r="454" spans="1:19" x14ac:dyDescent="0.3">
      <c r="A454" t="s">
        <v>1474</v>
      </c>
      <c r="B454">
        <v>2022</v>
      </c>
      <c r="C454">
        <v>1.274496663477785</v>
      </c>
      <c r="D454">
        <v>993178.34375</v>
      </c>
      <c r="E454">
        <v>4069</v>
      </c>
      <c r="F454">
        <v>745</v>
      </c>
      <c r="G454">
        <v>2.0306895778629999E-4</v>
      </c>
      <c r="H454">
        <v>72</v>
      </c>
      <c r="I454">
        <v>48</v>
      </c>
      <c r="J454">
        <v>0.2895511482742294</v>
      </c>
      <c r="K454">
        <v>-0.21943060274778689</v>
      </c>
      <c r="L454">
        <v>266969524.63654509</v>
      </c>
      <c r="M454" t="s">
        <v>612</v>
      </c>
      <c r="N454" t="s">
        <v>642</v>
      </c>
      <c r="O454" t="s">
        <v>642</v>
      </c>
      <c r="P454">
        <v>22323</v>
      </c>
      <c r="Q454">
        <v>5487</v>
      </c>
      <c r="R454">
        <v>16836</v>
      </c>
      <c r="S454" t="e">
        <f>#REF!/#REF!</f>
        <v>#REF!</v>
      </c>
    </row>
    <row r="455" spans="1:19" x14ac:dyDescent="0.3">
      <c r="A455" t="s">
        <v>1475</v>
      </c>
      <c r="B455">
        <v>2022</v>
      </c>
      <c r="C455">
        <v>1.23063515622635</v>
      </c>
      <c r="D455">
        <v>252192.4244485294</v>
      </c>
      <c r="E455">
        <v>464</v>
      </c>
      <c r="F455">
        <v>917</v>
      </c>
      <c r="G455">
        <v>9.9131310382077838E-5</v>
      </c>
      <c r="H455">
        <v>22</v>
      </c>
      <c r="I455">
        <v>22</v>
      </c>
      <c r="J455">
        <v>0.57910734499844796</v>
      </c>
      <c r="K455">
        <v>-0.27473659570265868</v>
      </c>
      <c r="L455">
        <v>969553202.89237964</v>
      </c>
      <c r="M455" t="s">
        <v>586</v>
      </c>
      <c r="N455" t="s">
        <v>609</v>
      </c>
      <c r="O455" t="s">
        <v>609</v>
      </c>
      <c r="P455">
        <v>51496</v>
      </c>
      <c r="Q455">
        <v>9130</v>
      </c>
      <c r="R455">
        <v>42366</v>
      </c>
      <c r="S455" t="e">
        <f>#REF!/#REF!</f>
        <v>#REF!</v>
      </c>
    </row>
    <row r="456" spans="1:19" x14ac:dyDescent="0.3">
      <c r="A456" t="s">
        <v>1476</v>
      </c>
      <c r="B456">
        <v>2022</v>
      </c>
      <c r="C456">
        <v>0.6638483458178237</v>
      </c>
      <c r="D456">
        <v>496641.046875</v>
      </c>
      <c r="E456">
        <v>4104</v>
      </c>
      <c r="F456">
        <v>1361</v>
      </c>
      <c r="G456">
        <v>9.2626851236916083E-5</v>
      </c>
      <c r="H456">
        <v>164</v>
      </c>
      <c r="I456">
        <v>33</v>
      </c>
      <c r="J456">
        <v>0.30252439511138529</v>
      </c>
      <c r="K456">
        <v>-0.28249601809067121</v>
      </c>
      <c r="L456">
        <v>335733536.44926882</v>
      </c>
      <c r="M456" t="s">
        <v>612</v>
      </c>
      <c r="N456" t="s">
        <v>622</v>
      </c>
      <c r="O456" t="s">
        <v>357</v>
      </c>
      <c r="P456">
        <v>6566</v>
      </c>
      <c r="Q456">
        <v>314</v>
      </c>
      <c r="R456">
        <v>6252</v>
      </c>
      <c r="S456" t="e">
        <f>#REF!/#REF!</f>
        <v>#REF!</v>
      </c>
    </row>
    <row r="457" spans="1:19" x14ac:dyDescent="0.3">
      <c r="A457" t="s">
        <v>1477</v>
      </c>
      <c r="B457">
        <v>2022</v>
      </c>
      <c r="C457">
        <v>1.472909187058866</v>
      </c>
      <c r="D457">
        <v>10925573.53125</v>
      </c>
      <c r="E457">
        <v>18931</v>
      </c>
      <c r="F457">
        <v>4185</v>
      </c>
      <c r="G457">
        <v>2.9285951202797851E-5</v>
      </c>
      <c r="H457">
        <v>482</v>
      </c>
      <c r="I457">
        <v>89</v>
      </c>
      <c r="J457">
        <v>0.39114882527062639</v>
      </c>
      <c r="K457">
        <v>-0.20951237912787621</v>
      </c>
      <c r="L457">
        <v>805939691.99742532</v>
      </c>
      <c r="M457" t="s">
        <v>612</v>
      </c>
      <c r="N457" t="s">
        <v>622</v>
      </c>
      <c r="O457" t="s">
        <v>622</v>
      </c>
      <c r="P457">
        <v>76186</v>
      </c>
      <c r="Q457">
        <v>34704</v>
      </c>
      <c r="R457">
        <v>41482</v>
      </c>
      <c r="S457" t="e">
        <f>#REF!/#REF!</f>
        <v>#REF!</v>
      </c>
    </row>
    <row r="458" spans="1:19" x14ac:dyDescent="0.3">
      <c r="A458" t="s">
        <v>1478</v>
      </c>
      <c r="B458">
        <v>2022</v>
      </c>
      <c r="C458">
        <v>1.5004689620968961</v>
      </c>
      <c r="D458">
        <v>541420.49595588236</v>
      </c>
      <c r="E458">
        <v>5847</v>
      </c>
      <c r="F458">
        <v>1660</v>
      </c>
      <c r="G458">
        <v>1.098771738294E-4</v>
      </c>
      <c r="H458">
        <v>73</v>
      </c>
      <c r="I458">
        <v>33</v>
      </c>
      <c r="J458">
        <v>0.14980297508755619</v>
      </c>
      <c r="K458">
        <v>-0.19451917922458309</v>
      </c>
      <c r="L458">
        <v>337808720.50793481</v>
      </c>
      <c r="M458" t="s">
        <v>612</v>
      </c>
      <c r="N458" t="s">
        <v>91</v>
      </c>
      <c r="O458" t="s">
        <v>91</v>
      </c>
      <c r="P458">
        <v>16849</v>
      </c>
      <c r="Q458">
        <v>5923</v>
      </c>
      <c r="R458">
        <v>10926</v>
      </c>
      <c r="S458" t="e">
        <f>#REF!/#REF!</f>
        <v>#REF!</v>
      </c>
    </row>
    <row r="459" spans="1:19" x14ac:dyDescent="0.3">
      <c r="A459" t="s">
        <v>1479</v>
      </c>
      <c r="B459">
        <v>2022</v>
      </c>
      <c r="C459">
        <v>1.301271010498418</v>
      </c>
      <c r="D459">
        <v>2249543.1831495101</v>
      </c>
      <c r="E459">
        <v>8861</v>
      </c>
      <c r="F459">
        <v>1560</v>
      </c>
      <c r="G459">
        <v>1.003714286854E-4</v>
      </c>
      <c r="H459">
        <v>92</v>
      </c>
      <c r="I459">
        <v>26</v>
      </c>
      <c r="J459">
        <v>0.3594191099992583</v>
      </c>
      <c r="K459">
        <v>-0.1343282676422744</v>
      </c>
      <c r="L459">
        <v>696198926.3387481</v>
      </c>
      <c r="M459" t="s">
        <v>612</v>
      </c>
      <c r="N459" t="s">
        <v>665</v>
      </c>
      <c r="O459" t="s">
        <v>665</v>
      </c>
      <c r="P459">
        <v>43002</v>
      </c>
      <c r="Q459">
        <v>12239</v>
      </c>
      <c r="R459">
        <v>30763</v>
      </c>
      <c r="S459" t="e">
        <f>#REF!/#REF!</f>
        <v>#REF!</v>
      </c>
    </row>
    <row r="460" spans="1:19" x14ac:dyDescent="0.3">
      <c r="A460" t="s">
        <v>1480</v>
      </c>
      <c r="B460">
        <v>2022</v>
      </c>
      <c r="C460">
        <v>4.1175950060035724</v>
      </c>
      <c r="D460">
        <v>727443.44448529417</v>
      </c>
      <c r="E460">
        <v>3071</v>
      </c>
      <c r="F460">
        <v>7193</v>
      </c>
      <c r="G460">
        <v>4.3615855894067522E-5</v>
      </c>
      <c r="H460">
        <v>49</v>
      </c>
      <c r="I460">
        <v>195</v>
      </c>
      <c r="J460">
        <v>0.49847134607180588</v>
      </c>
      <c r="K460">
        <v>-0.24755369511196629</v>
      </c>
      <c r="L460">
        <v>1072857311.765041</v>
      </c>
      <c r="M460" t="s">
        <v>990</v>
      </c>
      <c r="N460" t="s">
        <v>991</v>
      </c>
      <c r="O460" t="s">
        <v>992</v>
      </c>
      <c r="P460">
        <v>371880</v>
      </c>
      <c r="Q460">
        <v>228236</v>
      </c>
      <c r="R460">
        <v>143644</v>
      </c>
      <c r="S460" t="e">
        <f>#REF!/#REF!</f>
        <v>#REF!</v>
      </c>
    </row>
    <row r="461" spans="1:19" x14ac:dyDescent="0.3">
      <c r="A461" t="s">
        <v>1481</v>
      </c>
      <c r="B461">
        <v>2022</v>
      </c>
      <c r="C461">
        <v>1.673393915534173</v>
      </c>
      <c r="D461">
        <v>8763.7433823529409</v>
      </c>
      <c r="E461">
        <v>537</v>
      </c>
      <c r="F461">
        <v>536</v>
      </c>
      <c r="G461">
        <v>2.3669789872169999E-4</v>
      </c>
      <c r="H461">
        <v>25</v>
      </c>
      <c r="I461">
        <v>7</v>
      </c>
      <c r="L461">
        <v>139670837.62026519</v>
      </c>
      <c r="M461" t="s">
        <v>191</v>
      </c>
      <c r="N461" t="s">
        <v>192</v>
      </c>
      <c r="O461" t="s">
        <v>200</v>
      </c>
      <c r="P461">
        <v>14881</v>
      </c>
      <c r="Q461">
        <v>5990</v>
      </c>
      <c r="R461">
        <v>8891</v>
      </c>
      <c r="S461" t="e">
        <f>#REF!/#REF!</f>
        <v>#REF!</v>
      </c>
    </row>
    <row r="462" spans="1:19" x14ac:dyDescent="0.3">
      <c r="A462" t="s">
        <v>1482</v>
      </c>
      <c r="B462">
        <v>2022</v>
      </c>
      <c r="C462">
        <v>0.68648751345152881</v>
      </c>
      <c r="D462">
        <v>973.8287990196078</v>
      </c>
      <c r="E462">
        <v>807</v>
      </c>
      <c r="F462">
        <v>117</v>
      </c>
      <c r="G462">
        <v>1.4624890081916999E-3</v>
      </c>
      <c r="H462">
        <v>15</v>
      </c>
      <c r="I462">
        <v>0</v>
      </c>
      <c r="J462">
        <v>0.67836690274583844</v>
      </c>
      <c r="K462">
        <v>-0.30203662988838959</v>
      </c>
      <c r="L462">
        <v>243119461.47969231</v>
      </c>
      <c r="M462" t="s">
        <v>922</v>
      </c>
      <c r="N462" t="s">
        <v>931</v>
      </c>
      <c r="O462" t="s">
        <v>931</v>
      </c>
      <c r="P462">
        <v>3542</v>
      </c>
      <c r="Q462">
        <v>1005</v>
      </c>
      <c r="R462">
        <v>2537</v>
      </c>
      <c r="S462" t="e">
        <f>#REF!/#REF!</f>
        <v>#REF!</v>
      </c>
    </row>
    <row r="463" spans="1:19" x14ac:dyDescent="0.3">
      <c r="A463" t="s">
        <v>1483</v>
      </c>
      <c r="B463">
        <v>2022</v>
      </c>
      <c r="C463">
        <v>3.0602513022400242</v>
      </c>
      <c r="D463">
        <v>0</v>
      </c>
      <c r="E463">
        <v>17</v>
      </c>
      <c r="F463">
        <v>233</v>
      </c>
      <c r="G463">
        <v>3.5389608849319999E-4</v>
      </c>
      <c r="H463">
        <v>14</v>
      </c>
      <c r="I463">
        <v>1</v>
      </c>
      <c r="J463">
        <v>0.5651846430296994</v>
      </c>
      <c r="K463">
        <v>-0.36512546521271549</v>
      </c>
      <c r="L463">
        <v>75087530.547706649</v>
      </c>
      <c r="M463" t="s">
        <v>20</v>
      </c>
      <c r="N463" t="s">
        <v>21</v>
      </c>
      <c r="O463" t="s">
        <v>23</v>
      </c>
      <c r="P463">
        <v>6455</v>
      </c>
      <c r="Q463">
        <v>2832</v>
      </c>
      <c r="R463">
        <v>3623</v>
      </c>
    </row>
    <row r="464" spans="1:19" x14ac:dyDescent="0.3">
      <c r="A464" t="s">
        <v>1484</v>
      </c>
      <c r="B464">
        <v>2022</v>
      </c>
      <c r="C464">
        <v>1.570451253403343</v>
      </c>
      <c r="D464">
        <v>0</v>
      </c>
      <c r="E464">
        <v>1</v>
      </c>
      <c r="F464">
        <v>214</v>
      </c>
      <c r="G464">
        <v>2.6972325810530002E-4</v>
      </c>
      <c r="H464">
        <v>34</v>
      </c>
      <c r="I464">
        <v>1</v>
      </c>
      <c r="J464">
        <v>0.54521137773070427</v>
      </c>
      <c r="K464">
        <v>-0.35670436348821899</v>
      </c>
      <c r="L464">
        <v>116932262.59844039</v>
      </c>
      <c r="M464" t="s">
        <v>20</v>
      </c>
      <c r="N464" t="s">
        <v>21</v>
      </c>
      <c r="O464" t="s">
        <v>32</v>
      </c>
      <c r="P464">
        <v>7318</v>
      </c>
      <c r="Q464">
        <v>1607</v>
      </c>
      <c r="R464">
        <v>5711</v>
      </c>
    </row>
    <row r="465" spans="1:18" x14ac:dyDescent="0.3">
      <c r="A465" t="s">
        <v>1485</v>
      </c>
      <c r="B465">
        <v>2022</v>
      </c>
      <c r="C465">
        <v>3.099877089127216</v>
      </c>
      <c r="D465">
        <v>0</v>
      </c>
      <c r="E465">
        <v>370</v>
      </c>
      <c r="F465">
        <v>508</v>
      </c>
      <c r="G465">
        <v>1.3976087433469999E-4</v>
      </c>
      <c r="H465">
        <v>31</v>
      </c>
      <c r="I465">
        <v>4</v>
      </c>
      <c r="J465">
        <v>0.5899385878350204</v>
      </c>
      <c r="K465">
        <v>-0.37874209814042459</v>
      </c>
      <c r="L465">
        <v>150843833.19003391</v>
      </c>
      <c r="M465" t="s">
        <v>20</v>
      </c>
      <c r="N465" t="s">
        <v>21</v>
      </c>
      <c r="O465" t="s">
        <v>39</v>
      </c>
      <c r="P465">
        <v>14144</v>
      </c>
      <c r="Q465">
        <v>7382</v>
      </c>
      <c r="R465">
        <v>6762</v>
      </c>
    </row>
    <row r="466" spans="1:18" x14ac:dyDescent="0.3">
      <c r="A466" t="s">
        <v>1486</v>
      </c>
      <c r="B466">
        <v>2022</v>
      </c>
      <c r="C466">
        <v>1.453943046269041</v>
      </c>
      <c r="D466">
        <v>0</v>
      </c>
      <c r="E466">
        <v>117</v>
      </c>
      <c r="F466">
        <v>323</v>
      </c>
      <c r="G466">
        <v>1.862539855214E-4</v>
      </c>
      <c r="H466">
        <v>18</v>
      </c>
      <c r="I466">
        <v>1</v>
      </c>
      <c r="J466">
        <v>0.59324862729522954</v>
      </c>
      <c r="K466">
        <v>-0.39138768774924959</v>
      </c>
      <c r="L466">
        <v>196096488.2647514</v>
      </c>
      <c r="M466" t="s">
        <v>20</v>
      </c>
      <c r="N466" t="s">
        <v>21</v>
      </c>
      <c r="O466" t="s">
        <v>42</v>
      </c>
      <c r="P466">
        <v>6654</v>
      </c>
      <c r="Q466">
        <v>2457</v>
      </c>
      <c r="R466">
        <v>4197</v>
      </c>
    </row>
    <row r="467" spans="1:18" x14ac:dyDescent="0.3">
      <c r="A467" t="s">
        <v>1487</v>
      </c>
      <c r="B467">
        <v>2022</v>
      </c>
      <c r="C467">
        <v>1.4272838985623779</v>
      </c>
      <c r="D467">
        <v>0</v>
      </c>
      <c r="E467">
        <v>222</v>
      </c>
      <c r="F467">
        <v>63</v>
      </c>
      <c r="G467">
        <v>1.1012096666359E-3</v>
      </c>
      <c r="H467">
        <v>1</v>
      </c>
      <c r="I467">
        <v>0</v>
      </c>
      <c r="J467">
        <v>0.59008196679938907</v>
      </c>
      <c r="K467">
        <v>-0.37675519694019738</v>
      </c>
      <c r="L467">
        <v>49493657.08358369</v>
      </c>
      <c r="M467" t="s">
        <v>20</v>
      </c>
      <c r="N467" t="s">
        <v>43</v>
      </c>
      <c r="O467" t="s">
        <v>45</v>
      </c>
      <c r="P467">
        <v>1058</v>
      </c>
      <c r="Q467">
        <v>716</v>
      </c>
      <c r="R467">
        <v>342</v>
      </c>
    </row>
    <row r="468" spans="1:18" x14ac:dyDescent="0.3">
      <c r="A468" t="s">
        <v>1488</v>
      </c>
      <c r="B468">
        <v>2022</v>
      </c>
      <c r="C468">
        <v>2.3588871591661449</v>
      </c>
      <c r="D468">
        <v>0</v>
      </c>
      <c r="E468">
        <v>1</v>
      </c>
      <c r="F468">
        <v>149</v>
      </c>
      <c r="G468">
        <v>5.1109007531300005E-4</v>
      </c>
      <c r="H468">
        <v>2</v>
      </c>
      <c r="I468">
        <v>0</v>
      </c>
      <c r="J468">
        <v>0.54354910079075847</v>
      </c>
      <c r="K468">
        <v>-0.33159596232960359</v>
      </c>
      <c r="L468">
        <v>52563529.797149137</v>
      </c>
      <c r="M468" t="s">
        <v>20</v>
      </c>
      <c r="N468" t="s">
        <v>46</v>
      </c>
      <c r="O468" t="s">
        <v>48</v>
      </c>
      <c r="P468">
        <v>4580</v>
      </c>
      <c r="Q468">
        <v>1732</v>
      </c>
      <c r="R468">
        <v>2848</v>
      </c>
    </row>
    <row r="469" spans="1:18" x14ac:dyDescent="0.3">
      <c r="A469" t="s">
        <v>1489</v>
      </c>
      <c r="B469">
        <v>2022</v>
      </c>
      <c r="C469">
        <v>1.0330303812747961</v>
      </c>
      <c r="D469">
        <v>0</v>
      </c>
      <c r="E469">
        <v>4</v>
      </c>
      <c r="F469">
        <v>127</v>
      </c>
      <c r="G469">
        <v>2.8901654699860002E-4</v>
      </c>
      <c r="H469">
        <v>14</v>
      </c>
      <c r="I469">
        <v>2</v>
      </c>
      <c r="J469">
        <v>0.51968482875769462</v>
      </c>
      <c r="K469">
        <v>-0.35124497706591251</v>
      </c>
      <c r="L469">
        <v>123826751.09540311</v>
      </c>
      <c r="M469" t="s">
        <v>20</v>
      </c>
      <c r="N469" t="s">
        <v>55</v>
      </c>
      <c r="O469" t="s">
        <v>58</v>
      </c>
      <c r="P469">
        <v>1310</v>
      </c>
      <c r="Q469">
        <v>604</v>
      </c>
      <c r="R469">
        <v>706</v>
      </c>
    </row>
    <row r="470" spans="1:18" x14ac:dyDescent="0.3">
      <c r="A470" t="s">
        <v>1490</v>
      </c>
      <c r="B470">
        <v>2022</v>
      </c>
      <c r="C470">
        <v>1.876107921597165</v>
      </c>
      <c r="D470">
        <v>0</v>
      </c>
      <c r="E470">
        <v>1</v>
      </c>
      <c r="F470">
        <v>130</v>
      </c>
      <c r="G470">
        <v>3.1308634561569998E-4</v>
      </c>
      <c r="H470">
        <v>15</v>
      </c>
      <c r="I470">
        <v>1</v>
      </c>
      <c r="J470">
        <v>0.58941179419792289</v>
      </c>
      <c r="K470">
        <v>-0.34516442484216348</v>
      </c>
      <c r="L470">
        <v>38730847.728334107</v>
      </c>
      <c r="M470" t="s">
        <v>20</v>
      </c>
      <c r="N470" t="s">
        <v>59</v>
      </c>
      <c r="O470" t="s">
        <v>60</v>
      </c>
      <c r="P470">
        <v>1911</v>
      </c>
      <c r="Q470">
        <v>1039</v>
      </c>
      <c r="R470">
        <v>872</v>
      </c>
    </row>
    <row r="471" spans="1:18" x14ac:dyDescent="0.3">
      <c r="A471" t="s">
        <v>1491</v>
      </c>
      <c r="B471">
        <v>2022</v>
      </c>
      <c r="C471">
        <v>0.90181085944711936</v>
      </c>
      <c r="D471">
        <v>0</v>
      </c>
      <c r="E471">
        <v>75</v>
      </c>
      <c r="F471">
        <v>409</v>
      </c>
      <c r="G471">
        <v>9.6384241748702197E-5</v>
      </c>
      <c r="H471">
        <v>32</v>
      </c>
      <c r="I471">
        <v>2</v>
      </c>
      <c r="J471">
        <v>0.54118364141426956</v>
      </c>
      <c r="K471">
        <v>-0.30444265339138948</v>
      </c>
      <c r="L471">
        <v>569922043.81420422</v>
      </c>
      <c r="M471" t="s">
        <v>20</v>
      </c>
      <c r="N471" t="s">
        <v>67</v>
      </c>
      <c r="O471" t="s">
        <v>67</v>
      </c>
      <c r="P471">
        <v>7976</v>
      </c>
      <c r="Q471">
        <v>2677</v>
      </c>
      <c r="R471">
        <v>5299</v>
      </c>
    </row>
    <row r="472" spans="1:18" x14ac:dyDescent="0.3">
      <c r="A472" t="s">
        <v>1492</v>
      </c>
      <c r="B472">
        <v>2022</v>
      </c>
      <c r="C472">
        <v>0.92411024115740559</v>
      </c>
      <c r="D472">
        <v>0</v>
      </c>
      <c r="E472">
        <v>4</v>
      </c>
      <c r="F472">
        <v>87</v>
      </c>
      <c r="G472">
        <v>5.2217982069890001E-4</v>
      </c>
      <c r="H472">
        <v>7</v>
      </c>
      <c r="I472">
        <v>1</v>
      </c>
      <c r="J472">
        <v>0.60165638072021876</v>
      </c>
      <c r="K472">
        <v>-0.32138739952350592</v>
      </c>
      <c r="L472">
        <v>68583013.997363567</v>
      </c>
      <c r="M472" t="s">
        <v>20</v>
      </c>
      <c r="N472" t="s">
        <v>67</v>
      </c>
      <c r="O472" t="s">
        <v>68</v>
      </c>
      <c r="P472">
        <v>1692</v>
      </c>
      <c r="Q472">
        <v>754</v>
      </c>
      <c r="R472">
        <v>938</v>
      </c>
    </row>
    <row r="473" spans="1:18" x14ac:dyDescent="0.3">
      <c r="A473" t="s">
        <v>1493</v>
      </c>
      <c r="B473">
        <v>2022</v>
      </c>
      <c r="C473">
        <v>0.7574741417535602</v>
      </c>
      <c r="D473">
        <v>0</v>
      </c>
      <c r="E473">
        <v>3</v>
      </c>
      <c r="F473">
        <v>152</v>
      </c>
      <c r="G473">
        <v>2.5749771697440002E-4</v>
      </c>
      <c r="H473">
        <v>10</v>
      </c>
      <c r="I473">
        <v>1</v>
      </c>
      <c r="J473">
        <v>0.52032745917983514</v>
      </c>
      <c r="K473">
        <v>-0.35177847019106839</v>
      </c>
      <c r="L473">
        <v>279257662.78823411</v>
      </c>
      <c r="M473" t="s">
        <v>20</v>
      </c>
      <c r="N473" t="s">
        <v>71</v>
      </c>
      <c r="O473" t="s">
        <v>74</v>
      </c>
      <c r="P473">
        <v>1849</v>
      </c>
      <c r="Q473">
        <v>372</v>
      </c>
      <c r="R473">
        <v>1477</v>
      </c>
    </row>
    <row r="474" spans="1:18" x14ac:dyDescent="0.3">
      <c r="A474" t="s">
        <v>1494</v>
      </c>
      <c r="B474">
        <v>2022</v>
      </c>
      <c r="C474">
        <v>0.8877778838993885</v>
      </c>
      <c r="D474">
        <v>0</v>
      </c>
      <c r="E474">
        <v>1</v>
      </c>
      <c r="F474">
        <v>108</v>
      </c>
      <c r="G474">
        <v>4.476131639673E-4</v>
      </c>
      <c r="H474">
        <v>8</v>
      </c>
      <c r="I474">
        <v>0</v>
      </c>
      <c r="J474">
        <v>0.58083021191269502</v>
      </c>
      <c r="K474">
        <v>-0.40772355546417938</v>
      </c>
      <c r="L474">
        <v>102407527.6951884</v>
      </c>
      <c r="M474" t="s">
        <v>20</v>
      </c>
      <c r="N474" t="s">
        <v>71</v>
      </c>
      <c r="O474" t="s">
        <v>75</v>
      </c>
      <c r="P474">
        <v>1618</v>
      </c>
      <c r="Q474">
        <v>631</v>
      </c>
      <c r="R474">
        <v>987</v>
      </c>
    </row>
    <row r="475" spans="1:18" x14ac:dyDescent="0.3">
      <c r="A475" t="s">
        <v>1495</v>
      </c>
      <c r="B475">
        <v>2022</v>
      </c>
      <c r="C475">
        <v>0.89032854753413582</v>
      </c>
      <c r="D475">
        <v>0</v>
      </c>
      <c r="E475">
        <v>3</v>
      </c>
      <c r="F475">
        <v>212</v>
      </c>
      <c r="G475">
        <v>1.9532165335170001E-4</v>
      </c>
      <c r="H475">
        <v>8</v>
      </c>
      <c r="I475">
        <v>0</v>
      </c>
      <c r="J475">
        <v>0.51852967420000884</v>
      </c>
      <c r="K475">
        <v>-0.3629590026580895</v>
      </c>
      <c r="L475">
        <v>232764146.46192491</v>
      </c>
      <c r="M475" t="s">
        <v>20</v>
      </c>
      <c r="N475" t="s">
        <v>76</v>
      </c>
      <c r="O475" t="s">
        <v>77</v>
      </c>
      <c r="P475">
        <v>2778</v>
      </c>
      <c r="Q475">
        <v>1301</v>
      </c>
      <c r="R475">
        <v>1477</v>
      </c>
    </row>
    <row r="476" spans="1:18" x14ac:dyDescent="0.3">
      <c r="A476" t="s">
        <v>1496</v>
      </c>
      <c r="B476">
        <v>2022</v>
      </c>
      <c r="C476">
        <v>3.263583287141596</v>
      </c>
      <c r="D476">
        <v>0</v>
      </c>
      <c r="E476">
        <v>8</v>
      </c>
      <c r="F476">
        <v>165</v>
      </c>
      <c r="G476">
        <v>4.2767628054589998E-4</v>
      </c>
      <c r="H476">
        <v>5</v>
      </c>
      <c r="I476">
        <v>0</v>
      </c>
      <c r="J476">
        <v>0.51517297942050033</v>
      </c>
      <c r="K476">
        <v>-0.35477730227720272</v>
      </c>
      <c r="L476">
        <v>35870937.380586907</v>
      </c>
      <c r="M476" t="s">
        <v>20</v>
      </c>
      <c r="N476" t="s">
        <v>76</v>
      </c>
      <c r="O476" t="s">
        <v>80</v>
      </c>
      <c r="P476">
        <v>3367</v>
      </c>
      <c r="Q476">
        <v>1317</v>
      </c>
      <c r="R476">
        <v>2050</v>
      </c>
    </row>
    <row r="477" spans="1:18" x14ac:dyDescent="0.3">
      <c r="A477" t="s">
        <v>1497</v>
      </c>
      <c r="B477">
        <v>2022</v>
      </c>
      <c r="C477">
        <v>1.315776250047946</v>
      </c>
      <c r="D477">
        <v>0</v>
      </c>
      <c r="E477">
        <v>1</v>
      </c>
      <c r="F477">
        <v>28</v>
      </c>
      <c r="G477">
        <v>3.4112409571507999E-3</v>
      </c>
      <c r="H477">
        <v>1</v>
      </c>
      <c r="I477">
        <v>0</v>
      </c>
      <c r="J477">
        <v>0.46825281357430198</v>
      </c>
      <c r="K477">
        <v>-0.31474302180975011</v>
      </c>
      <c r="L477">
        <v>29698857.679852571</v>
      </c>
      <c r="M477" t="s">
        <v>20</v>
      </c>
      <c r="N477" t="s">
        <v>85</v>
      </c>
      <c r="O477" t="s">
        <v>88</v>
      </c>
      <c r="P477">
        <v>1237</v>
      </c>
      <c r="Q477">
        <v>686</v>
      </c>
      <c r="R477">
        <v>551</v>
      </c>
    </row>
    <row r="478" spans="1:18" x14ac:dyDescent="0.3">
      <c r="A478" t="s">
        <v>1498</v>
      </c>
      <c r="B478">
        <v>2022</v>
      </c>
      <c r="C478">
        <v>1.006223018117482</v>
      </c>
      <c r="D478">
        <v>0</v>
      </c>
      <c r="E478">
        <v>4</v>
      </c>
      <c r="F478">
        <v>126</v>
      </c>
      <c r="G478">
        <v>4.5829466177370001E-4</v>
      </c>
      <c r="H478">
        <v>4</v>
      </c>
      <c r="I478">
        <v>0</v>
      </c>
      <c r="J478">
        <v>0.51460587279986647</v>
      </c>
      <c r="K478">
        <v>-0.1801707710840616</v>
      </c>
      <c r="L478">
        <v>179825394.06310409</v>
      </c>
      <c r="M478" t="s">
        <v>20</v>
      </c>
      <c r="N478" t="s">
        <v>92</v>
      </c>
      <c r="O478" t="s">
        <v>93</v>
      </c>
      <c r="P478">
        <v>892</v>
      </c>
      <c r="Q478">
        <v>491</v>
      </c>
      <c r="R478">
        <v>401</v>
      </c>
    </row>
    <row r="479" spans="1:18" x14ac:dyDescent="0.3">
      <c r="A479" t="s">
        <v>1499</v>
      </c>
      <c r="B479">
        <v>2022</v>
      </c>
      <c r="C479">
        <v>2.0525740091966571</v>
      </c>
      <c r="D479">
        <v>0</v>
      </c>
      <c r="E479">
        <v>57</v>
      </c>
      <c r="F479">
        <v>481</v>
      </c>
      <c r="G479">
        <v>1.5894281872809999E-4</v>
      </c>
      <c r="H479">
        <v>11</v>
      </c>
      <c r="I479">
        <v>3</v>
      </c>
      <c r="J479">
        <v>0.28033168140092879</v>
      </c>
      <c r="K479">
        <v>-0.1105217055302516</v>
      </c>
      <c r="L479">
        <v>214573362.90626651</v>
      </c>
      <c r="M479" t="s">
        <v>20</v>
      </c>
      <c r="N479" t="s">
        <v>96</v>
      </c>
      <c r="O479" t="s">
        <v>96</v>
      </c>
      <c r="P479">
        <v>22763</v>
      </c>
      <c r="Q479">
        <v>13835</v>
      </c>
      <c r="R479">
        <v>8928</v>
      </c>
    </row>
    <row r="480" spans="1:18" x14ac:dyDescent="0.3">
      <c r="A480" t="s">
        <v>1500</v>
      </c>
      <c r="B480">
        <v>2022</v>
      </c>
      <c r="C480">
        <v>0.62849420540334289</v>
      </c>
      <c r="D480">
        <v>0</v>
      </c>
      <c r="E480">
        <v>391</v>
      </c>
      <c r="F480">
        <v>337</v>
      </c>
      <c r="G480">
        <v>1.2817658209129999E-4</v>
      </c>
      <c r="H480">
        <v>7</v>
      </c>
      <c r="I480">
        <v>7</v>
      </c>
      <c r="J480">
        <v>0.39327292915588757</v>
      </c>
      <c r="K480">
        <v>-0.2080407583418126</v>
      </c>
      <c r="L480">
        <v>465787450.62656701</v>
      </c>
      <c r="M480" t="s">
        <v>97</v>
      </c>
      <c r="N480" t="s">
        <v>98</v>
      </c>
      <c r="O480" t="s">
        <v>101</v>
      </c>
      <c r="P480">
        <v>5877</v>
      </c>
      <c r="Q480">
        <v>1156</v>
      </c>
      <c r="R480">
        <v>4721</v>
      </c>
    </row>
    <row r="481" spans="1:18" x14ac:dyDescent="0.3">
      <c r="A481" t="s">
        <v>1501</v>
      </c>
      <c r="B481">
        <v>2022</v>
      </c>
      <c r="C481">
        <v>1.038829488549996</v>
      </c>
      <c r="D481">
        <v>0</v>
      </c>
      <c r="E481">
        <v>41</v>
      </c>
      <c r="F481">
        <v>80</v>
      </c>
      <c r="G481">
        <v>6.3523128623400003E-4</v>
      </c>
      <c r="H481">
        <v>6</v>
      </c>
      <c r="I481">
        <v>6</v>
      </c>
      <c r="J481">
        <v>0.41180338745534328</v>
      </c>
      <c r="K481">
        <v>-0.31283145870996032</v>
      </c>
      <c r="L481">
        <v>91682777.950775996</v>
      </c>
      <c r="M481" t="s">
        <v>97</v>
      </c>
      <c r="N481" t="s">
        <v>98</v>
      </c>
      <c r="O481" t="s">
        <v>102</v>
      </c>
      <c r="P481">
        <v>1769</v>
      </c>
      <c r="Q481">
        <v>521</v>
      </c>
      <c r="R481">
        <v>1248</v>
      </c>
    </row>
    <row r="482" spans="1:18" x14ac:dyDescent="0.3">
      <c r="A482" t="s">
        <v>1502</v>
      </c>
      <c r="B482">
        <v>2022</v>
      </c>
      <c r="C482">
        <v>1.19713474788395</v>
      </c>
      <c r="D482">
        <v>0</v>
      </c>
      <c r="E482">
        <v>21</v>
      </c>
      <c r="F482">
        <v>105</v>
      </c>
      <c r="G482">
        <v>4.0674364903639997E-4</v>
      </c>
      <c r="H482">
        <v>9</v>
      </c>
      <c r="I482">
        <v>12</v>
      </c>
      <c r="J482">
        <v>0.43216444592015008</v>
      </c>
      <c r="K482">
        <v>-0.33612247045203508</v>
      </c>
      <c r="L482">
        <v>83135499.040242612</v>
      </c>
      <c r="M482" t="s">
        <v>97</v>
      </c>
      <c r="N482" t="s">
        <v>98</v>
      </c>
      <c r="O482" t="s">
        <v>103</v>
      </c>
      <c r="P482">
        <v>4288</v>
      </c>
      <c r="Q482">
        <v>745</v>
      </c>
      <c r="R482">
        <v>3543</v>
      </c>
    </row>
    <row r="483" spans="1:18" x14ac:dyDescent="0.3">
      <c r="A483" t="s">
        <v>1503</v>
      </c>
      <c r="B483">
        <v>2022</v>
      </c>
      <c r="C483">
        <v>0.94586691222098762</v>
      </c>
      <c r="D483">
        <v>0</v>
      </c>
      <c r="E483">
        <v>7</v>
      </c>
      <c r="F483">
        <v>168</v>
      </c>
      <c r="G483">
        <v>2.2714221498009999E-4</v>
      </c>
      <c r="H483">
        <v>4</v>
      </c>
      <c r="I483">
        <v>14</v>
      </c>
      <c r="J483">
        <v>5.7246518609453297E-2</v>
      </c>
      <c r="K483">
        <v>3.46090052840538E-2</v>
      </c>
      <c r="L483">
        <v>187921348.9765386</v>
      </c>
      <c r="M483" t="s">
        <v>97</v>
      </c>
      <c r="N483" t="s">
        <v>98</v>
      </c>
      <c r="O483" t="s">
        <v>106</v>
      </c>
      <c r="P483">
        <v>7880</v>
      </c>
      <c r="Q483">
        <v>4123</v>
      </c>
      <c r="R483">
        <v>3757</v>
      </c>
    </row>
    <row r="484" spans="1:18" x14ac:dyDescent="0.3">
      <c r="A484" t="s">
        <v>1504</v>
      </c>
      <c r="B484">
        <v>2022</v>
      </c>
      <c r="C484">
        <v>0.94487437279464515</v>
      </c>
      <c r="D484">
        <v>0</v>
      </c>
      <c r="E484">
        <v>14</v>
      </c>
      <c r="F484">
        <v>367</v>
      </c>
      <c r="G484">
        <v>1.045898817682E-4</v>
      </c>
      <c r="H484">
        <v>8</v>
      </c>
      <c r="I484">
        <v>15</v>
      </c>
      <c r="J484">
        <v>0.44690126729541407</v>
      </c>
      <c r="K484">
        <v>-0.26114009524453241</v>
      </c>
      <c r="L484">
        <v>420616303.39218241</v>
      </c>
      <c r="M484" t="s">
        <v>97</v>
      </c>
      <c r="N484" t="s">
        <v>107</v>
      </c>
      <c r="O484" t="s">
        <v>107</v>
      </c>
      <c r="P484">
        <v>13827</v>
      </c>
      <c r="Q484">
        <v>3919</v>
      </c>
      <c r="R484">
        <v>9908</v>
      </c>
    </row>
    <row r="485" spans="1:18" x14ac:dyDescent="0.3">
      <c r="A485" t="s">
        <v>1505</v>
      </c>
      <c r="B485">
        <v>2022</v>
      </c>
      <c r="C485">
        <v>0.75490118964504904</v>
      </c>
      <c r="D485">
        <v>0</v>
      </c>
      <c r="E485">
        <v>129</v>
      </c>
      <c r="F485">
        <v>213</v>
      </c>
      <c r="G485">
        <v>2.2150338106100001E-4</v>
      </c>
      <c r="H485">
        <v>15</v>
      </c>
      <c r="I485">
        <v>8</v>
      </c>
      <c r="J485">
        <v>0.39037813095504448</v>
      </c>
      <c r="K485">
        <v>-0.18711499838047219</v>
      </c>
      <c r="L485">
        <v>249445864.86163729</v>
      </c>
      <c r="M485" t="s">
        <v>97</v>
      </c>
      <c r="N485" t="s">
        <v>107</v>
      </c>
      <c r="O485" t="s">
        <v>108</v>
      </c>
      <c r="P485">
        <v>5947</v>
      </c>
      <c r="Q485">
        <v>1650</v>
      </c>
      <c r="R485">
        <v>4297</v>
      </c>
    </row>
    <row r="486" spans="1:18" x14ac:dyDescent="0.3">
      <c r="A486" t="s">
        <v>1506</v>
      </c>
      <c r="B486">
        <v>2022</v>
      </c>
      <c r="C486">
        <v>1.568597099093004</v>
      </c>
      <c r="D486">
        <v>0</v>
      </c>
      <c r="E486">
        <v>7</v>
      </c>
      <c r="F486">
        <v>137</v>
      </c>
      <c r="G486">
        <v>3.7654608094059999E-4</v>
      </c>
      <c r="H486">
        <v>7</v>
      </c>
      <c r="I486">
        <v>12</v>
      </c>
      <c r="J486">
        <v>0.3930311021509118</v>
      </c>
      <c r="K486">
        <v>-0.32163586913776732</v>
      </c>
      <c r="L486">
        <v>43560677.468997233</v>
      </c>
      <c r="M486" t="s">
        <v>97</v>
      </c>
      <c r="N486" t="s">
        <v>109</v>
      </c>
      <c r="O486" t="s">
        <v>112</v>
      </c>
      <c r="P486">
        <v>2552</v>
      </c>
      <c r="Q486">
        <v>874</v>
      </c>
      <c r="R486">
        <v>1678</v>
      </c>
    </row>
    <row r="487" spans="1:18" x14ac:dyDescent="0.3">
      <c r="A487" t="s">
        <v>1507</v>
      </c>
      <c r="B487">
        <v>2022</v>
      </c>
      <c r="C487">
        <v>0.76353567246536103</v>
      </c>
      <c r="D487">
        <v>0</v>
      </c>
      <c r="E487">
        <v>1</v>
      </c>
      <c r="F487">
        <v>91</v>
      </c>
      <c r="G487">
        <v>2.231893761856E-4</v>
      </c>
      <c r="H487">
        <v>11</v>
      </c>
      <c r="I487">
        <v>4</v>
      </c>
      <c r="J487">
        <v>0.4223252419472347</v>
      </c>
      <c r="K487">
        <v>-0.23883353473226951</v>
      </c>
      <c r="L487">
        <v>166148906.11874551</v>
      </c>
      <c r="M487" t="s">
        <v>97</v>
      </c>
      <c r="N487" t="s">
        <v>109</v>
      </c>
      <c r="O487" t="s">
        <v>114</v>
      </c>
      <c r="P487">
        <v>3031</v>
      </c>
      <c r="Q487">
        <v>165</v>
      </c>
      <c r="R487">
        <v>2866</v>
      </c>
    </row>
    <row r="488" spans="1:18" x14ac:dyDescent="0.3">
      <c r="A488" t="s">
        <v>1508</v>
      </c>
      <c r="B488">
        <v>2022</v>
      </c>
      <c r="C488">
        <v>1.2097418849402559</v>
      </c>
      <c r="D488">
        <v>0</v>
      </c>
      <c r="E488">
        <v>151</v>
      </c>
      <c r="F488">
        <v>469</v>
      </c>
      <c r="G488">
        <v>1.8700408426719999E-4</v>
      </c>
      <c r="H488">
        <v>26</v>
      </c>
      <c r="I488">
        <v>39</v>
      </c>
      <c r="J488">
        <v>0.33613932768793481</v>
      </c>
      <c r="K488">
        <v>-0.16556835646761689</v>
      </c>
      <c r="L488">
        <v>244964876.26672199</v>
      </c>
      <c r="M488" t="s">
        <v>97</v>
      </c>
      <c r="N488" t="s">
        <v>115</v>
      </c>
      <c r="O488" t="s">
        <v>115</v>
      </c>
      <c r="P488">
        <v>14648</v>
      </c>
      <c r="Q488">
        <v>8256</v>
      </c>
      <c r="R488">
        <v>6392</v>
      </c>
    </row>
    <row r="489" spans="1:18" x14ac:dyDescent="0.3">
      <c r="A489" t="s">
        <v>1509</v>
      </c>
      <c r="B489">
        <v>2022</v>
      </c>
      <c r="C489">
        <v>0.98612605468608605</v>
      </c>
      <c r="D489">
        <v>0</v>
      </c>
      <c r="E489">
        <v>9</v>
      </c>
      <c r="F489">
        <v>89</v>
      </c>
      <c r="G489">
        <v>3.4328850383570002E-4</v>
      </c>
      <c r="H489">
        <v>6</v>
      </c>
      <c r="I489">
        <v>3</v>
      </c>
      <c r="J489">
        <v>0.44372581790663401</v>
      </c>
      <c r="K489">
        <v>-0.233382177718648</v>
      </c>
      <c r="L489">
        <v>113979768.5845288</v>
      </c>
      <c r="M489" t="s">
        <v>97</v>
      </c>
      <c r="N489" t="s">
        <v>116</v>
      </c>
      <c r="O489" t="s">
        <v>117</v>
      </c>
      <c r="P489">
        <v>2469</v>
      </c>
      <c r="Q489">
        <v>780</v>
      </c>
      <c r="R489">
        <v>1689</v>
      </c>
    </row>
    <row r="490" spans="1:18" x14ac:dyDescent="0.3">
      <c r="A490" t="s">
        <v>1510</v>
      </c>
      <c r="B490">
        <v>2022</v>
      </c>
      <c r="C490">
        <v>0.82537103158896663</v>
      </c>
      <c r="D490">
        <v>0</v>
      </c>
      <c r="E490">
        <v>12</v>
      </c>
      <c r="F490">
        <v>111</v>
      </c>
      <c r="G490">
        <v>2.5018742189839997E-4</v>
      </c>
      <c r="H490">
        <v>5</v>
      </c>
      <c r="I490">
        <v>12</v>
      </c>
      <c r="J490">
        <v>0.47851702842553051</v>
      </c>
      <c r="K490">
        <v>-0.28859228327066527</v>
      </c>
      <c r="L490">
        <v>138982892.7834312</v>
      </c>
      <c r="M490" t="s">
        <v>97</v>
      </c>
      <c r="N490" t="s">
        <v>116</v>
      </c>
      <c r="O490" t="s">
        <v>118</v>
      </c>
      <c r="P490">
        <v>2966</v>
      </c>
      <c r="Q490">
        <v>472</v>
      </c>
      <c r="R490">
        <v>2494</v>
      </c>
    </row>
    <row r="491" spans="1:18" x14ac:dyDescent="0.3">
      <c r="A491" t="s">
        <v>1511</v>
      </c>
      <c r="B491">
        <v>2022</v>
      </c>
      <c r="C491">
        <v>0.65474920311892937</v>
      </c>
      <c r="D491">
        <v>0</v>
      </c>
      <c r="E491">
        <v>11</v>
      </c>
      <c r="F491">
        <v>36</v>
      </c>
      <c r="G491">
        <v>5.4809512127649998E-4</v>
      </c>
      <c r="H491">
        <v>7</v>
      </c>
      <c r="I491">
        <v>3</v>
      </c>
      <c r="J491">
        <v>0.51337115040828751</v>
      </c>
      <c r="K491">
        <v>-0.2761384989768127</v>
      </c>
      <c r="L491">
        <v>84710239.412660152</v>
      </c>
      <c r="M491" t="s">
        <v>97</v>
      </c>
      <c r="N491" t="s">
        <v>116</v>
      </c>
      <c r="O491" t="s">
        <v>119</v>
      </c>
      <c r="P491">
        <v>1005</v>
      </c>
      <c r="Q491">
        <v>49</v>
      </c>
      <c r="R491">
        <v>956</v>
      </c>
    </row>
    <row r="492" spans="1:18" x14ac:dyDescent="0.3">
      <c r="A492" t="s">
        <v>1512</v>
      </c>
      <c r="B492">
        <v>2022</v>
      </c>
      <c r="C492">
        <v>1.0366782720314089</v>
      </c>
      <c r="D492">
        <v>0</v>
      </c>
      <c r="E492">
        <v>15</v>
      </c>
      <c r="F492">
        <v>134</v>
      </c>
      <c r="G492">
        <v>2.1972761576050001E-4</v>
      </c>
      <c r="H492">
        <v>7</v>
      </c>
      <c r="I492">
        <v>3</v>
      </c>
      <c r="J492">
        <v>0.50812259617622824</v>
      </c>
      <c r="K492">
        <v>-0.33830381554781291</v>
      </c>
      <c r="L492">
        <v>76123715.19922632</v>
      </c>
      <c r="M492" t="s">
        <v>97</v>
      </c>
      <c r="N492" t="s">
        <v>116</v>
      </c>
      <c r="O492" t="s">
        <v>120</v>
      </c>
      <c r="P492">
        <v>5179</v>
      </c>
      <c r="Q492">
        <v>1234</v>
      </c>
      <c r="R492">
        <v>3945</v>
      </c>
    </row>
    <row r="493" spans="1:18" x14ac:dyDescent="0.3">
      <c r="A493" t="s">
        <v>1513</v>
      </c>
      <c r="B493">
        <v>2022</v>
      </c>
      <c r="C493">
        <v>1.3870703702746789</v>
      </c>
      <c r="D493">
        <v>0</v>
      </c>
      <c r="E493">
        <v>50</v>
      </c>
      <c r="F493">
        <v>78</v>
      </c>
      <c r="G493">
        <v>9.7364805445329997E-4</v>
      </c>
      <c r="H493">
        <v>10</v>
      </c>
      <c r="I493">
        <v>6</v>
      </c>
      <c r="J493">
        <v>0.44014664019375033</v>
      </c>
      <c r="K493">
        <v>-0.30250047469835972</v>
      </c>
      <c r="L493">
        <v>50006701.250077277</v>
      </c>
      <c r="M493" t="s">
        <v>97</v>
      </c>
      <c r="N493" t="s">
        <v>116</v>
      </c>
      <c r="O493" t="s">
        <v>121</v>
      </c>
      <c r="P493">
        <v>1633</v>
      </c>
      <c r="Q493">
        <v>488</v>
      </c>
      <c r="R493">
        <v>1145</v>
      </c>
    </row>
    <row r="494" spans="1:18" x14ac:dyDescent="0.3">
      <c r="A494" t="s">
        <v>1514</v>
      </c>
      <c r="B494">
        <v>2022</v>
      </c>
      <c r="C494">
        <v>1.1123669680829</v>
      </c>
      <c r="D494">
        <v>0</v>
      </c>
      <c r="E494">
        <v>18</v>
      </c>
      <c r="F494">
        <v>67</v>
      </c>
      <c r="G494">
        <v>1.0432115095302E-3</v>
      </c>
      <c r="H494">
        <v>3</v>
      </c>
      <c r="I494">
        <v>3</v>
      </c>
      <c r="J494">
        <v>0.55217753976427075</v>
      </c>
      <c r="K494">
        <v>-0.32394746292083909</v>
      </c>
      <c r="L494">
        <v>28416990.036451519</v>
      </c>
      <c r="M494" t="s">
        <v>97</v>
      </c>
      <c r="N494" t="s">
        <v>116</v>
      </c>
      <c r="O494" t="s">
        <v>91</v>
      </c>
      <c r="P494">
        <v>1055</v>
      </c>
      <c r="Q494">
        <v>168</v>
      </c>
      <c r="R494">
        <v>887</v>
      </c>
    </row>
    <row r="495" spans="1:18" x14ac:dyDescent="0.3">
      <c r="A495" t="s">
        <v>1515</v>
      </c>
      <c r="B495">
        <v>2022</v>
      </c>
      <c r="C495">
        <v>1.2883201576792691</v>
      </c>
      <c r="D495">
        <v>0</v>
      </c>
      <c r="E495">
        <v>171</v>
      </c>
      <c r="F495">
        <v>347</v>
      </c>
      <c r="G495">
        <v>2.5165590583709998E-4</v>
      </c>
      <c r="H495">
        <v>7</v>
      </c>
      <c r="I495">
        <v>77</v>
      </c>
      <c r="J495">
        <v>0.41900937882150341</v>
      </c>
      <c r="K495">
        <v>-0.234795156468637</v>
      </c>
      <c r="L495">
        <v>175547611.87050009</v>
      </c>
      <c r="M495" t="s">
        <v>97</v>
      </c>
      <c r="N495" t="s">
        <v>122</v>
      </c>
      <c r="O495" t="s">
        <v>122</v>
      </c>
      <c r="P495">
        <v>15576</v>
      </c>
      <c r="Q495">
        <v>9282</v>
      </c>
      <c r="R495">
        <v>6294</v>
      </c>
    </row>
    <row r="496" spans="1:18" x14ac:dyDescent="0.3">
      <c r="A496" t="s">
        <v>1516</v>
      </c>
      <c r="B496">
        <v>2022</v>
      </c>
      <c r="C496">
        <v>1.1885325734085901</v>
      </c>
      <c r="D496">
        <v>0</v>
      </c>
      <c r="E496">
        <v>16</v>
      </c>
      <c r="F496">
        <v>241</v>
      </c>
      <c r="G496">
        <v>2.390437509004E-4</v>
      </c>
      <c r="H496">
        <v>5</v>
      </c>
      <c r="I496">
        <v>31</v>
      </c>
      <c r="J496">
        <v>0.1603596233092752</v>
      </c>
      <c r="K496">
        <v>-6.8539902361992297E-2</v>
      </c>
      <c r="L496">
        <v>150222364.4962444</v>
      </c>
      <c r="M496" t="s">
        <v>97</v>
      </c>
      <c r="N496" t="s">
        <v>123</v>
      </c>
      <c r="O496" t="s">
        <v>123</v>
      </c>
      <c r="P496">
        <v>6995</v>
      </c>
      <c r="Q496">
        <v>3152</v>
      </c>
      <c r="R496">
        <v>3843</v>
      </c>
    </row>
    <row r="497" spans="1:18" x14ac:dyDescent="0.3">
      <c r="A497" t="s">
        <v>1517</v>
      </c>
      <c r="B497">
        <v>2022</v>
      </c>
      <c r="C497">
        <v>1.2016963122386231</v>
      </c>
      <c r="D497">
        <v>0</v>
      </c>
      <c r="E497">
        <v>7</v>
      </c>
      <c r="F497">
        <v>176</v>
      </c>
      <c r="G497">
        <v>2.610265945876E-4</v>
      </c>
      <c r="H497">
        <v>12</v>
      </c>
      <c r="I497">
        <v>6</v>
      </c>
      <c r="J497">
        <v>0.55098541969015347</v>
      </c>
      <c r="K497">
        <v>-0.32152771396178409</v>
      </c>
      <c r="L497">
        <v>115681413.093009</v>
      </c>
      <c r="M497" t="s">
        <v>124</v>
      </c>
      <c r="N497" t="s">
        <v>125</v>
      </c>
      <c r="O497" t="s">
        <v>130</v>
      </c>
      <c r="P497">
        <v>1837</v>
      </c>
      <c r="Q497">
        <v>640</v>
      </c>
      <c r="R497">
        <v>1197</v>
      </c>
    </row>
    <row r="498" spans="1:18" x14ac:dyDescent="0.3">
      <c r="A498" t="s">
        <v>1518</v>
      </c>
      <c r="B498">
        <v>2022</v>
      </c>
      <c r="C498">
        <v>0.77286754424582882</v>
      </c>
      <c r="D498">
        <v>0</v>
      </c>
      <c r="E498">
        <v>13</v>
      </c>
      <c r="F498">
        <v>180</v>
      </c>
      <c r="G498">
        <v>2.2977886146579999E-4</v>
      </c>
      <c r="H498">
        <v>7</v>
      </c>
      <c r="I498">
        <v>14</v>
      </c>
      <c r="J498">
        <v>0.46451567753536982</v>
      </c>
      <c r="K498">
        <v>-0.27258845344909333</v>
      </c>
      <c r="L498">
        <v>542555180.38455558</v>
      </c>
      <c r="M498" t="s">
        <v>124</v>
      </c>
      <c r="N498" t="s">
        <v>125</v>
      </c>
      <c r="O498" t="s">
        <v>131</v>
      </c>
      <c r="P498">
        <v>1567</v>
      </c>
      <c r="Q498">
        <v>175</v>
      </c>
      <c r="R498">
        <v>1392</v>
      </c>
    </row>
    <row r="499" spans="1:18" x14ac:dyDescent="0.3">
      <c r="A499" t="s">
        <v>1519</v>
      </c>
      <c r="B499">
        <v>2022</v>
      </c>
      <c r="C499">
        <v>1.641835510345292</v>
      </c>
      <c r="D499">
        <v>0</v>
      </c>
      <c r="E499">
        <v>13</v>
      </c>
      <c r="F499">
        <v>149</v>
      </c>
      <c r="G499">
        <v>3.2509752925870001E-4</v>
      </c>
      <c r="H499">
        <v>24</v>
      </c>
      <c r="I499">
        <v>8</v>
      </c>
      <c r="J499">
        <v>0.56835231095426619</v>
      </c>
      <c r="K499">
        <v>-0.37315994965778593</v>
      </c>
      <c r="L499">
        <v>60842602.287114859</v>
      </c>
      <c r="M499" t="s">
        <v>124</v>
      </c>
      <c r="N499" t="s">
        <v>125</v>
      </c>
      <c r="O499" t="s">
        <v>132</v>
      </c>
      <c r="P499">
        <v>1191</v>
      </c>
      <c r="Q499">
        <v>428</v>
      </c>
      <c r="R499">
        <v>763</v>
      </c>
    </row>
    <row r="500" spans="1:18" x14ac:dyDescent="0.3">
      <c r="A500" t="s">
        <v>1520</v>
      </c>
      <c r="B500">
        <v>2022</v>
      </c>
      <c r="C500">
        <v>1.2373707052604159</v>
      </c>
      <c r="D500">
        <v>0</v>
      </c>
      <c r="E500">
        <v>16</v>
      </c>
      <c r="F500">
        <v>141</v>
      </c>
      <c r="G500">
        <v>4.6178047058010002E-4</v>
      </c>
      <c r="H500">
        <v>5</v>
      </c>
      <c r="I500">
        <v>4</v>
      </c>
      <c r="J500">
        <v>0.55613587965136668</v>
      </c>
      <c r="K500">
        <v>-0.44240447295596791</v>
      </c>
      <c r="L500">
        <v>61138511.586005621</v>
      </c>
      <c r="M500" t="s">
        <v>124</v>
      </c>
      <c r="N500" t="s">
        <v>133</v>
      </c>
      <c r="O500" t="s">
        <v>137</v>
      </c>
      <c r="P500">
        <v>1692</v>
      </c>
      <c r="Q500">
        <v>810</v>
      </c>
      <c r="R500">
        <v>882</v>
      </c>
    </row>
    <row r="501" spans="1:18" x14ac:dyDescent="0.3">
      <c r="A501" t="s">
        <v>1521</v>
      </c>
      <c r="B501">
        <v>2022</v>
      </c>
      <c r="C501">
        <v>0.96692674376099341</v>
      </c>
      <c r="D501">
        <v>0</v>
      </c>
      <c r="E501">
        <v>1</v>
      </c>
      <c r="F501">
        <v>97</v>
      </c>
      <c r="G501">
        <v>3.61010688996E-4</v>
      </c>
      <c r="H501">
        <v>19</v>
      </c>
      <c r="I501">
        <v>1</v>
      </c>
      <c r="J501">
        <v>0.47820981854493078</v>
      </c>
      <c r="K501">
        <v>-0.30219625362014468</v>
      </c>
      <c r="L501">
        <v>114168677.6947584</v>
      </c>
      <c r="M501" t="s">
        <v>124</v>
      </c>
      <c r="N501" t="s">
        <v>124</v>
      </c>
      <c r="O501" t="s">
        <v>140</v>
      </c>
      <c r="P501">
        <v>2300</v>
      </c>
      <c r="Q501">
        <v>478</v>
      </c>
      <c r="R501">
        <v>1822</v>
      </c>
    </row>
    <row r="502" spans="1:18" x14ac:dyDescent="0.3">
      <c r="A502" t="s">
        <v>1522</v>
      </c>
      <c r="B502">
        <v>2022</v>
      </c>
      <c r="C502">
        <v>0.86724231612968294</v>
      </c>
      <c r="D502">
        <v>0</v>
      </c>
      <c r="E502">
        <v>106</v>
      </c>
      <c r="F502">
        <v>416</v>
      </c>
      <c r="G502">
        <v>1.3697410389940001E-4</v>
      </c>
      <c r="H502">
        <v>13</v>
      </c>
      <c r="I502">
        <v>0</v>
      </c>
      <c r="J502">
        <v>0.49869736436593881</v>
      </c>
      <c r="K502">
        <v>-0.43084425218535433</v>
      </c>
      <c r="L502">
        <v>414278833.60483909</v>
      </c>
      <c r="M502" t="s">
        <v>124</v>
      </c>
      <c r="N502" t="s">
        <v>124</v>
      </c>
      <c r="O502" t="s">
        <v>143</v>
      </c>
      <c r="P502">
        <v>6955</v>
      </c>
      <c r="Q502">
        <v>2313</v>
      </c>
      <c r="R502">
        <v>4642</v>
      </c>
    </row>
    <row r="503" spans="1:18" x14ac:dyDescent="0.3">
      <c r="A503" t="s">
        <v>1523</v>
      </c>
      <c r="B503">
        <v>2022</v>
      </c>
      <c r="C503">
        <v>1.2247114655211151</v>
      </c>
      <c r="D503">
        <v>0</v>
      </c>
      <c r="E503">
        <v>11</v>
      </c>
      <c r="F503">
        <v>52</v>
      </c>
      <c r="G503">
        <v>1.0904626459351001E-3</v>
      </c>
      <c r="H503">
        <v>2</v>
      </c>
      <c r="I503">
        <v>0</v>
      </c>
      <c r="J503">
        <v>0.4982010907026943</v>
      </c>
      <c r="K503">
        <v>-0.4190268344800645</v>
      </c>
      <c r="L503">
        <v>63742220.438732877</v>
      </c>
      <c r="M503" t="s">
        <v>124</v>
      </c>
      <c r="N503" t="s">
        <v>124</v>
      </c>
      <c r="O503" t="s">
        <v>144</v>
      </c>
      <c r="P503">
        <v>1680</v>
      </c>
      <c r="Q503">
        <v>777</v>
      </c>
      <c r="R503">
        <v>903</v>
      </c>
    </row>
    <row r="504" spans="1:18" x14ac:dyDescent="0.3">
      <c r="A504" t="s">
        <v>1524</v>
      </c>
      <c r="B504">
        <v>2022</v>
      </c>
      <c r="C504">
        <v>0.71042994496796819</v>
      </c>
      <c r="D504">
        <v>0</v>
      </c>
      <c r="E504">
        <v>27</v>
      </c>
      <c r="F504">
        <v>150</v>
      </c>
      <c r="G504">
        <v>1.940984578634E-4</v>
      </c>
      <c r="H504">
        <v>13</v>
      </c>
      <c r="I504">
        <v>0</v>
      </c>
      <c r="J504">
        <v>0.51291134618585188</v>
      </c>
      <c r="K504">
        <v>-0.34569028549141601</v>
      </c>
      <c r="L504">
        <v>412141440.8902784</v>
      </c>
      <c r="M504" t="s">
        <v>124</v>
      </c>
      <c r="N504" t="s">
        <v>124</v>
      </c>
      <c r="O504" t="s">
        <v>145</v>
      </c>
      <c r="P504">
        <v>2127</v>
      </c>
      <c r="Q504">
        <v>1158</v>
      </c>
      <c r="R504">
        <v>969</v>
      </c>
    </row>
    <row r="505" spans="1:18" x14ac:dyDescent="0.3">
      <c r="A505" t="s">
        <v>1525</v>
      </c>
      <c r="B505">
        <v>2022</v>
      </c>
      <c r="C505">
        <v>1.270025777818502</v>
      </c>
      <c r="D505">
        <v>0</v>
      </c>
      <c r="E505">
        <v>3</v>
      </c>
      <c r="F505">
        <v>88</v>
      </c>
      <c r="G505">
        <v>4.7058477756770003E-4</v>
      </c>
      <c r="H505">
        <v>16</v>
      </c>
      <c r="I505">
        <v>1</v>
      </c>
      <c r="J505">
        <v>0.5424956835637893</v>
      </c>
      <c r="K505">
        <v>-0.37656219235579641</v>
      </c>
      <c r="L505">
        <v>83871235.032841027</v>
      </c>
      <c r="M505" t="s">
        <v>124</v>
      </c>
      <c r="N505" t="s">
        <v>124</v>
      </c>
      <c r="O505" t="s">
        <v>146</v>
      </c>
      <c r="P505">
        <v>1683</v>
      </c>
      <c r="Q505">
        <v>475</v>
      </c>
      <c r="R505">
        <v>1208</v>
      </c>
    </row>
    <row r="506" spans="1:18" x14ac:dyDescent="0.3">
      <c r="A506" t="s">
        <v>1526</v>
      </c>
      <c r="B506">
        <v>2022</v>
      </c>
      <c r="C506">
        <v>1.8722471132743299</v>
      </c>
      <c r="D506">
        <v>0</v>
      </c>
      <c r="E506">
        <v>10</v>
      </c>
      <c r="F506">
        <v>118</v>
      </c>
      <c r="G506">
        <v>3.1036420954869999E-4</v>
      </c>
      <c r="H506">
        <v>5</v>
      </c>
      <c r="I506">
        <v>0</v>
      </c>
      <c r="J506">
        <v>0.54672773285663623</v>
      </c>
      <c r="K506">
        <v>-0.33216661721798002</v>
      </c>
      <c r="L506">
        <v>99828855.751940757</v>
      </c>
      <c r="M506" t="s">
        <v>124</v>
      </c>
      <c r="N506" t="s">
        <v>124</v>
      </c>
      <c r="O506" t="s">
        <v>148</v>
      </c>
      <c r="P506">
        <v>3688</v>
      </c>
      <c r="Q506">
        <v>1541</v>
      </c>
      <c r="R506">
        <v>2147</v>
      </c>
    </row>
    <row r="507" spans="1:18" x14ac:dyDescent="0.3">
      <c r="A507" t="s">
        <v>1527</v>
      </c>
      <c r="B507">
        <v>2022</v>
      </c>
      <c r="C507">
        <v>0.52495597214737011</v>
      </c>
      <c r="D507">
        <v>0</v>
      </c>
      <c r="E507">
        <v>2</v>
      </c>
      <c r="F507">
        <v>52</v>
      </c>
      <c r="G507">
        <v>3.9983717110230003E-4</v>
      </c>
      <c r="H507">
        <v>2</v>
      </c>
      <c r="I507">
        <v>0</v>
      </c>
      <c r="J507">
        <v>0.5019060121709279</v>
      </c>
      <c r="K507">
        <v>-0.26468745198648352</v>
      </c>
      <c r="L507">
        <v>200615461.5913789</v>
      </c>
      <c r="M507" t="s">
        <v>156</v>
      </c>
      <c r="N507" t="s">
        <v>157</v>
      </c>
      <c r="O507" t="s">
        <v>160</v>
      </c>
      <c r="P507">
        <v>2069</v>
      </c>
      <c r="Q507">
        <v>466</v>
      </c>
      <c r="R507">
        <v>1603</v>
      </c>
    </row>
    <row r="508" spans="1:18" x14ac:dyDescent="0.3">
      <c r="A508" t="s">
        <v>1528</v>
      </c>
      <c r="B508">
        <v>2022</v>
      </c>
      <c r="C508">
        <v>1.98820491832679</v>
      </c>
      <c r="D508">
        <v>0</v>
      </c>
      <c r="E508">
        <v>1</v>
      </c>
      <c r="F508">
        <v>42</v>
      </c>
      <c r="G508">
        <v>1.1216798277099E-3</v>
      </c>
      <c r="H508">
        <v>3</v>
      </c>
      <c r="I508">
        <v>0</v>
      </c>
      <c r="J508">
        <v>0.50586151908068766</v>
      </c>
      <c r="K508">
        <v>-0.31243454476395299</v>
      </c>
      <c r="L508">
        <v>17776810.92390871</v>
      </c>
      <c r="M508" t="s">
        <v>156</v>
      </c>
      <c r="N508" t="s">
        <v>157</v>
      </c>
      <c r="O508" t="s">
        <v>161</v>
      </c>
      <c r="P508">
        <v>670</v>
      </c>
      <c r="Q508">
        <v>314</v>
      </c>
      <c r="R508">
        <v>356</v>
      </c>
    </row>
    <row r="509" spans="1:18" x14ac:dyDescent="0.3">
      <c r="A509" t="s">
        <v>1529</v>
      </c>
      <c r="B509">
        <v>2022</v>
      </c>
      <c r="C509">
        <v>0.612403470712511</v>
      </c>
      <c r="D509">
        <v>0</v>
      </c>
      <c r="E509">
        <v>4</v>
      </c>
      <c r="F509">
        <v>8</v>
      </c>
      <c r="G509">
        <v>6.7335408739766997E-3</v>
      </c>
      <c r="H509">
        <v>3</v>
      </c>
      <c r="I509">
        <v>7</v>
      </c>
      <c r="J509">
        <v>0.37690563413611988</v>
      </c>
      <c r="K509">
        <v>-0.15877183813334411</v>
      </c>
      <c r="L509">
        <v>623727251.41813791</v>
      </c>
      <c r="M509" t="s">
        <v>156</v>
      </c>
      <c r="N509" t="s">
        <v>157</v>
      </c>
      <c r="O509" t="s">
        <v>162</v>
      </c>
      <c r="P509">
        <v>1393</v>
      </c>
      <c r="Q509">
        <v>19</v>
      </c>
      <c r="R509">
        <v>1374</v>
      </c>
    </row>
    <row r="510" spans="1:18" x14ac:dyDescent="0.3">
      <c r="A510" t="s">
        <v>1530</v>
      </c>
      <c r="B510">
        <v>2022</v>
      </c>
      <c r="C510">
        <v>0.73427308981436679</v>
      </c>
      <c r="D510">
        <v>0</v>
      </c>
      <c r="E510">
        <v>6</v>
      </c>
      <c r="F510">
        <v>88</v>
      </c>
      <c r="G510">
        <v>5.609745407079E-4</v>
      </c>
      <c r="H510">
        <v>7</v>
      </c>
      <c r="I510">
        <v>1</v>
      </c>
      <c r="J510">
        <v>0.36717596737034908</v>
      </c>
      <c r="K510">
        <v>-0.31310081567740328</v>
      </c>
      <c r="L510">
        <v>178919750.9149788</v>
      </c>
      <c r="M510" t="s">
        <v>156</v>
      </c>
      <c r="N510" t="s">
        <v>157</v>
      </c>
      <c r="O510" t="s">
        <v>163</v>
      </c>
      <c r="P510">
        <v>2683</v>
      </c>
      <c r="Q510">
        <v>1374</v>
      </c>
      <c r="R510">
        <v>1309</v>
      </c>
    </row>
    <row r="511" spans="1:18" x14ac:dyDescent="0.3">
      <c r="A511" t="s">
        <v>1531</v>
      </c>
      <c r="B511">
        <v>2022</v>
      </c>
      <c r="C511">
        <v>0.56618931243979542</v>
      </c>
      <c r="D511">
        <v>0</v>
      </c>
      <c r="E511">
        <v>3</v>
      </c>
      <c r="F511">
        <v>39</v>
      </c>
      <c r="G511">
        <v>1.3440201790066999E-3</v>
      </c>
      <c r="H511">
        <v>1</v>
      </c>
      <c r="I511">
        <v>1</v>
      </c>
      <c r="J511">
        <v>0.43495359160813352</v>
      </c>
      <c r="K511">
        <v>-0.1517630701761592</v>
      </c>
      <c r="L511">
        <v>442791892.09039962</v>
      </c>
      <c r="M511" t="s">
        <v>156</v>
      </c>
      <c r="N511" t="s">
        <v>157</v>
      </c>
      <c r="O511" t="s">
        <v>165</v>
      </c>
      <c r="P511">
        <v>4349</v>
      </c>
      <c r="Q511">
        <v>630</v>
      </c>
      <c r="R511">
        <v>3719</v>
      </c>
    </row>
    <row r="512" spans="1:18" x14ac:dyDescent="0.3">
      <c r="A512" t="s">
        <v>1532</v>
      </c>
      <c r="B512">
        <v>2022</v>
      </c>
      <c r="C512">
        <v>2.551701255209494</v>
      </c>
      <c r="D512">
        <v>0</v>
      </c>
      <c r="E512">
        <v>2</v>
      </c>
      <c r="F512">
        <v>52</v>
      </c>
      <c r="G512">
        <v>1.1936722977158999E-3</v>
      </c>
      <c r="H512">
        <v>2</v>
      </c>
      <c r="I512">
        <v>0</v>
      </c>
      <c r="J512">
        <v>0.45449333161756311</v>
      </c>
      <c r="K512">
        <v>-0.2961332548052521</v>
      </c>
      <c r="L512">
        <v>16575007.430290589</v>
      </c>
      <c r="M512" t="s">
        <v>156</v>
      </c>
      <c r="N512" t="s">
        <v>157</v>
      </c>
      <c r="O512" t="s">
        <v>166</v>
      </c>
      <c r="P512">
        <v>2404</v>
      </c>
      <c r="Q512">
        <v>1514</v>
      </c>
      <c r="R512">
        <v>890</v>
      </c>
    </row>
    <row r="513" spans="1:18" x14ac:dyDescent="0.3">
      <c r="A513" t="s">
        <v>1533</v>
      </c>
      <c r="B513">
        <v>2022</v>
      </c>
      <c r="C513">
        <v>1.2464382160221561</v>
      </c>
      <c r="D513">
        <v>0</v>
      </c>
      <c r="E513">
        <v>13</v>
      </c>
      <c r="F513">
        <v>144</v>
      </c>
      <c r="G513">
        <v>5.4319314661780002E-4</v>
      </c>
      <c r="H513">
        <v>4</v>
      </c>
      <c r="I513">
        <v>3</v>
      </c>
      <c r="J513">
        <v>0.38813898158061089</v>
      </c>
      <c r="K513">
        <v>-0.33309649254257512</v>
      </c>
      <c r="L513">
        <v>58361555.472915508</v>
      </c>
      <c r="M513" t="s">
        <v>156</v>
      </c>
      <c r="N513" t="s">
        <v>97</v>
      </c>
      <c r="O513" t="s">
        <v>167</v>
      </c>
      <c r="P513">
        <v>1364</v>
      </c>
      <c r="Q513">
        <v>731</v>
      </c>
      <c r="R513">
        <v>633</v>
      </c>
    </row>
    <row r="514" spans="1:18" x14ac:dyDescent="0.3">
      <c r="A514" t="s">
        <v>1534</v>
      </c>
      <c r="B514">
        <v>2022</v>
      </c>
      <c r="C514">
        <v>0.98515336169123158</v>
      </c>
      <c r="D514">
        <v>0</v>
      </c>
      <c r="E514">
        <v>1</v>
      </c>
      <c r="F514">
        <v>62</v>
      </c>
      <c r="G514">
        <v>1.0963807652042E-3</v>
      </c>
      <c r="H514">
        <v>1</v>
      </c>
      <c r="I514">
        <v>5</v>
      </c>
      <c r="J514">
        <v>0.4425006480300423</v>
      </c>
      <c r="K514">
        <v>-0.23328458755482329</v>
      </c>
      <c r="L514">
        <v>69657210.034412861</v>
      </c>
      <c r="M514" t="s">
        <v>156</v>
      </c>
      <c r="N514" t="s">
        <v>97</v>
      </c>
      <c r="O514" t="s">
        <v>169</v>
      </c>
      <c r="P514">
        <v>1699</v>
      </c>
      <c r="Q514">
        <v>894</v>
      </c>
      <c r="R514">
        <v>805</v>
      </c>
    </row>
    <row r="515" spans="1:18" x14ac:dyDescent="0.3">
      <c r="A515" t="s">
        <v>1535</v>
      </c>
      <c r="B515">
        <v>2022</v>
      </c>
      <c r="C515">
        <v>1.6789457397386149</v>
      </c>
      <c r="D515">
        <v>0</v>
      </c>
      <c r="E515">
        <v>1</v>
      </c>
      <c r="F515">
        <v>78</v>
      </c>
      <c r="G515">
        <v>8.3187525879329998E-4</v>
      </c>
      <c r="H515">
        <v>2</v>
      </c>
      <c r="I515">
        <v>3</v>
      </c>
      <c r="J515">
        <v>0.3843450233931105</v>
      </c>
      <c r="K515">
        <v>-0.27506591084613269</v>
      </c>
      <c r="L515">
        <v>31068534.830973201</v>
      </c>
      <c r="M515" t="s">
        <v>156</v>
      </c>
      <c r="N515" t="s">
        <v>97</v>
      </c>
      <c r="O515" t="s">
        <v>171</v>
      </c>
      <c r="P515">
        <v>1951</v>
      </c>
      <c r="Q515">
        <v>1025</v>
      </c>
      <c r="R515">
        <v>926</v>
      </c>
    </row>
    <row r="516" spans="1:18" x14ac:dyDescent="0.3">
      <c r="A516" t="s">
        <v>1536</v>
      </c>
      <c r="B516">
        <v>2022</v>
      </c>
      <c r="C516">
        <v>0.54647718305605542</v>
      </c>
      <c r="D516">
        <v>0</v>
      </c>
      <c r="E516">
        <v>1</v>
      </c>
      <c r="F516">
        <v>34</v>
      </c>
      <c r="G516">
        <v>1.0799129761852001E-3</v>
      </c>
      <c r="H516">
        <v>3</v>
      </c>
      <c r="I516">
        <v>1</v>
      </c>
      <c r="J516">
        <v>0.50798200508489477</v>
      </c>
      <c r="K516">
        <v>-0.2400772182530255</v>
      </c>
      <c r="L516">
        <v>255816272.67176509</v>
      </c>
      <c r="M516" t="s">
        <v>156</v>
      </c>
      <c r="N516" t="s">
        <v>172</v>
      </c>
      <c r="O516" t="s">
        <v>174</v>
      </c>
      <c r="P516">
        <v>746</v>
      </c>
      <c r="Q516">
        <v>196</v>
      </c>
      <c r="R516">
        <v>550</v>
      </c>
    </row>
    <row r="517" spans="1:18" x14ac:dyDescent="0.3">
      <c r="A517" t="s">
        <v>1537</v>
      </c>
      <c r="B517">
        <v>2022</v>
      </c>
      <c r="C517">
        <v>1.042427958120747</v>
      </c>
      <c r="D517">
        <v>0</v>
      </c>
      <c r="E517">
        <v>8</v>
      </c>
      <c r="F517">
        <v>177</v>
      </c>
      <c r="G517">
        <v>4.3488592543980002E-4</v>
      </c>
      <c r="H517">
        <v>8</v>
      </c>
      <c r="I517">
        <v>2</v>
      </c>
      <c r="J517">
        <v>0.40611411319554558</v>
      </c>
      <c r="K517">
        <v>-0.32540411313547241</v>
      </c>
      <c r="L517">
        <v>151082175.47424781</v>
      </c>
      <c r="M517" t="s">
        <v>156</v>
      </c>
      <c r="N517" t="s">
        <v>172</v>
      </c>
      <c r="O517" t="s">
        <v>175</v>
      </c>
      <c r="P517">
        <v>3718</v>
      </c>
      <c r="Q517">
        <v>2002</v>
      </c>
      <c r="R517">
        <v>1716</v>
      </c>
    </row>
    <row r="518" spans="1:18" x14ac:dyDescent="0.3">
      <c r="A518" t="s">
        <v>1538</v>
      </c>
      <c r="B518">
        <v>2022</v>
      </c>
      <c r="C518">
        <v>0.70300739225984321</v>
      </c>
      <c r="D518">
        <v>0</v>
      </c>
      <c r="E518">
        <v>6</v>
      </c>
      <c r="F518">
        <v>95</v>
      </c>
      <c r="G518">
        <v>5.4083004819719999E-4</v>
      </c>
      <c r="H518">
        <v>4</v>
      </c>
      <c r="I518">
        <v>12</v>
      </c>
      <c r="J518">
        <v>0.26870682012615688</v>
      </c>
      <c r="K518">
        <v>-9.6757814042112797E-2</v>
      </c>
      <c r="L518">
        <v>281285922.60046762</v>
      </c>
      <c r="M518" t="s">
        <v>156</v>
      </c>
      <c r="N518" t="s">
        <v>177</v>
      </c>
      <c r="O518" t="s">
        <v>179</v>
      </c>
      <c r="P518">
        <v>1961</v>
      </c>
      <c r="Q518">
        <v>493</v>
      </c>
      <c r="R518">
        <v>1468</v>
      </c>
    </row>
    <row r="519" spans="1:18" x14ac:dyDescent="0.3">
      <c r="A519" t="s">
        <v>1539</v>
      </c>
      <c r="B519">
        <v>2022</v>
      </c>
      <c r="C519">
        <v>3.0941756089893562</v>
      </c>
      <c r="D519">
        <v>0</v>
      </c>
      <c r="E519">
        <v>1</v>
      </c>
      <c r="F519">
        <v>106</v>
      </c>
      <c r="G519">
        <v>1.2670553958481E-3</v>
      </c>
      <c r="H519">
        <v>11</v>
      </c>
      <c r="I519">
        <v>3</v>
      </c>
      <c r="J519">
        <v>0.46581948174998289</v>
      </c>
      <c r="K519">
        <v>-0.32562939970319399</v>
      </c>
      <c r="L519">
        <v>32629655.035461131</v>
      </c>
      <c r="M519" t="s">
        <v>156</v>
      </c>
      <c r="N519" t="s">
        <v>181</v>
      </c>
      <c r="O519" t="s">
        <v>183</v>
      </c>
      <c r="P519">
        <v>2901</v>
      </c>
      <c r="Q519">
        <v>1729</v>
      </c>
      <c r="R519">
        <v>1172</v>
      </c>
    </row>
    <row r="520" spans="1:18" x14ac:dyDescent="0.3">
      <c r="A520" t="s">
        <v>1540</v>
      </c>
      <c r="B520">
        <v>2022</v>
      </c>
      <c r="C520">
        <v>1.6320542681184149</v>
      </c>
      <c r="D520">
        <v>0</v>
      </c>
      <c r="E520">
        <v>1</v>
      </c>
      <c r="F520">
        <v>44</v>
      </c>
      <c r="G520">
        <v>1.5858380969942E-3</v>
      </c>
      <c r="H520">
        <v>4</v>
      </c>
      <c r="I520">
        <v>1</v>
      </c>
      <c r="J520">
        <v>0.45735226119450251</v>
      </c>
      <c r="K520">
        <v>-0.25724092765431628</v>
      </c>
      <c r="L520">
        <v>32060292.932294469</v>
      </c>
      <c r="M520" t="s">
        <v>156</v>
      </c>
      <c r="N520" t="s">
        <v>181</v>
      </c>
      <c r="O520" t="s">
        <v>185</v>
      </c>
      <c r="P520">
        <v>1144</v>
      </c>
      <c r="Q520">
        <v>586</v>
      </c>
      <c r="R520">
        <v>558</v>
      </c>
    </row>
    <row r="521" spans="1:18" x14ac:dyDescent="0.3">
      <c r="A521" t="s">
        <v>1541</v>
      </c>
      <c r="B521">
        <v>2022</v>
      </c>
      <c r="C521">
        <v>0.73735067526969955</v>
      </c>
      <c r="D521">
        <v>0</v>
      </c>
      <c r="E521">
        <v>4</v>
      </c>
      <c r="F521">
        <v>120</v>
      </c>
      <c r="G521">
        <v>5.2993042593659997E-4</v>
      </c>
      <c r="H521">
        <v>5</v>
      </c>
      <c r="I521">
        <v>12</v>
      </c>
      <c r="J521">
        <v>0.5768950911354751</v>
      </c>
      <c r="K521">
        <v>-0.2530710575405139</v>
      </c>
      <c r="L521">
        <v>247982097.33019289</v>
      </c>
      <c r="M521" t="s">
        <v>191</v>
      </c>
      <c r="N521" t="s">
        <v>203</v>
      </c>
      <c r="O521" t="s">
        <v>204</v>
      </c>
      <c r="P521">
        <v>3866</v>
      </c>
      <c r="Q521">
        <v>1223</v>
      </c>
      <c r="R521">
        <v>2643</v>
      </c>
    </row>
    <row r="522" spans="1:18" x14ac:dyDescent="0.3">
      <c r="A522" t="s">
        <v>1542</v>
      </c>
      <c r="B522">
        <v>2022</v>
      </c>
      <c r="C522">
        <v>0.67737122474506573</v>
      </c>
      <c r="D522">
        <v>0</v>
      </c>
      <c r="E522">
        <v>1</v>
      </c>
      <c r="F522">
        <v>56</v>
      </c>
      <c r="G522">
        <v>1.1261190216328E-3</v>
      </c>
      <c r="H522">
        <v>7</v>
      </c>
      <c r="I522">
        <v>11</v>
      </c>
      <c r="J522">
        <v>0.6459424392146168</v>
      </c>
      <c r="K522">
        <v>-0.29269901648654678</v>
      </c>
      <c r="L522">
        <v>181411062.8097333</v>
      </c>
      <c r="M522" t="s">
        <v>191</v>
      </c>
      <c r="N522" t="s">
        <v>203</v>
      </c>
      <c r="O522" t="s">
        <v>205</v>
      </c>
      <c r="P522">
        <v>1958</v>
      </c>
      <c r="Q522">
        <v>714</v>
      </c>
      <c r="R522">
        <v>1244</v>
      </c>
    </row>
    <row r="523" spans="1:18" x14ac:dyDescent="0.3">
      <c r="A523" t="s">
        <v>1543</v>
      </c>
      <c r="B523">
        <v>2022</v>
      </c>
      <c r="C523">
        <v>0.97838165183583836</v>
      </c>
      <c r="D523">
        <v>0</v>
      </c>
      <c r="E523">
        <v>110</v>
      </c>
      <c r="F523">
        <v>148</v>
      </c>
      <c r="G523">
        <v>2.4392946188839999E-4</v>
      </c>
      <c r="H523">
        <v>14</v>
      </c>
      <c r="I523">
        <v>21</v>
      </c>
      <c r="J523">
        <v>0.41660973973283633</v>
      </c>
      <c r="K523">
        <v>-0.2240947643198461</v>
      </c>
      <c r="L523">
        <v>162289338.10519171</v>
      </c>
      <c r="M523" t="s">
        <v>191</v>
      </c>
      <c r="N523" t="s">
        <v>206</v>
      </c>
      <c r="O523" t="s">
        <v>207</v>
      </c>
      <c r="P523">
        <v>5526</v>
      </c>
      <c r="Q523">
        <v>1716</v>
      </c>
      <c r="R523">
        <v>3810</v>
      </c>
    </row>
    <row r="524" spans="1:18" x14ac:dyDescent="0.3">
      <c r="A524" t="s">
        <v>1544</v>
      </c>
      <c r="B524">
        <v>2022</v>
      </c>
      <c r="C524">
        <v>0.78121902393151987</v>
      </c>
      <c r="D524">
        <v>0</v>
      </c>
      <c r="E524">
        <v>157</v>
      </c>
      <c r="F524">
        <v>363</v>
      </c>
      <c r="G524">
        <v>1.3261535307860001E-4</v>
      </c>
      <c r="H524">
        <v>6</v>
      </c>
      <c r="I524">
        <v>30</v>
      </c>
      <c r="J524">
        <v>0.15437195241025931</v>
      </c>
      <c r="K524">
        <v>-1.12726269158318E-2</v>
      </c>
      <c r="L524">
        <v>407965363.59823447</v>
      </c>
      <c r="M524" t="s">
        <v>191</v>
      </c>
      <c r="N524" t="s">
        <v>206</v>
      </c>
      <c r="O524" t="s">
        <v>208</v>
      </c>
      <c r="P524">
        <v>13862</v>
      </c>
      <c r="Q524">
        <v>4841</v>
      </c>
      <c r="R524">
        <v>9021</v>
      </c>
    </row>
    <row r="525" spans="1:18" x14ac:dyDescent="0.3">
      <c r="A525" t="s">
        <v>1545</v>
      </c>
      <c r="B525">
        <v>2022</v>
      </c>
      <c r="C525">
        <v>0.72775641506745159</v>
      </c>
      <c r="D525">
        <v>0</v>
      </c>
      <c r="E525">
        <v>5</v>
      </c>
      <c r="F525">
        <v>19</v>
      </c>
      <c r="G525">
        <v>2.6736512934739999E-3</v>
      </c>
      <c r="H525">
        <v>7</v>
      </c>
      <c r="I525">
        <v>4</v>
      </c>
      <c r="J525">
        <v>0.4447462027641268</v>
      </c>
      <c r="K525">
        <v>-0.2600108033137174</v>
      </c>
      <c r="L525">
        <v>32494962.159293659</v>
      </c>
      <c r="M525" t="s">
        <v>191</v>
      </c>
      <c r="N525" t="s">
        <v>206</v>
      </c>
      <c r="O525" t="s">
        <v>209</v>
      </c>
      <c r="P525">
        <v>692</v>
      </c>
      <c r="Q525">
        <v>168</v>
      </c>
      <c r="R525">
        <v>524</v>
      </c>
    </row>
    <row r="526" spans="1:18" x14ac:dyDescent="0.3">
      <c r="A526" t="s">
        <v>1546</v>
      </c>
      <c r="B526">
        <v>2022</v>
      </c>
      <c r="C526">
        <v>0.68527224986013413</v>
      </c>
      <c r="D526">
        <v>0</v>
      </c>
      <c r="E526">
        <v>29</v>
      </c>
      <c r="F526">
        <v>139</v>
      </c>
      <c r="G526">
        <v>1.7491635454189999E-4</v>
      </c>
      <c r="H526">
        <v>9</v>
      </c>
      <c r="I526">
        <v>24</v>
      </c>
      <c r="J526">
        <v>0.31889816406613208</v>
      </c>
      <c r="K526">
        <v>-0.20636019098698269</v>
      </c>
      <c r="L526">
        <v>282094970.83329397</v>
      </c>
      <c r="M526" t="s">
        <v>191</v>
      </c>
      <c r="N526" t="s">
        <v>211</v>
      </c>
      <c r="O526" t="s">
        <v>212</v>
      </c>
      <c r="P526">
        <v>3798</v>
      </c>
      <c r="Q526">
        <v>178</v>
      </c>
      <c r="R526">
        <v>3620</v>
      </c>
    </row>
    <row r="527" spans="1:18" x14ac:dyDescent="0.3">
      <c r="A527" t="s">
        <v>1547</v>
      </c>
      <c r="B527">
        <v>2022</v>
      </c>
      <c r="C527">
        <v>0.65598112832830036</v>
      </c>
      <c r="D527">
        <v>0</v>
      </c>
      <c r="E527">
        <v>33</v>
      </c>
      <c r="F527">
        <v>106</v>
      </c>
      <c r="G527">
        <v>4.439392154369E-4</v>
      </c>
      <c r="H527">
        <v>8</v>
      </c>
      <c r="I527">
        <v>8</v>
      </c>
      <c r="J527">
        <v>0.46381421312907228</v>
      </c>
      <c r="K527">
        <v>-0.2102740838310504</v>
      </c>
      <c r="L527">
        <v>205989575.65747541</v>
      </c>
      <c r="M527" t="s">
        <v>191</v>
      </c>
      <c r="N527" t="s">
        <v>211</v>
      </c>
      <c r="O527" t="s">
        <v>215</v>
      </c>
      <c r="P527">
        <v>1916</v>
      </c>
      <c r="Q527">
        <v>65</v>
      </c>
      <c r="R527">
        <v>1851</v>
      </c>
    </row>
    <row r="528" spans="1:18" x14ac:dyDescent="0.3">
      <c r="A528" t="s">
        <v>1548</v>
      </c>
      <c r="B528">
        <v>2022</v>
      </c>
      <c r="C528">
        <v>0.75021992727924103</v>
      </c>
      <c r="D528">
        <v>0</v>
      </c>
      <c r="E528">
        <v>11</v>
      </c>
      <c r="F528">
        <v>109</v>
      </c>
      <c r="G528">
        <v>9.1195861186749996E-4</v>
      </c>
      <c r="H528">
        <v>5</v>
      </c>
      <c r="I528">
        <v>9</v>
      </c>
      <c r="J528">
        <v>0.38002187763555362</v>
      </c>
      <c r="K528">
        <v>-0.1091030689846927</v>
      </c>
      <c r="L528">
        <v>192915130.79261491</v>
      </c>
      <c r="M528" t="s">
        <v>191</v>
      </c>
      <c r="N528" t="s">
        <v>211</v>
      </c>
      <c r="O528" t="s">
        <v>216</v>
      </c>
      <c r="P528">
        <v>4026</v>
      </c>
      <c r="Q528">
        <v>1176</v>
      </c>
      <c r="R528">
        <v>2850</v>
      </c>
    </row>
    <row r="529" spans="1:18" x14ac:dyDescent="0.3">
      <c r="A529" t="s">
        <v>1549</v>
      </c>
      <c r="B529">
        <v>2022</v>
      </c>
      <c r="C529">
        <v>0.65527798278416682</v>
      </c>
      <c r="D529">
        <v>0</v>
      </c>
      <c r="E529">
        <v>3</v>
      </c>
      <c r="F529">
        <v>39</v>
      </c>
      <c r="G529">
        <v>9.5011445796780003E-4</v>
      </c>
      <c r="H529">
        <v>11</v>
      </c>
      <c r="I529">
        <v>7</v>
      </c>
      <c r="L529">
        <v>131649847.74023899</v>
      </c>
      <c r="M529" t="s">
        <v>191</v>
      </c>
      <c r="N529" t="s">
        <v>227</v>
      </c>
      <c r="O529" t="s">
        <v>230</v>
      </c>
      <c r="P529">
        <v>1850</v>
      </c>
      <c r="Q529">
        <v>392</v>
      </c>
      <c r="R529">
        <v>1458</v>
      </c>
    </row>
    <row r="530" spans="1:18" x14ac:dyDescent="0.3">
      <c r="A530" t="s">
        <v>1550</v>
      </c>
      <c r="B530">
        <v>2022</v>
      </c>
      <c r="C530">
        <v>0.74892571136440822</v>
      </c>
      <c r="D530">
        <v>0</v>
      </c>
      <c r="E530">
        <v>2</v>
      </c>
      <c r="F530">
        <v>28</v>
      </c>
      <c r="G530">
        <v>9.7370705545180003E-4</v>
      </c>
      <c r="H530">
        <v>6</v>
      </c>
      <c r="I530">
        <v>6</v>
      </c>
      <c r="L530">
        <v>116438367.2025093</v>
      </c>
      <c r="M530" t="s">
        <v>191</v>
      </c>
      <c r="N530" t="s">
        <v>227</v>
      </c>
      <c r="O530" t="s">
        <v>231</v>
      </c>
      <c r="P530">
        <v>1024</v>
      </c>
      <c r="Q530">
        <v>134</v>
      </c>
      <c r="R530">
        <v>890</v>
      </c>
    </row>
    <row r="531" spans="1:18" x14ac:dyDescent="0.3">
      <c r="A531" t="s">
        <v>1551</v>
      </c>
      <c r="B531">
        <v>2022</v>
      </c>
      <c r="C531">
        <v>0.8089681929148973</v>
      </c>
      <c r="D531">
        <v>0</v>
      </c>
      <c r="E531">
        <v>2</v>
      </c>
      <c r="F531">
        <v>142</v>
      </c>
      <c r="G531">
        <v>3.8098022290750002E-4</v>
      </c>
      <c r="H531">
        <v>3</v>
      </c>
      <c r="I531">
        <v>0</v>
      </c>
      <c r="J531">
        <v>0.38531283846750369</v>
      </c>
      <c r="K531">
        <v>-0.26534510085993029</v>
      </c>
      <c r="L531">
        <v>279311157.58146697</v>
      </c>
      <c r="M531" t="s">
        <v>232</v>
      </c>
      <c r="N531" t="s">
        <v>233</v>
      </c>
      <c r="O531" t="s">
        <v>240</v>
      </c>
      <c r="P531">
        <v>3925</v>
      </c>
      <c r="Q531">
        <v>482</v>
      </c>
      <c r="R531">
        <v>3443</v>
      </c>
    </row>
    <row r="532" spans="1:18" x14ac:dyDescent="0.3">
      <c r="A532" t="s">
        <v>1552</v>
      </c>
      <c r="B532">
        <v>2022</v>
      </c>
      <c r="C532">
        <v>0.91278479505365018</v>
      </c>
      <c r="D532">
        <v>0</v>
      </c>
      <c r="E532">
        <v>2</v>
      </c>
      <c r="F532">
        <v>87</v>
      </c>
      <c r="G532">
        <v>5.3319107317500005E-4</v>
      </c>
      <c r="H532">
        <v>9</v>
      </c>
      <c r="I532">
        <v>0</v>
      </c>
      <c r="J532">
        <v>0.4316265500480102</v>
      </c>
      <c r="K532">
        <v>-0.30711801833369978</v>
      </c>
      <c r="L532">
        <v>129549312.9215893</v>
      </c>
      <c r="M532" t="s">
        <v>232</v>
      </c>
      <c r="N532" t="s">
        <v>244</v>
      </c>
      <c r="O532" t="s">
        <v>247</v>
      </c>
      <c r="P532">
        <v>1743</v>
      </c>
      <c r="Q532">
        <v>559</v>
      </c>
      <c r="R532">
        <v>1184</v>
      </c>
    </row>
    <row r="533" spans="1:18" x14ac:dyDescent="0.3">
      <c r="A533" t="s">
        <v>1553</v>
      </c>
      <c r="B533">
        <v>2022</v>
      </c>
      <c r="C533">
        <v>0.82207099575209408</v>
      </c>
      <c r="D533">
        <v>0</v>
      </c>
      <c r="E533">
        <v>2</v>
      </c>
      <c r="F533">
        <v>106</v>
      </c>
      <c r="G533">
        <v>3.5580552981190003E-4</v>
      </c>
      <c r="H533">
        <v>2</v>
      </c>
      <c r="I533">
        <v>0</v>
      </c>
      <c r="J533">
        <v>0.43337887254668872</v>
      </c>
      <c r="K533">
        <v>-0.24158205623864201</v>
      </c>
      <c r="L533">
        <v>102883885.3586278</v>
      </c>
      <c r="M533" t="s">
        <v>232</v>
      </c>
      <c r="N533" t="s">
        <v>244</v>
      </c>
      <c r="O533" t="s">
        <v>248</v>
      </c>
      <c r="P533">
        <v>1864</v>
      </c>
      <c r="Q533">
        <v>355</v>
      </c>
      <c r="R533">
        <v>1509</v>
      </c>
    </row>
    <row r="534" spans="1:18" x14ac:dyDescent="0.3">
      <c r="A534" t="s">
        <v>1554</v>
      </c>
      <c r="B534">
        <v>2022</v>
      </c>
      <c r="C534">
        <v>1.4247856863664079</v>
      </c>
      <c r="D534">
        <v>0</v>
      </c>
      <c r="E534">
        <v>8</v>
      </c>
      <c r="F534">
        <v>29</v>
      </c>
      <c r="G534">
        <v>2.0040039798108998E-3</v>
      </c>
      <c r="H534">
        <v>6</v>
      </c>
      <c r="I534">
        <v>0</v>
      </c>
      <c r="J534">
        <v>0.31022654390263449</v>
      </c>
      <c r="K534">
        <v>-0.27643281246418488</v>
      </c>
      <c r="L534">
        <v>10936374.77909318</v>
      </c>
      <c r="M534" t="s">
        <v>232</v>
      </c>
      <c r="N534" t="s">
        <v>244</v>
      </c>
      <c r="O534" t="s">
        <v>249</v>
      </c>
      <c r="P534">
        <v>257</v>
      </c>
      <c r="Q534">
        <v>193</v>
      </c>
      <c r="R534">
        <v>64</v>
      </c>
    </row>
    <row r="535" spans="1:18" x14ac:dyDescent="0.3">
      <c r="A535" t="s">
        <v>1555</v>
      </c>
      <c r="B535">
        <v>2022</v>
      </c>
      <c r="C535">
        <v>0.6545405067969664</v>
      </c>
      <c r="D535">
        <v>0</v>
      </c>
      <c r="E535">
        <v>2</v>
      </c>
      <c r="F535">
        <v>34</v>
      </c>
      <c r="G535">
        <v>9.004916361286E-4</v>
      </c>
      <c r="H535">
        <v>2</v>
      </c>
      <c r="I535">
        <v>2</v>
      </c>
      <c r="J535">
        <v>0.49727671811522828</v>
      </c>
      <c r="K535">
        <v>-0.28286581158563429</v>
      </c>
      <c r="L535">
        <v>110462026.5237771</v>
      </c>
      <c r="M535" t="s">
        <v>232</v>
      </c>
      <c r="N535" t="s">
        <v>254</v>
      </c>
      <c r="O535" t="s">
        <v>256</v>
      </c>
      <c r="P535">
        <v>710</v>
      </c>
      <c r="Q535">
        <v>55</v>
      </c>
      <c r="R535">
        <v>655</v>
      </c>
    </row>
    <row r="536" spans="1:18" x14ac:dyDescent="0.3">
      <c r="A536" t="s">
        <v>1556</v>
      </c>
      <c r="B536">
        <v>2022</v>
      </c>
      <c r="C536">
        <v>0.74242553143728407</v>
      </c>
      <c r="D536">
        <v>0</v>
      </c>
      <c r="E536">
        <v>6</v>
      </c>
      <c r="F536">
        <v>106</v>
      </c>
      <c r="G536">
        <v>2.730742641169E-4</v>
      </c>
      <c r="H536">
        <v>5</v>
      </c>
      <c r="I536">
        <v>3</v>
      </c>
      <c r="J536">
        <v>0.54415260053022863</v>
      </c>
      <c r="K536">
        <v>-0.32672682551368648</v>
      </c>
      <c r="L536">
        <v>266049407.6911833</v>
      </c>
      <c r="M536" t="s">
        <v>232</v>
      </c>
      <c r="N536" t="s">
        <v>254</v>
      </c>
      <c r="O536" t="s">
        <v>258</v>
      </c>
      <c r="P536">
        <v>3045</v>
      </c>
      <c r="Q536">
        <v>205</v>
      </c>
      <c r="R536">
        <v>2840</v>
      </c>
    </row>
    <row r="537" spans="1:18" x14ac:dyDescent="0.3">
      <c r="A537" t="s">
        <v>1557</v>
      </c>
      <c r="B537">
        <v>2022</v>
      </c>
      <c r="C537">
        <v>1.6250552456580289</v>
      </c>
      <c r="D537">
        <v>0</v>
      </c>
      <c r="E537">
        <v>3</v>
      </c>
      <c r="F537">
        <v>75</v>
      </c>
      <c r="G537">
        <v>9.279373440567E-4</v>
      </c>
      <c r="H537">
        <v>5</v>
      </c>
      <c r="I537">
        <v>0</v>
      </c>
      <c r="J537">
        <v>0.36905627076831649</v>
      </c>
      <c r="K537">
        <v>-0.29255602374735068</v>
      </c>
      <c r="L537">
        <v>24928897.401075792</v>
      </c>
      <c r="M537" t="s">
        <v>232</v>
      </c>
      <c r="N537" t="s">
        <v>261</v>
      </c>
      <c r="O537" t="s">
        <v>264</v>
      </c>
      <c r="P537">
        <v>1083</v>
      </c>
      <c r="Q537">
        <v>292</v>
      </c>
      <c r="R537">
        <v>791</v>
      </c>
    </row>
    <row r="538" spans="1:18" x14ac:dyDescent="0.3">
      <c r="A538" t="s">
        <v>1558</v>
      </c>
      <c r="B538">
        <v>2022</v>
      </c>
      <c r="C538">
        <v>0.75040194140962913</v>
      </c>
      <c r="D538">
        <v>0</v>
      </c>
      <c r="E538">
        <v>2</v>
      </c>
      <c r="F538">
        <v>170</v>
      </c>
      <c r="G538">
        <v>2.2783776150690001E-4</v>
      </c>
      <c r="H538">
        <v>4</v>
      </c>
      <c r="I538">
        <v>1</v>
      </c>
      <c r="J538">
        <v>0.36325470980316649</v>
      </c>
      <c r="K538">
        <v>-0.25472492830410581</v>
      </c>
      <c r="L538">
        <v>566550758.9182924</v>
      </c>
      <c r="M538" t="s">
        <v>232</v>
      </c>
      <c r="N538" t="s">
        <v>266</v>
      </c>
      <c r="O538" t="s">
        <v>267</v>
      </c>
      <c r="P538">
        <v>6410</v>
      </c>
      <c r="Q538">
        <v>616</v>
      </c>
      <c r="R538">
        <v>5794</v>
      </c>
    </row>
    <row r="539" spans="1:18" x14ac:dyDescent="0.3">
      <c r="A539" t="s">
        <v>1559</v>
      </c>
      <c r="B539">
        <v>2022</v>
      </c>
      <c r="C539">
        <v>1.1093602055063509</v>
      </c>
      <c r="D539">
        <v>0</v>
      </c>
      <c r="E539">
        <v>2</v>
      </c>
      <c r="F539">
        <v>34</v>
      </c>
      <c r="G539">
        <v>3.9292429300486998E-3</v>
      </c>
      <c r="H539">
        <v>4</v>
      </c>
      <c r="I539">
        <v>0</v>
      </c>
      <c r="J539">
        <v>0.37964238837595887</v>
      </c>
      <c r="K539">
        <v>-0.2009607572319955</v>
      </c>
      <c r="L539">
        <v>14831516.253676429</v>
      </c>
      <c r="M539" t="s">
        <v>232</v>
      </c>
      <c r="N539" t="s">
        <v>269</v>
      </c>
      <c r="O539" t="s">
        <v>270</v>
      </c>
      <c r="P539">
        <v>224</v>
      </c>
      <c r="Q539">
        <v>46</v>
      </c>
      <c r="R539">
        <v>178</v>
      </c>
    </row>
    <row r="540" spans="1:18" x14ac:dyDescent="0.3">
      <c r="A540" t="s">
        <v>1560</v>
      </c>
      <c r="B540">
        <v>2022</v>
      </c>
      <c r="C540">
        <v>1.2742858374846311</v>
      </c>
      <c r="D540">
        <v>0</v>
      </c>
      <c r="E540">
        <v>187</v>
      </c>
      <c r="F540">
        <v>103</v>
      </c>
      <c r="G540">
        <v>8.171312670876E-4</v>
      </c>
      <c r="H540">
        <v>6</v>
      </c>
      <c r="I540">
        <v>1</v>
      </c>
      <c r="J540">
        <v>0.27543393204204508</v>
      </c>
      <c r="K540">
        <v>-0.16016358756941579</v>
      </c>
      <c r="L540">
        <v>33072385.00980176</v>
      </c>
      <c r="M540" t="s">
        <v>232</v>
      </c>
      <c r="N540" t="s">
        <v>269</v>
      </c>
      <c r="O540" t="s">
        <v>271</v>
      </c>
      <c r="P540">
        <v>1156</v>
      </c>
      <c r="Q540">
        <v>211</v>
      </c>
      <c r="R540">
        <v>945</v>
      </c>
    </row>
    <row r="541" spans="1:18" x14ac:dyDescent="0.3">
      <c r="A541" t="s">
        <v>1561</v>
      </c>
      <c r="B541">
        <v>2022</v>
      </c>
      <c r="C541">
        <v>1.041956682258699</v>
      </c>
      <c r="D541">
        <v>0</v>
      </c>
      <c r="E541">
        <v>215</v>
      </c>
      <c r="F541">
        <v>78</v>
      </c>
      <c r="G541">
        <v>1.3854350409876E-3</v>
      </c>
      <c r="H541">
        <v>1</v>
      </c>
      <c r="I541">
        <v>0</v>
      </c>
      <c r="J541">
        <v>0.2797697154913571</v>
      </c>
      <c r="K541">
        <v>-0.221135106860084</v>
      </c>
      <c r="L541">
        <v>21194919.701007821</v>
      </c>
      <c r="M541" t="s">
        <v>232</v>
      </c>
      <c r="N541" t="s">
        <v>269</v>
      </c>
      <c r="O541" t="s">
        <v>277</v>
      </c>
      <c r="P541">
        <v>274</v>
      </c>
      <c r="Q541">
        <v>35</v>
      </c>
      <c r="R541">
        <v>239</v>
      </c>
    </row>
    <row r="542" spans="1:18" x14ac:dyDescent="0.3">
      <c r="A542" t="s">
        <v>1562</v>
      </c>
      <c r="B542">
        <v>2022</v>
      </c>
      <c r="C542">
        <v>2.6885374222425198</v>
      </c>
      <c r="D542">
        <v>0</v>
      </c>
      <c r="E542">
        <v>153</v>
      </c>
      <c r="F542">
        <v>127</v>
      </c>
      <c r="G542">
        <v>9.8725571852590005E-4</v>
      </c>
      <c r="H542">
        <v>1</v>
      </c>
      <c r="I542">
        <v>2</v>
      </c>
      <c r="J542">
        <v>0.35709581842283938</v>
      </c>
      <c r="K542">
        <v>-0.2139302721657291</v>
      </c>
      <c r="L542">
        <v>31741179.317875359</v>
      </c>
      <c r="M542" t="s">
        <v>232</v>
      </c>
      <c r="N542" t="s">
        <v>279</v>
      </c>
      <c r="O542" t="s">
        <v>279</v>
      </c>
      <c r="P542">
        <v>2243</v>
      </c>
      <c r="Q542">
        <v>1426</v>
      </c>
      <c r="R542">
        <v>817</v>
      </c>
    </row>
    <row r="543" spans="1:18" x14ac:dyDescent="0.3">
      <c r="A543" t="s">
        <v>1563</v>
      </c>
      <c r="B543">
        <v>2022</v>
      </c>
      <c r="C543">
        <v>0.79783914327616767</v>
      </c>
      <c r="D543">
        <v>0</v>
      </c>
      <c r="E543">
        <v>14</v>
      </c>
      <c r="F543">
        <v>74</v>
      </c>
      <c r="G543">
        <v>1.3118308938244001E-3</v>
      </c>
      <c r="H543">
        <v>1</v>
      </c>
      <c r="I543">
        <v>0</v>
      </c>
      <c r="J543">
        <v>0.44034811905064108</v>
      </c>
      <c r="K543">
        <v>-0.22404969143453171</v>
      </c>
      <c r="L543">
        <v>74222642.894390225</v>
      </c>
      <c r="M543" t="s">
        <v>232</v>
      </c>
      <c r="N543" t="s">
        <v>279</v>
      </c>
      <c r="O543" t="s">
        <v>280</v>
      </c>
      <c r="P543">
        <v>1294</v>
      </c>
      <c r="Q543">
        <v>644</v>
      </c>
      <c r="R543">
        <v>650</v>
      </c>
    </row>
    <row r="544" spans="1:18" x14ac:dyDescent="0.3">
      <c r="A544" t="s">
        <v>1564</v>
      </c>
      <c r="B544">
        <v>2022</v>
      </c>
      <c r="C544">
        <v>0.68903569604494563</v>
      </c>
      <c r="D544">
        <v>0</v>
      </c>
      <c r="E544">
        <v>795</v>
      </c>
      <c r="F544">
        <v>50</v>
      </c>
      <c r="G544">
        <v>1.0029761090791999E-3</v>
      </c>
      <c r="H544">
        <v>3</v>
      </c>
      <c r="I544">
        <v>0</v>
      </c>
      <c r="J544">
        <v>0.38767325417432269</v>
      </c>
      <c r="K544">
        <v>-0.18537612623322439</v>
      </c>
      <c r="L544">
        <v>72965311.079347253</v>
      </c>
      <c r="M544" t="s">
        <v>232</v>
      </c>
      <c r="N544" t="s">
        <v>279</v>
      </c>
      <c r="O544" t="s">
        <v>282</v>
      </c>
      <c r="P544">
        <v>533</v>
      </c>
      <c r="Q544">
        <v>193</v>
      </c>
      <c r="R544">
        <v>340</v>
      </c>
    </row>
    <row r="545" spans="1:18" x14ac:dyDescent="0.3">
      <c r="A545" t="s">
        <v>1565</v>
      </c>
      <c r="B545">
        <v>2022</v>
      </c>
      <c r="C545">
        <v>4.9455863292099984</v>
      </c>
      <c r="D545">
        <v>0</v>
      </c>
      <c r="E545">
        <v>2</v>
      </c>
      <c r="F545">
        <v>38</v>
      </c>
      <c r="G545">
        <v>6.2722103766878999E-3</v>
      </c>
      <c r="H545">
        <v>2</v>
      </c>
      <c r="I545">
        <v>0</v>
      </c>
      <c r="J545">
        <v>0.34611477580375383</v>
      </c>
      <c r="K545">
        <v>-0.22437688800935801</v>
      </c>
      <c r="L545">
        <v>3872150.4455581652</v>
      </c>
      <c r="M545" t="s">
        <v>232</v>
      </c>
      <c r="N545" t="s">
        <v>279</v>
      </c>
      <c r="O545" t="s">
        <v>283</v>
      </c>
      <c r="P545">
        <v>1093</v>
      </c>
      <c r="Q545">
        <v>582</v>
      </c>
      <c r="R545">
        <v>511</v>
      </c>
    </row>
    <row r="546" spans="1:18" x14ac:dyDescent="0.3">
      <c r="A546" t="s">
        <v>1566</v>
      </c>
      <c r="B546">
        <v>2022</v>
      </c>
      <c r="C546">
        <v>1.143391539802773</v>
      </c>
      <c r="D546">
        <v>0</v>
      </c>
      <c r="E546">
        <v>254</v>
      </c>
      <c r="F546">
        <v>52</v>
      </c>
      <c r="G546">
        <v>1.3245021517688E-3</v>
      </c>
      <c r="H546">
        <v>8</v>
      </c>
      <c r="I546">
        <v>1</v>
      </c>
      <c r="J546">
        <v>0.38339666572777109</v>
      </c>
      <c r="K546">
        <v>-0.20591190060089021</v>
      </c>
      <c r="L546">
        <v>25189461.50343639</v>
      </c>
      <c r="M546" t="s">
        <v>232</v>
      </c>
      <c r="N546" t="s">
        <v>279</v>
      </c>
      <c r="O546" t="s">
        <v>285</v>
      </c>
      <c r="P546">
        <v>249</v>
      </c>
      <c r="Q546">
        <v>126</v>
      </c>
      <c r="R546">
        <v>123</v>
      </c>
    </row>
    <row r="547" spans="1:18" x14ac:dyDescent="0.3">
      <c r="A547" t="s">
        <v>1567</v>
      </c>
      <c r="B547">
        <v>2022</v>
      </c>
      <c r="C547">
        <v>1.1900967337866291</v>
      </c>
      <c r="D547">
        <v>0</v>
      </c>
      <c r="E547">
        <v>2</v>
      </c>
      <c r="F547">
        <v>452</v>
      </c>
      <c r="G547">
        <v>2.3129822464930001E-4</v>
      </c>
      <c r="H547">
        <v>1</v>
      </c>
      <c r="I547">
        <v>2</v>
      </c>
      <c r="J547">
        <v>0.280105259996561</v>
      </c>
      <c r="K547">
        <v>-0.138361568363014</v>
      </c>
      <c r="L547">
        <v>159262757.17903429</v>
      </c>
      <c r="M547" t="s">
        <v>232</v>
      </c>
      <c r="N547" t="s">
        <v>286</v>
      </c>
      <c r="O547" t="s">
        <v>286</v>
      </c>
      <c r="P547">
        <v>16593</v>
      </c>
      <c r="Q547">
        <v>10587</v>
      </c>
      <c r="R547">
        <v>6006</v>
      </c>
    </row>
    <row r="548" spans="1:18" x14ac:dyDescent="0.3">
      <c r="A548" t="s">
        <v>1568</v>
      </c>
      <c r="B548">
        <v>2022</v>
      </c>
      <c r="C548">
        <v>2.7033959514972432</v>
      </c>
      <c r="D548">
        <v>0</v>
      </c>
      <c r="E548">
        <v>102</v>
      </c>
      <c r="F548">
        <v>341</v>
      </c>
      <c r="G548">
        <v>7.7037830144640002E-4</v>
      </c>
      <c r="H548">
        <v>18</v>
      </c>
      <c r="I548">
        <v>1</v>
      </c>
      <c r="J548">
        <v>0.344415592399755</v>
      </c>
      <c r="K548">
        <v>-0.31803041095879592</v>
      </c>
      <c r="L548">
        <v>97312099.186405927</v>
      </c>
      <c r="M548" t="s">
        <v>287</v>
      </c>
      <c r="N548" t="s">
        <v>290</v>
      </c>
      <c r="O548" t="s">
        <v>291</v>
      </c>
      <c r="P548">
        <v>1924</v>
      </c>
      <c r="Q548">
        <v>889</v>
      </c>
      <c r="R548">
        <v>1035</v>
      </c>
    </row>
    <row r="549" spans="1:18" x14ac:dyDescent="0.3">
      <c r="A549" t="s">
        <v>1569</v>
      </c>
      <c r="B549">
        <v>2022</v>
      </c>
      <c r="C549">
        <v>0.94214153723806104</v>
      </c>
      <c r="D549">
        <v>0</v>
      </c>
      <c r="E549">
        <v>1</v>
      </c>
      <c r="F549">
        <v>94</v>
      </c>
      <c r="G549">
        <v>1.1996709393154001E-3</v>
      </c>
      <c r="H549">
        <v>3</v>
      </c>
      <c r="I549">
        <v>0</v>
      </c>
      <c r="J549">
        <v>0.34142628414496468</v>
      </c>
      <c r="K549">
        <v>-0.32028750703375147</v>
      </c>
      <c r="L549">
        <v>78357856.658124626</v>
      </c>
      <c r="M549" t="s">
        <v>287</v>
      </c>
      <c r="N549" t="s">
        <v>290</v>
      </c>
      <c r="O549" t="s">
        <v>293</v>
      </c>
      <c r="P549">
        <v>883</v>
      </c>
      <c r="Q549">
        <v>423</v>
      </c>
      <c r="R549">
        <v>460</v>
      </c>
    </row>
    <row r="550" spans="1:18" x14ac:dyDescent="0.3">
      <c r="A550" t="s">
        <v>1570</v>
      </c>
      <c r="B550">
        <v>2022</v>
      </c>
      <c r="C550">
        <v>0.7047014803348054</v>
      </c>
      <c r="D550">
        <v>0</v>
      </c>
      <c r="E550">
        <v>2</v>
      </c>
      <c r="F550">
        <v>29</v>
      </c>
      <c r="G550">
        <v>1.0626986569969E-3</v>
      </c>
      <c r="H550">
        <v>1</v>
      </c>
      <c r="I550">
        <v>0</v>
      </c>
      <c r="J550">
        <v>0.3819334810723658</v>
      </c>
      <c r="K550">
        <v>-0.16478890357551829</v>
      </c>
      <c r="L550">
        <v>96215852.769127727</v>
      </c>
      <c r="M550" t="s">
        <v>287</v>
      </c>
      <c r="N550" t="s">
        <v>295</v>
      </c>
      <c r="O550" t="s">
        <v>300</v>
      </c>
      <c r="P550">
        <v>302</v>
      </c>
      <c r="Q550">
        <v>90</v>
      </c>
      <c r="R550">
        <v>212</v>
      </c>
    </row>
    <row r="551" spans="1:18" x14ac:dyDescent="0.3">
      <c r="A551" t="s">
        <v>1571</v>
      </c>
      <c r="B551">
        <v>2022</v>
      </c>
      <c r="C551">
        <v>2.0036949390854302</v>
      </c>
      <c r="D551">
        <v>0</v>
      </c>
      <c r="E551">
        <v>3</v>
      </c>
      <c r="F551">
        <v>61</v>
      </c>
      <c r="G551">
        <v>3.0124548553684002E-3</v>
      </c>
      <c r="H551">
        <v>6</v>
      </c>
      <c r="I551">
        <v>0</v>
      </c>
      <c r="J551">
        <v>0.2742893696546756</v>
      </c>
      <c r="K551">
        <v>-0.17063301550867249</v>
      </c>
      <c r="L551">
        <v>12832705.53656273</v>
      </c>
      <c r="M551" t="s">
        <v>287</v>
      </c>
      <c r="N551" t="s">
        <v>301</v>
      </c>
      <c r="O551" t="s">
        <v>302</v>
      </c>
      <c r="P551">
        <v>1586</v>
      </c>
      <c r="Q551">
        <v>990</v>
      </c>
      <c r="R551">
        <v>596</v>
      </c>
    </row>
    <row r="552" spans="1:18" x14ac:dyDescent="0.3">
      <c r="A552" t="s">
        <v>1572</v>
      </c>
      <c r="B552">
        <v>2022</v>
      </c>
      <c r="C552">
        <v>0.97947888123550997</v>
      </c>
      <c r="D552">
        <v>0</v>
      </c>
      <c r="E552">
        <v>105</v>
      </c>
      <c r="F552">
        <v>128</v>
      </c>
      <c r="G552">
        <v>3.7754939704020001E-4</v>
      </c>
      <c r="H552">
        <v>10</v>
      </c>
      <c r="I552">
        <v>1</v>
      </c>
      <c r="J552">
        <v>0.51570568334273093</v>
      </c>
      <c r="K552">
        <v>-0.27307238713451781</v>
      </c>
      <c r="L552">
        <v>331634658.39531279</v>
      </c>
      <c r="M552" t="s">
        <v>287</v>
      </c>
      <c r="N552" t="s">
        <v>303</v>
      </c>
      <c r="O552" t="s">
        <v>303</v>
      </c>
      <c r="P552">
        <v>2251</v>
      </c>
      <c r="Q552">
        <v>841</v>
      </c>
      <c r="R552">
        <v>1410</v>
      </c>
    </row>
    <row r="553" spans="1:18" x14ac:dyDescent="0.3">
      <c r="A553" t="s">
        <v>1573</v>
      </c>
      <c r="B553">
        <v>2022</v>
      </c>
      <c r="C553">
        <v>2.356649381968702</v>
      </c>
      <c r="D553">
        <v>0</v>
      </c>
      <c r="E553">
        <v>4</v>
      </c>
      <c r="F553">
        <v>79</v>
      </c>
      <c r="G553">
        <v>2.8043436845113E-3</v>
      </c>
      <c r="H553">
        <v>14</v>
      </c>
      <c r="I553">
        <v>0</v>
      </c>
      <c r="J553">
        <v>0.28618753950083881</v>
      </c>
      <c r="K553">
        <v>2.2541300274788501E-2</v>
      </c>
      <c r="L553">
        <v>68638007.318094447</v>
      </c>
      <c r="M553" t="s">
        <v>287</v>
      </c>
      <c r="N553" t="s">
        <v>304</v>
      </c>
      <c r="O553" t="s">
        <v>305</v>
      </c>
      <c r="P553">
        <v>7337</v>
      </c>
      <c r="Q553">
        <v>2486</v>
      </c>
      <c r="R553">
        <v>4851</v>
      </c>
    </row>
    <row r="554" spans="1:18" x14ac:dyDescent="0.3">
      <c r="A554" t="s">
        <v>1574</v>
      </c>
      <c r="B554">
        <v>2022</v>
      </c>
      <c r="C554">
        <v>5.0568447102834471</v>
      </c>
      <c r="D554">
        <v>0</v>
      </c>
      <c r="E554">
        <v>2</v>
      </c>
      <c r="F554">
        <v>68</v>
      </c>
      <c r="G554">
        <v>5.2753288047405001E-3</v>
      </c>
      <c r="H554">
        <v>2</v>
      </c>
      <c r="I554">
        <v>0</v>
      </c>
      <c r="J554">
        <v>0.54232119115495381</v>
      </c>
      <c r="K554">
        <v>-0.15342595267831191</v>
      </c>
      <c r="L554">
        <v>13621122.85141393</v>
      </c>
      <c r="M554" t="s">
        <v>287</v>
      </c>
      <c r="N554" t="s">
        <v>304</v>
      </c>
      <c r="O554" t="s">
        <v>306</v>
      </c>
      <c r="P554">
        <v>4433</v>
      </c>
      <c r="Q554">
        <v>1786</v>
      </c>
      <c r="R554">
        <v>2647</v>
      </c>
    </row>
    <row r="555" spans="1:18" x14ac:dyDescent="0.3">
      <c r="A555" t="s">
        <v>1575</v>
      </c>
      <c r="B555">
        <v>2022</v>
      </c>
      <c r="C555">
        <v>1.778547744400544</v>
      </c>
      <c r="D555">
        <v>0</v>
      </c>
      <c r="E555">
        <v>1</v>
      </c>
      <c r="F555">
        <v>179</v>
      </c>
      <c r="G555">
        <v>9.4074498944329995E-4</v>
      </c>
      <c r="H555">
        <v>8</v>
      </c>
      <c r="I555">
        <v>1</v>
      </c>
      <c r="J555">
        <v>0.168053998105062</v>
      </c>
      <c r="K555">
        <v>5.9779926196695102E-2</v>
      </c>
      <c r="L555">
        <v>106274088.282993</v>
      </c>
      <c r="M555" t="s">
        <v>287</v>
      </c>
      <c r="N555" t="s">
        <v>304</v>
      </c>
      <c r="O555" t="s">
        <v>307</v>
      </c>
      <c r="P555">
        <v>5326</v>
      </c>
      <c r="Q555">
        <v>1921</v>
      </c>
      <c r="R555">
        <v>3405</v>
      </c>
    </row>
    <row r="556" spans="1:18" x14ac:dyDescent="0.3">
      <c r="A556" t="s">
        <v>1576</v>
      </c>
      <c r="B556">
        <v>2022</v>
      </c>
      <c r="C556">
        <v>1.1745588310453079</v>
      </c>
      <c r="D556">
        <v>0</v>
      </c>
      <c r="E556">
        <v>1</v>
      </c>
      <c r="F556">
        <v>127</v>
      </c>
      <c r="G556">
        <v>1.9189532370773E-3</v>
      </c>
      <c r="H556">
        <v>4</v>
      </c>
      <c r="I556">
        <v>1</v>
      </c>
      <c r="J556">
        <v>0.34238195811715211</v>
      </c>
      <c r="K556">
        <v>-0.1517152529781787</v>
      </c>
      <c r="L556">
        <v>155368035.4006398</v>
      </c>
      <c r="M556" t="s">
        <v>287</v>
      </c>
      <c r="N556" t="s">
        <v>304</v>
      </c>
      <c r="O556" t="s">
        <v>308</v>
      </c>
      <c r="P556">
        <v>6765</v>
      </c>
      <c r="Q556">
        <v>4029</v>
      </c>
      <c r="R556">
        <v>2736</v>
      </c>
    </row>
    <row r="557" spans="1:18" x14ac:dyDescent="0.3">
      <c r="A557" t="s">
        <v>1577</v>
      </c>
      <c r="B557">
        <v>2022</v>
      </c>
      <c r="C557">
        <v>2.8728168332673918</v>
      </c>
      <c r="D557">
        <v>0</v>
      </c>
      <c r="E557">
        <v>221</v>
      </c>
      <c r="F557">
        <v>146</v>
      </c>
      <c r="G557">
        <v>1.648134475841E-3</v>
      </c>
      <c r="H557">
        <v>8</v>
      </c>
      <c r="I557">
        <v>3</v>
      </c>
      <c r="J557">
        <v>0.54941031579026256</v>
      </c>
      <c r="K557">
        <v>-0.2193137623681834</v>
      </c>
      <c r="L557">
        <v>41270073.018962868</v>
      </c>
      <c r="M557" t="s">
        <v>287</v>
      </c>
      <c r="N557" t="s">
        <v>312</v>
      </c>
      <c r="O557" t="s">
        <v>313</v>
      </c>
      <c r="P557">
        <v>7708</v>
      </c>
      <c r="Q557">
        <v>4426</v>
      </c>
      <c r="R557">
        <v>3282</v>
      </c>
    </row>
    <row r="558" spans="1:18" x14ac:dyDescent="0.3">
      <c r="A558" t="s">
        <v>1578</v>
      </c>
      <c r="B558">
        <v>2022</v>
      </c>
      <c r="C558">
        <v>1.415346044647394</v>
      </c>
      <c r="D558">
        <v>0</v>
      </c>
      <c r="E558">
        <v>2</v>
      </c>
      <c r="F558">
        <v>147</v>
      </c>
      <c r="G558">
        <v>6.4967845758540001E-4</v>
      </c>
      <c r="H558">
        <v>2</v>
      </c>
      <c r="I558">
        <v>1</v>
      </c>
      <c r="J558">
        <v>0.45645341329307049</v>
      </c>
      <c r="K558">
        <v>-0.20966190852075869</v>
      </c>
      <c r="L558">
        <v>61143170.887276657</v>
      </c>
      <c r="M558" t="s">
        <v>287</v>
      </c>
      <c r="N558" t="s">
        <v>312</v>
      </c>
      <c r="O558" t="s">
        <v>314</v>
      </c>
      <c r="P558">
        <v>2887</v>
      </c>
      <c r="Q558">
        <v>1672</v>
      </c>
      <c r="R558">
        <v>1215</v>
      </c>
    </row>
    <row r="559" spans="1:18" x14ac:dyDescent="0.3">
      <c r="A559" t="s">
        <v>1579</v>
      </c>
      <c r="B559">
        <v>2022</v>
      </c>
      <c r="C559">
        <v>5.465405769302885</v>
      </c>
      <c r="D559">
        <v>0</v>
      </c>
      <c r="E559">
        <v>21</v>
      </c>
      <c r="F559">
        <v>81</v>
      </c>
      <c r="G559">
        <v>4.6029919447640004E-3</v>
      </c>
      <c r="H559">
        <v>4</v>
      </c>
      <c r="I559">
        <v>1</v>
      </c>
      <c r="J559">
        <v>0.55536384628478608</v>
      </c>
      <c r="K559">
        <v>-0.18048716376214941</v>
      </c>
      <c r="L559">
        <v>16194565.74471694</v>
      </c>
      <c r="M559" t="s">
        <v>287</v>
      </c>
      <c r="N559" t="s">
        <v>312</v>
      </c>
      <c r="O559" t="s">
        <v>315</v>
      </c>
      <c r="P559">
        <v>4025</v>
      </c>
      <c r="Q559">
        <v>1648</v>
      </c>
      <c r="R559">
        <v>2377</v>
      </c>
    </row>
    <row r="560" spans="1:18" x14ac:dyDescent="0.3">
      <c r="A560" t="s">
        <v>1580</v>
      </c>
      <c r="B560">
        <v>2022</v>
      </c>
      <c r="C560">
        <v>1.069511978468856</v>
      </c>
      <c r="D560">
        <v>0</v>
      </c>
      <c r="E560">
        <v>8</v>
      </c>
      <c r="F560">
        <v>27</v>
      </c>
      <c r="G560">
        <v>2.9628311497653E-3</v>
      </c>
      <c r="H560">
        <v>9</v>
      </c>
      <c r="I560">
        <v>0</v>
      </c>
      <c r="J560">
        <v>0.49910611251004489</v>
      </c>
      <c r="K560">
        <v>-0.27478056546918289</v>
      </c>
      <c r="L560">
        <v>30183190.861776471</v>
      </c>
      <c r="M560" t="s">
        <v>287</v>
      </c>
      <c r="N560" t="s">
        <v>312</v>
      </c>
      <c r="O560" t="s">
        <v>317</v>
      </c>
      <c r="P560">
        <v>904</v>
      </c>
      <c r="Q560">
        <v>365</v>
      </c>
      <c r="R560">
        <v>539</v>
      </c>
    </row>
    <row r="561" spans="1:18" x14ac:dyDescent="0.3">
      <c r="A561" t="s">
        <v>1581</v>
      </c>
      <c r="B561">
        <v>2022</v>
      </c>
      <c r="C561">
        <v>0.91870414458074323</v>
      </c>
      <c r="D561">
        <v>0</v>
      </c>
      <c r="E561">
        <v>1</v>
      </c>
      <c r="F561">
        <v>95</v>
      </c>
      <c r="G561">
        <v>3.6330156192139999E-4</v>
      </c>
      <c r="H561">
        <v>2</v>
      </c>
      <c r="I561">
        <v>1</v>
      </c>
      <c r="J561">
        <v>0.41149861146516897</v>
      </c>
      <c r="K561">
        <v>-0.20804850435343381</v>
      </c>
      <c r="L561">
        <v>84232965.983198225</v>
      </c>
      <c r="M561" t="s">
        <v>287</v>
      </c>
      <c r="N561" t="s">
        <v>319</v>
      </c>
      <c r="O561" t="s">
        <v>322</v>
      </c>
      <c r="P561">
        <v>1264</v>
      </c>
      <c r="Q561">
        <v>636</v>
      </c>
      <c r="R561">
        <v>628</v>
      </c>
    </row>
    <row r="562" spans="1:18" x14ac:dyDescent="0.3">
      <c r="A562" t="s">
        <v>1582</v>
      </c>
      <c r="B562">
        <v>2022</v>
      </c>
      <c r="C562">
        <v>0.94261008863828277</v>
      </c>
      <c r="D562">
        <v>0</v>
      </c>
      <c r="E562">
        <v>1</v>
      </c>
      <c r="F562">
        <v>91</v>
      </c>
      <c r="G562">
        <v>2.878515384333E-4</v>
      </c>
      <c r="H562">
        <v>2</v>
      </c>
      <c r="I562">
        <v>0</v>
      </c>
      <c r="J562">
        <v>0.24257298335486241</v>
      </c>
      <c r="K562">
        <v>-9.2301713182950801E-2</v>
      </c>
      <c r="L562">
        <v>117150827.51129749</v>
      </c>
      <c r="M562" t="s">
        <v>287</v>
      </c>
      <c r="N562" t="s">
        <v>319</v>
      </c>
      <c r="O562" t="s">
        <v>325</v>
      </c>
      <c r="P562">
        <v>2775</v>
      </c>
      <c r="Q562">
        <v>1128</v>
      </c>
      <c r="R562">
        <v>1647</v>
      </c>
    </row>
    <row r="563" spans="1:18" x14ac:dyDescent="0.3">
      <c r="A563" t="s">
        <v>1583</v>
      </c>
      <c r="B563">
        <v>2022</v>
      </c>
      <c r="C563">
        <v>1.636678632317863</v>
      </c>
      <c r="D563">
        <v>0</v>
      </c>
      <c r="E563">
        <v>1</v>
      </c>
      <c r="F563">
        <v>21</v>
      </c>
      <c r="G563">
        <v>1.0416666666666001E-3</v>
      </c>
      <c r="H563">
        <v>1</v>
      </c>
      <c r="I563">
        <v>0</v>
      </c>
      <c r="J563">
        <v>0.56157393115711751</v>
      </c>
      <c r="K563">
        <v>-0.32523616805705008</v>
      </c>
      <c r="L563">
        <v>17341960.365821101</v>
      </c>
      <c r="M563" t="s">
        <v>287</v>
      </c>
      <c r="N563" t="s">
        <v>326</v>
      </c>
      <c r="O563" t="s">
        <v>327</v>
      </c>
      <c r="P563">
        <v>538</v>
      </c>
      <c r="Q563">
        <v>269</v>
      </c>
      <c r="R563">
        <v>269</v>
      </c>
    </row>
    <row r="564" spans="1:18" x14ac:dyDescent="0.3">
      <c r="A564" t="s">
        <v>1584</v>
      </c>
      <c r="B564">
        <v>2022</v>
      </c>
      <c r="C564">
        <v>0.81619708703746729</v>
      </c>
      <c r="D564">
        <v>0</v>
      </c>
      <c r="E564">
        <v>3</v>
      </c>
      <c r="F564">
        <v>60</v>
      </c>
      <c r="G564">
        <v>4.4583054792459998E-4</v>
      </c>
      <c r="H564">
        <v>1</v>
      </c>
      <c r="I564">
        <v>0</v>
      </c>
      <c r="J564">
        <v>0.50048337300385326</v>
      </c>
      <c r="K564">
        <v>-0.28207337378961089</v>
      </c>
      <c r="L564">
        <v>152381675.683404</v>
      </c>
      <c r="M564" t="s">
        <v>287</v>
      </c>
      <c r="N564" t="s">
        <v>326</v>
      </c>
      <c r="O564" t="s">
        <v>329</v>
      </c>
      <c r="P564">
        <v>937</v>
      </c>
      <c r="Q564">
        <v>308</v>
      </c>
      <c r="R564">
        <v>629</v>
      </c>
    </row>
    <row r="565" spans="1:18" x14ac:dyDescent="0.3">
      <c r="A565" t="s">
        <v>1585</v>
      </c>
      <c r="B565">
        <v>2022</v>
      </c>
      <c r="C565">
        <v>1.4096604369852559</v>
      </c>
      <c r="D565">
        <v>0</v>
      </c>
      <c r="E565">
        <v>458</v>
      </c>
      <c r="F565">
        <v>44</v>
      </c>
      <c r="G565">
        <v>7.7957411186102997E-3</v>
      </c>
      <c r="H565">
        <v>6</v>
      </c>
      <c r="I565">
        <v>0</v>
      </c>
      <c r="J565">
        <v>9.5584598810287302E-2</v>
      </c>
      <c r="K565">
        <v>0.22525696114194779</v>
      </c>
      <c r="L565">
        <v>326086852.44249761</v>
      </c>
      <c r="M565" t="s">
        <v>287</v>
      </c>
      <c r="N565" t="s">
        <v>330</v>
      </c>
      <c r="O565" t="s">
        <v>332</v>
      </c>
      <c r="P565">
        <v>1126</v>
      </c>
      <c r="Q565">
        <v>351</v>
      </c>
      <c r="R565">
        <v>775</v>
      </c>
    </row>
    <row r="566" spans="1:18" x14ac:dyDescent="0.3">
      <c r="A566" t="s">
        <v>1586</v>
      </c>
      <c r="B566">
        <v>2022</v>
      </c>
      <c r="C566">
        <v>1.051741314379504</v>
      </c>
      <c r="D566">
        <v>0</v>
      </c>
      <c r="E566">
        <v>2</v>
      </c>
      <c r="F566">
        <v>81</v>
      </c>
      <c r="G566">
        <v>8.5791542425860004E-4</v>
      </c>
      <c r="H566">
        <v>5</v>
      </c>
      <c r="I566">
        <v>1</v>
      </c>
      <c r="J566">
        <v>0.45681374168348837</v>
      </c>
      <c r="K566">
        <v>-0.23138523620264681</v>
      </c>
      <c r="L566">
        <v>107676051.8982849</v>
      </c>
      <c r="M566" t="s">
        <v>287</v>
      </c>
      <c r="N566" t="s">
        <v>330</v>
      </c>
      <c r="O566" t="s">
        <v>302</v>
      </c>
      <c r="P566">
        <v>2732</v>
      </c>
      <c r="Q566">
        <v>1204</v>
      </c>
      <c r="R566">
        <v>1528</v>
      </c>
    </row>
    <row r="567" spans="1:18" x14ac:dyDescent="0.3">
      <c r="A567" t="s">
        <v>1587</v>
      </c>
      <c r="B567">
        <v>2022</v>
      </c>
      <c r="C567">
        <v>0.91442351089487905</v>
      </c>
      <c r="D567">
        <v>0</v>
      </c>
      <c r="E567">
        <v>1</v>
      </c>
      <c r="F567">
        <v>87</v>
      </c>
      <c r="G567">
        <v>3.1740887576940001E-4</v>
      </c>
      <c r="H567">
        <v>17</v>
      </c>
      <c r="I567">
        <v>0</v>
      </c>
      <c r="J567">
        <v>0.51139645271951761</v>
      </c>
      <c r="K567">
        <v>-0.30066203481532011</v>
      </c>
      <c r="L567">
        <v>156765311.98949009</v>
      </c>
      <c r="M567" t="s">
        <v>287</v>
      </c>
      <c r="N567" t="s">
        <v>336</v>
      </c>
      <c r="O567" t="s">
        <v>340</v>
      </c>
      <c r="P567">
        <v>1832</v>
      </c>
      <c r="Q567">
        <v>504</v>
      </c>
      <c r="R567">
        <v>1328</v>
      </c>
    </row>
    <row r="568" spans="1:18" x14ac:dyDescent="0.3">
      <c r="A568" t="s">
        <v>1588</v>
      </c>
      <c r="B568">
        <v>2022</v>
      </c>
      <c r="C568">
        <v>0.70612638296605679</v>
      </c>
      <c r="D568">
        <v>0</v>
      </c>
      <c r="E568">
        <v>1</v>
      </c>
      <c r="F568">
        <v>39</v>
      </c>
      <c r="G568">
        <v>9.385260994493E-4</v>
      </c>
      <c r="H568">
        <v>2</v>
      </c>
      <c r="I568">
        <v>1</v>
      </c>
      <c r="J568">
        <v>0.58256641387364227</v>
      </c>
      <c r="K568">
        <v>-0.30172808133806189</v>
      </c>
      <c r="L568">
        <v>97277967.933611199</v>
      </c>
      <c r="M568" t="s">
        <v>287</v>
      </c>
      <c r="N568" t="s">
        <v>336</v>
      </c>
      <c r="O568" t="s">
        <v>345</v>
      </c>
      <c r="P568">
        <v>768</v>
      </c>
      <c r="Q568">
        <v>125</v>
      </c>
      <c r="R568">
        <v>643</v>
      </c>
    </row>
    <row r="569" spans="1:18" x14ac:dyDescent="0.3">
      <c r="A569" t="s">
        <v>1589</v>
      </c>
      <c r="B569">
        <v>2022</v>
      </c>
      <c r="C569">
        <v>0.75504140175494172</v>
      </c>
      <c r="D569">
        <v>0</v>
      </c>
      <c r="E569">
        <v>1</v>
      </c>
      <c r="F569">
        <v>48</v>
      </c>
      <c r="G569">
        <v>3.82555191092E-4</v>
      </c>
      <c r="H569">
        <v>1</v>
      </c>
      <c r="I569">
        <v>1</v>
      </c>
      <c r="J569">
        <v>0.3759821067582651</v>
      </c>
      <c r="K569">
        <v>-0.29369614572360681</v>
      </c>
      <c r="L569">
        <v>83192176.685333073</v>
      </c>
      <c r="M569" t="s">
        <v>287</v>
      </c>
      <c r="N569" t="s">
        <v>346</v>
      </c>
      <c r="O569" t="s">
        <v>175</v>
      </c>
      <c r="P569">
        <v>871</v>
      </c>
      <c r="Q569">
        <v>327</v>
      </c>
      <c r="R569">
        <v>544</v>
      </c>
    </row>
    <row r="570" spans="1:18" x14ac:dyDescent="0.3">
      <c r="A570" t="s">
        <v>1590</v>
      </c>
      <c r="B570">
        <v>2022</v>
      </c>
      <c r="C570">
        <v>0.96202333065989321</v>
      </c>
      <c r="D570">
        <v>0</v>
      </c>
      <c r="E570">
        <v>1</v>
      </c>
      <c r="F570">
        <v>40</v>
      </c>
      <c r="G570">
        <v>1.446116574449E-3</v>
      </c>
      <c r="H570">
        <v>4</v>
      </c>
      <c r="I570">
        <v>0</v>
      </c>
      <c r="J570">
        <v>0.32362418879799359</v>
      </c>
      <c r="K570">
        <v>-0.2180403996642892</v>
      </c>
      <c r="L570">
        <v>78463336.88205424</v>
      </c>
      <c r="M570" t="s">
        <v>287</v>
      </c>
      <c r="N570" t="s">
        <v>346</v>
      </c>
      <c r="O570" t="s">
        <v>347</v>
      </c>
      <c r="P570">
        <v>880</v>
      </c>
      <c r="Q570">
        <v>605</v>
      </c>
      <c r="R570">
        <v>275</v>
      </c>
    </row>
    <row r="571" spans="1:18" x14ac:dyDescent="0.3">
      <c r="A571" t="s">
        <v>1591</v>
      </c>
      <c r="B571">
        <v>2022</v>
      </c>
      <c r="C571">
        <v>1.2483607838456949</v>
      </c>
      <c r="D571">
        <v>0</v>
      </c>
      <c r="E571">
        <v>2013</v>
      </c>
      <c r="F571">
        <v>439</v>
      </c>
      <c r="G571">
        <v>2.5571928196490001E-4</v>
      </c>
      <c r="H571">
        <v>39</v>
      </c>
      <c r="I571">
        <v>9</v>
      </c>
      <c r="J571">
        <v>0.30433170203007048</v>
      </c>
      <c r="K571">
        <v>-0.1090816349035925</v>
      </c>
      <c r="L571">
        <v>167430249.1909664</v>
      </c>
      <c r="M571" t="s">
        <v>348</v>
      </c>
      <c r="N571" t="s">
        <v>348</v>
      </c>
      <c r="O571" t="s">
        <v>349</v>
      </c>
      <c r="P571">
        <v>3947</v>
      </c>
      <c r="Q571">
        <v>577</v>
      </c>
      <c r="R571">
        <v>3370</v>
      </c>
    </row>
    <row r="572" spans="1:18" x14ac:dyDescent="0.3">
      <c r="A572" t="s">
        <v>1592</v>
      </c>
      <c r="B572">
        <v>2022</v>
      </c>
      <c r="C572">
        <v>0.79461740653246793</v>
      </c>
      <c r="D572">
        <v>0</v>
      </c>
      <c r="E572">
        <v>1</v>
      </c>
      <c r="F572">
        <v>98</v>
      </c>
      <c r="G572">
        <v>1.5957152091605001E-3</v>
      </c>
      <c r="H572">
        <v>13</v>
      </c>
      <c r="I572">
        <v>1</v>
      </c>
      <c r="J572">
        <v>0.2984625100535388</v>
      </c>
      <c r="K572">
        <v>-9.9128128460470602E-2</v>
      </c>
      <c r="L572">
        <v>224470158.79243591</v>
      </c>
      <c r="M572" t="s">
        <v>348</v>
      </c>
      <c r="N572" t="s">
        <v>348</v>
      </c>
      <c r="O572" t="s">
        <v>351</v>
      </c>
      <c r="P572">
        <v>5103</v>
      </c>
      <c r="Q572">
        <v>13</v>
      </c>
      <c r="R572">
        <v>5090</v>
      </c>
    </row>
    <row r="573" spans="1:18" x14ac:dyDescent="0.3">
      <c r="A573" t="s">
        <v>1593</v>
      </c>
      <c r="B573">
        <v>2022</v>
      </c>
      <c r="C573">
        <v>0.98020562524538202</v>
      </c>
      <c r="D573">
        <v>0</v>
      </c>
      <c r="E573">
        <v>2</v>
      </c>
      <c r="F573">
        <v>69</v>
      </c>
      <c r="G573">
        <v>1.3888754088495E-3</v>
      </c>
      <c r="H573">
        <v>15</v>
      </c>
      <c r="I573">
        <v>0</v>
      </c>
      <c r="J573">
        <v>0.6802669918825015</v>
      </c>
      <c r="K573">
        <v>-0.35166017083073797</v>
      </c>
      <c r="L573">
        <v>125353364.33501659</v>
      </c>
      <c r="M573" t="s">
        <v>348</v>
      </c>
      <c r="N573" t="s">
        <v>348</v>
      </c>
      <c r="O573" t="s">
        <v>352</v>
      </c>
      <c r="P573">
        <v>3368</v>
      </c>
      <c r="Q573">
        <v>38</v>
      </c>
      <c r="R573">
        <v>3330</v>
      </c>
    </row>
    <row r="574" spans="1:18" x14ac:dyDescent="0.3">
      <c r="A574" t="s">
        <v>1594</v>
      </c>
      <c r="B574">
        <v>2022</v>
      </c>
      <c r="C574">
        <v>2.195253585971741</v>
      </c>
      <c r="D574">
        <v>0</v>
      </c>
      <c r="E574">
        <v>1732</v>
      </c>
      <c r="F574">
        <v>560</v>
      </c>
      <c r="G574">
        <v>2.5149645892920001E-4</v>
      </c>
      <c r="H574">
        <v>25</v>
      </c>
      <c r="I574">
        <v>10</v>
      </c>
      <c r="J574">
        <v>0.31984010023151238</v>
      </c>
      <c r="K574">
        <v>-0.1223777136863798</v>
      </c>
      <c r="L574">
        <v>179894230.11085561</v>
      </c>
      <c r="M574" t="s">
        <v>348</v>
      </c>
      <c r="N574" t="s">
        <v>348</v>
      </c>
      <c r="O574" t="s">
        <v>353</v>
      </c>
      <c r="P574">
        <v>7937</v>
      </c>
      <c r="Q574">
        <v>1774</v>
      </c>
      <c r="R574">
        <v>6163</v>
      </c>
    </row>
    <row r="575" spans="1:18" x14ac:dyDescent="0.3">
      <c r="A575" t="s">
        <v>1595</v>
      </c>
      <c r="B575">
        <v>2022</v>
      </c>
      <c r="C575">
        <v>0.88801205923808946</v>
      </c>
      <c r="D575">
        <v>0</v>
      </c>
      <c r="E575">
        <v>185</v>
      </c>
      <c r="F575">
        <v>110</v>
      </c>
      <c r="G575">
        <v>1.1546993838231999E-3</v>
      </c>
      <c r="H575">
        <v>29</v>
      </c>
      <c r="I575">
        <v>0</v>
      </c>
      <c r="J575">
        <v>0.31821456321235952</v>
      </c>
      <c r="K575">
        <v>-0.1144150487047236</v>
      </c>
      <c r="L575">
        <v>138518575.84921259</v>
      </c>
      <c r="M575" t="s">
        <v>348</v>
      </c>
      <c r="N575" t="s">
        <v>348</v>
      </c>
      <c r="O575" t="s">
        <v>354</v>
      </c>
      <c r="P575">
        <v>2789</v>
      </c>
      <c r="Q575">
        <v>376</v>
      </c>
      <c r="R575">
        <v>2413</v>
      </c>
    </row>
    <row r="576" spans="1:18" x14ac:dyDescent="0.3">
      <c r="A576" t="s">
        <v>1596</v>
      </c>
      <c r="B576">
        <v>2022</v>
      </c>
      <c r="C576">
        <v>0.55266211203320281</v>
      </c>
      <c r="D576">
        <v>0</v>
      </c>
      <c r="E576">
        <v>353</v>
      </c>
      <c r="F576">
        <v>10</v>
      </c>
      <c r="G576">
        <v>8.6580086580086008E-3</v>
      </c>
      <c r="H576">
        <v>2</v>
      </c>
      <c r="I576">
        <v>0</v>
      </c>
      <c r="J576">
        <v>0.62897956191460946</v>
      </c>
      <c r="K576">
        <v>-0.28266175739404592</v>
      </c>
      <c r="L576">
        <v>220034553.39116639</v>
      </c>
      <c r="M576" t="s">
        <v>348</v>
      </c>
      <c r="N576" t="s">
        <v>357</v>
      </c>
      <c r="O576" t="s">
        <v>295</v>
      </c>
      <c r="P576">
        <v>1383</v>
      </c>
      <c r="Q576">
        <v>68</v>
      </c>
      <c r="R576">
        <v>1315</v>
      </c>
    </row>
    <row r="577" spans="1:18" x14ac:dyDescent="0.3">
      <c r="A577" t="s">
        <v>1597</v>
      </c>
      <c r="B577">
        <v>2022</v>
      </c>
      <c r="C577">
        <v>0.81427390712759595</v>
      </c>
      <c r="D577">
        <v>0</v>
      </c>
      <c r="E577">
        <v>1</v>
      </c>
      <c r="F577">
        <v>113</v>
      </c>
      <c r="G577">
        <v>1.4866853576530001E-3</v>
      </c>
      <c r="H577">
        <v>9</v>
      </c>
      <c r="I577">
        <v>3</v>
      </c>
      <c r="J577">
        <v>0.54802429612609171</v>
      </c>
      <c r="K577">
        <v>-0.16985207832074481</v>
      </c>
      <c r="L577">
        <v>172102808.59744591</v>
      </c>
      <c r="M577" t="s">
        <v>348</v>
      </c>
      <c r="N577" t="s">
        <v>357</v>
      </c>
      <c r="O577" t="s">
        <v>361</v>
      </c>
      <c r="P577">
        <v>2886</v>
      </c>
      <c r="Q577">
        <v>3</v>
      </c>
      <c r="R577">
        <v>2883</v>
      </c>
    </row>
    <row r="578" spans="1:18" x14ac:dyDescent="0.3">
      <c r="A578" t="s">
        <v>1598</v>
      </c>
      <c r="B578">
        <v>2022</v>
      </c>
      <c r="C578">
        <v>0.91248396973263857</v>
      </c>
      <c r="D578">
        <v>0</v>
      </c>
      <c r="E578">
        <v>3</v>
      </c>
      <c r="F578">
        <v>10</v>
      </c>
      <c r="G578">
        <v>2.1052631578947299E-2</v>
      </c>
      <c r="H578">
        <v>1</v>
      </c>
      <c r="I578">
        <v>0</v>
      </c>
      <c r="J578">
        <v>0.45358594766493482</v>
      </c>
      <c r="K578">
        <v>5.5534398382338299E-2</v>
      </c>
      <c r="L578">
        <v>113836769.0180361</v>
      </c>
      <c r="M578" t="s">
        <v>348</v>
      </c>
      <c r="N578" t="s">
        <v>357</v>
      </c>
      <c r="O578" t="s">
        <v>363</v>
      </c>
      <c r="P578">
        <v>1363</v>
      </c>
      <c r="Q578">
        <v>2</v>
      </c>
      <c r="R578">
        <v>1361</v>
      </c>
    </row>
    <row r="579" spans="1:18" x14ac:dyDescent="0.3">
      <c r="A579" t="s">
        <v>1599</v>
      </c>
      <c r="B579">
        <v>2022</v>
      </c>
      <c r="C579">
        <v>0.57115535323441347</v>
      </c>
      <c r="D579">
        <v>0</v>
      </c>
      <c r="E579">
        <v>160</v>
      </c>
      <c r="F579">
        <v>61</v>
      </c>
      <c r="G579">
        <v>7.5528376414860001E-4</v>
      </c>
      <c r="H579">
        <v>8</v>
      </c>
      <c r="I579">
        <v>0</v>
      </c>
      <c r="J579">
        <v>0.57637327522303616</v>
      </c>
      <c r="K579">
        <v>-0.23869254882328961</v>
      </c>
      <c r="L579">
        <v>681461043.81092405</v>
      </c>
      <c r="M579" t="s">
        <v>348</v>
      </c>
      <c r="N579" t="s">
        <v>357</v>
      </c>
      <c r="O579" t="s">
        <v>365</v>
      </c>
      <c r="P579">
        <v>3577</v>
      </c>
      <c r="Q579">
        <v>13</v>
      </c>
      <c r="R579">
        <v>3564</v>
      </c>
    </row>
    <row r="580" spans="1:18" x14ac:dyDescent="0.3">
      <c r="A580" t="s">
        <v>1600</v>
      </c>
      <c r="B580">
        <v>2022</v>
      </c>
      <c r="C580">
        <v>0.58151002951622621</v>
      </c>
      <c r="D580">
        <v>0</v>
      </c>
      <c r="E580">
        <v>1513</v>
      </c>
      <c r="F580">
        <v>126</v>
      </c>
      <c r="G580">
        <v>5.1634166437791E-3</v>
      </c>
      <c r="H580">
        <v>51</v>
      </c>
      <c r="I580">
        <v>2</v>
      </c>
      <c r="J580">
        <v>0.56981128769826983</v>
      </c>
      <c r="K580">
        <v>-0.23918627627167369</v>
      </c>
      <c r="L580">
        <v>1426559769.5860679</v>
      </c>
      <c r="M580" t="s">
        <v>348</v>
      </c>
      <c r="N580" t="s">
        <v>357</v>
      </c>
      <c r="O580" t="s">
        <v>367</v>
      </c>
      <c r="P580">
        <v>6316</v>
      </c>
      <c r="Q580">
        <v>444</v>
      </c>
      <c r="R580">
        <v>5872</v>
      </c>
    </row>
    <row r="581" spans="1:18" x14ac:dyDescent="0.3">
      <c r="A581" t="s">
        <v>1601</v>
      </c>
      <c r="B581">
        <v>2022</v>
      </c>
      <c r="C581">
        <v>0.63706848222752499</v>
      </c>
      <c r="D581">
        <v>0</v>
      </c>
      <c r="E581">
        <v>127</v>
      </c>
      <c r="F581">
        <v>28</v>
      </c>
      <c r="G581">
        <v>1.6806699012165999E-3</v>
      </c>
      <c r="H581">
        <v>2</v>
      </c>
      <c r="I581">
        <v>0</v>
      </c>
      <c r="J581">
        <v>0.53206377751683287</v>
      </c>
      <c r="K581">
        <v>-0.24794556719019961</v>
      </c>
      <c r="L581">
        <v>119914757.4240514</v>
      </c>
      <c r="M581" t="s">
        <v>348</v>
      </c>
      <c r="N581" t="s">
        <v>357</v>
      </c>
      <c r="O581" t="s">
        <v>369</v>
      </c>
      <c r="P581">
        <v>1433</v>
      </c>
      <c r="Q581">
        <v>0</v>
      </c>
      <c r="R581">
        <v>1433</v>
      </c>
    </row>
    <row r="582" spans="1:18" x14ac:dyDescent="0.3">
      <c r="A582" t="s">
        <v>1602</v>
      </c>
      <c r="B582">
        <v>2022</v>
      </c>
      <c r="C582">
        <v>0.98608150840367659</v>
      </c>
      <c r="D582">
        <v>0</v>
      </c>
      <c r="E582">
        <v>1</v>
      </c>
      <c r="F582">
        <v>96</v>
      </c>
      <c r="G582">
        <v>1.4731723455587E-3</v>
      </c>
      <c r="H582">
        <v>4</v>
      </c>
      <c r="I582">
        <v>3</v>
      </c>
      <c r="J582">
        <v>0.48495279847860828</v>
      </c>
      <c r="K582">
        <v>-0.19042518109375761</v>
      </c>
      <c r="L582">
        <v>82049332.583306849</v>
      </c>
      <c r="M582" t="s">
        <v>348</v>
      </c>
      <c r="N582" t="s">
        <v>357</v>
      </c>
      <c r="O582" t="s">
        <v>371</v>
      </c>
      <c r="P582">
        <v>1925</v>
      </c>
      <c r="Q582">
        <v>0</v>
      </c>
      <c r="R582">
        <v>1925</v>
      </c>
    </row>
    <row r="583" spans="1:18" x14ac:dyDescent="0.3">
      <c r="A583" t="s">
        <v>1603</v>
      </c>
      <c r="B583">
        <v>2022</v>
      </c>
      <c r="C583">
        <v>0.96464147253586285</v>
      </c>
      <c r="D583">
        <v>0</v>
      </c>
      <c r="E583">
        <v>729</v>
      </c>
      <c r="F583">
        <v>146</v>
      </c>
      <c r="G583">
        <v>1.2860319758731E-3</v>
      </c>
      <c r="H583">
        <v>19</v>
      </c>
      <c r="I583">
        <v>4</v>
      </c>
      <c r="J583">
        <v>0.16386654216977559</v>
      </c>
      <c r="K583">
        <v>3.8162456382593198E-2</v>
      </c>
      <c r="L583">
        <v>58929213.580518283</v>
      </c>
      <c r="M583" t="s">
        <v>348</v>
      </c>
      <c r="N583" t="s">
        <v>372</v>
      </c>
      <c r="O583" t="s">
        <v>97</v>
      </c>
      <c r="P583">
        <v>2523</v>
      </c>
      <c r="Q583">
        <v>276</v>
      </c>
      <c r="R583">
        <v>2247</v>
      </c>
    </row>
    <row r="584" spans="1:18" x14ac:dyDescent="0.3">
      <c r="A584" t="s">
        <v>1604</v>
      </c>
      <c r="B584">
        <v>2022</v>
      </c>
      <c r="C584">
        <v>0.8242174231285454</v>
      </c>
      <c r="D584">
        <v>0</v>
      </c>
      <c r="E584">
        <v>930</v>
      </c>
      <c r="F584">
        <v>151</v>
      </c>
      <c r="G584">
        <v>7.4264489623969995E-4</v>
      </c>
      <c r="H584">
        <v>16</v>
      </c>
      <c r="I584">
        <v>5</v>
      </c>
      <c r="J584">
        <v>1.6610863889956001E-2</v>
      </c>
      <c r="K584">
        <v>0.1849926137230305</v>
      </c>
      <c r="L584">
        <v>110313888.20882259</v>
      </c>
      <c r="M584" t="s">
        <v>348</v>
      </c>
      <c r="N584" t="s">
        <v>372</v>
      </c>
      <c r="O584" t="s">
        <v>373</v>
      </c>
      <c r="P584">
        <v>2842</v>
      </c>
      <c r="Q584">
        <v>173</v>
      </c>
      <c r="R584">
        <v>2669</v>
      </c>
    </row>
    <row r="585" spans="1:18" x14ac:dyDescent="0.3">
      <c r="A585" t="s">
        <v>1605</v>
      </c>
      <c r="B585">
        <v>2022</v>
      </c>
      <c r="C585">
        <v>1.006337157089402</v>
      </c>
      <c r="D585">
        <v>0</v>
      </c>
      <c r="E585">
        <v>524</v>
      </c>
      <c r="F585">
        <v>143</v>
      </c>
      <c r="G585">
        <v>7.7880331411040002E-4</v>
      </c>
      <c r="H585">
        <v>12</v>
      </c>
      <c r="I585">
        <v>2</v>
      </c>
      <c r="J585">
        <v>0.3658005801135521</v>
      </c>
      <c r="K585">
        <v>-9.9654813797575501E-2</v>
      </c>
      <c r="L585">
        <v>67658764.021938309</v>
      </c>
      <c r="M585" t="s">
        <v>348</v>
      </c>
      <c r="N585" t="s">
        <v>372</v>
      </c>
      <c r="O585" t="s">
        <v>374</v>
      </c>
      <c r="P585">
        <v>1659</v>
      </c>
      <c r="Q585">
        <v>287</v>
      </c>
      <c r="R585">
        <v>1372</v>
      </c>
    </row>
    <row r="586" spans="1:18" x14ac:dyDescent="0.3">
      <c r="A586" t="s">
        <v>1606</v>
      </c>
      <c r="B586">
        <v>2022</v>
      </c>
      <c r="C586">
        <v>0.79158120059173365</v>
      </c>
      <c r="D586">
        <v>0</v>
      </c>
      <c r="E586">
        <v>270</v>
      </c>
      <c r="F586">
        <v>34</v>
      </c>
      <c r="G586">
        <v>3.6094313973655001E-3</v>
      </c>
      <c r="H586">
        <v>8</v>
      </c>
      <c r="I586">
        <v>1</v>
      </c>
      <c r="J586">
        <v>0.3412480745410959</v>
      </c>
      <c r="K586">
        <v>-8.6001790886903601E-2</v>
      </c>
      <c r="L586">
        <v>28208567.376941409</v>
      </c>
      <c r="M586" t="s">
        <v>348</v>
      </c>
      <c r="N586" t="s">
        <v>372</v>
      </c>
      <c r="O586" t="s">
        <v>375</v>
      </c>
      <c r="P586">
        <v>519</v>
      </c>
      <c r="Q586">
        <v>89</v>
      </c>
      <c r="R586">
        <v>430</v>
      </c>
    </row>
    <row r="587" spans="1:18" x14ac:dyDescent="0.3">
      <c r="A587" t="s">
        <v>1607</v>
      </c>
      <c r="B587">
        <v>2022</v>
      </c>
      <c r="C587">
        <v>1.008725658965365</v>
      </c>
      <c r="D587">
        <v>0</v>
      </c>
      <c r="E587">
        <v>386</v>
      </c>
      <c r="F587">
        <v>67</v>
      </c>
      <c r="G587">
        <v>1.5847446883085999E-3</v>
      </c>
      <c r="H587">
        <v>7</v>
      </c>
      <c r="I587">
        <v>3</v>
      </c>
      <c r="L587">
        <v>53563946.439230584</v>
      </c>
      <c r="M587" t="s">
        <v>348</v>
      </c>
      <c r="N587" t="s">
        <v>372</v>
      </c>
      <c r="O587" t="s">
        <v>376</v>
      </c>
      <c r="P587">
        <v>1439</v>
      </c>
      <c r="Q587">
        <v>0</v>
      </c>
      <c r="R587">
        <v>1439</v>
      </c>
    </row>
    <row r="588" spans="1:18" x14ac:dyDescent="0.3">
      <c r="A588" t="s">
        <v>1608</v>
      </c>
      <c r="B588">
        <v>2022</v>
      </c>
      <c r="C588">
        <v>0.68942323371943337</v>
      </c>
      <c r="D588">
        <v>0</v>
      </c>
      <c r="E588">
        <v>1029</v>
      </c>
      <c r="F588">
        <v>279</v>
      </c>
      <c r="G588">
        <v>4.0152030406080002E-4</v>
      </c>
      <c r="H588">
        <v>30</v>
      </c>
      <c r="I588">
        <v>7</v>
      </c>
      <c r="J588">
        <v>0.36725808788505371</v>
      </c>
      <c r="K588">
        <v>-0.1332571677243542</v>
      </c>
      <c r="L588">
        <v>469784538.98251128</v>
      </c>
      <c r="M588" t="s">
        <v>348</v>
      </c>
      <c r="N588" t="s">
        <v>372</v>
      </c>
      <c r="O588" t="s">
        <v>378</v>
      </c>
      <c r="P588">
        <v>7851</v>
      </c>
      <c r="Q588">
        <v>406</v>
      </c>
      <c r="R588">
        <v>7445</v>
      </c>
    </row>
    <row r="589" spans="1:18" x14ac:dyDescent="0.3">
      <c r="A589" t="s">
        <v>1609</v>
      </c>
      <c r="B589">
        <v>2022</v>
      </c>
      <c r="C589">
        <v>0.85973073751733764</v>
      </c>
      <c r="D589">
        <v>0</v>
      </c>
      <c r="E589">
        <v>1129</v>
      </c>
      <c r="F589">
        <v>103</v>
      </c>
      <c r="G589">
        <v>1.4174378214733001E-3</v>
      </c>
      <c r="H589">
        <v>5</v>
      </c>
      <c r="I589">
        <v>3</v>
      </c>
      <c r="L589">
        <v>153342334.3410041</v>
      </c>
      <c r="M589" t="s">
        <v>348</v>
      </c>
      <c r="N589" t="s">
        <v>372</v>
      </c>
      <c r="O589" t="s">
        <v>379</v>
      </c>
      <c r="P589">
        <v>5704</v>
      </c>
      <c r="Q589">
        <v>15</v>
      </c>
      <c r="R589">
        <v>5689</v>
      </c>
    </row>
    <row r="590" spans="1:18" x14ac:dyDescent="0.3">
      <c r="A590" t="s">
        <v>1610</v>
      </c>
      <c r="B590">
        <v>2022</v>
      </c>
      <c r="C590">
        <v>0.61951872385082851</v>
      </c>
      <c r="D590">
        <v>0</v>
      </c>
      <c r="E590">
        <v>1</v>
      </c>
      <c r="F590">
        <v>132</v>
      </c>
      <c r="G590">
        <v>2.6153819689330002E-4</v>
      </c>
      <c r="H590">
        <v>28</v>
      </c>
      <c r="I590">
        <v>0</v>
      </c>
      <c r="L590">
        <v>656722094.57594752</v>
      </c>
      <c r="M590" t="s">
        <v>348</v>
      </c>
      <c r="N590" t="s">
        <v>380</v>
      </c>
      <c r="O590" t="s">
        <v>382</v>
      </c>
      <c r="P590">
        <v>7870</v>
      </c>
      <c r="Q590">
        <v>156</v>
      </c>
      <c r="R590">
        <v>7714</v>
      </c>
    </row>
    <row r="591" spans="1:18" x14ac:dyDescent="0.3">
      <c r="A591" t="s">
        <v>1611</v>
      </c>
      <c r="B591">
        <v>2022</v>
      </c>
      <c r="C591">
        <v>1.757379671412459</v>
      </c>
      <c r="D591">
        <v>0</v>
      </c>
      <c r="E591">
        <v>109</v>
      </c>
      <c r="F591">
        <v>103</v>
      </c>
      <c r="G591">
        <v>1.7828135152696001E-3</v>
      </c>
      <c r="H591">
        <v>8</v>
      </c>
      <c r="I591">
        <v>0</v>
      </c>
      <c r="J591">
        <v>0.74067913147193221</v>
      </c>
      <c r="K591">
        <v>-0.35603015793744219</v>
      </c>
      <c r="L591">
        <v>96593243.703852594</v>
      </c>
      <c r="M591" t="s">
        <v>348</v>
      </c>
      <c r="N591" t="s">
        <v>380</v>
      </c>
      <c r="O591" t="s">
        <v>385</v>
      </c>
      <c r="P591">
        <v>5955</v>
      </c>
      <c r="Q591">
        <v>2554</v>
      </c>
      <c r="R591">
        <v>3401</v>
      </c>
    </row>
    <row r="592" spans="1:18" x14ac:dyDescent="0.3">
      <c r="A592" t="s">
        <v>1612</v>
      </c>
      <c r="B592">
        <v>2022</v>
      </c>
      <c r="C592">
        <v>1.420195099018057</v>
      </c>
      <c r="D592">
        <v>0</v>
      </c>
      <c r="E592">
        <v>55</v>
      </c>
      <c r="F592">
        <v>707</v>
      </c>
      <c r="G592">
        <v>1.3136280498839999E-4</v>
      </c>
      <c r="H592">
        <v>40</v>
      </c>
      <c r="I592">
        <v>12</v>
      </c>
      <c r="J592">
        <v>0.49669750281796948</v>
      </c>
      <c r="K592">
        <v>-0.2274577076195631</v>
      </c>
      <c r="L592">
        <v>657299080.47503567</v>
      </c>
      <c r="M592" t="s">
        <v>348</v>
      </c>
      <c r="N592" t="s">
        <v>380</v>
      </c>
      <c r="O592" t="s">
        <v>87</v>
      </c>
      <c r="P592">
        <v>34133</v>
      </c>
      <c r="Q592">
        <v>11264</v>
      </c>
      <c r="R592">
        <v>22869</v>
      </c>
    </row>
    <row r="593" spans="1:18" x14ac:dyDescent="0.3">
      <c r="A593" t="s">
        <v>1613</v>
      </c>
      <c r="B593">
        <v>2022</v>
      </c>
      <c r="C593">
        <v>0.74293631341585353</v>
      </c>
      <c r="D593">
        <v>0</v>
      </c>
      <c r="E593">
        <v>69</v>
      </c>
      <c r="F593">
        <v>23</v>
      </c>
      <c r="G593">
        <v>4.35413642960812E-2</v>
      </c>
      <c r="H593">
        <v>1</v>
      </c>
      <c r="I593">
        <v>0</v>
      </c>
      <c r="J593">
        <v>0.29170933642391478</v>
      </c>
      <c r="K593">
        <v>0.17374388597384699</v>
      </c>
      <c r="L593">
        <v>59334543.462391123</v>
      </c>
      <c r="M593" t="s">
        <v>348</v>
      </c>
      <c r="N593" t="s">
        <v>102</v>
      </c>
      <c r="O593" t="s">
        <v>387</v>
      </c>
      <c r="P593">
        <v>1415</v>
      </c>
      <c r="Q593">
        <v>25</v>
      </c>
      <c r="R593">
        <v>1390</v>
      </c>
    </row>
    <row r="594" spans="1:18" x14ac:dyDescent="0.3">
      <c r="A594" t="s">
        <v>1614</v>
      </c>
      <c r="B594">
        <v>2022</v>
      </c>
      <c r="C594">
        <v>0.61997343553617412</v>
      </c>
      <c r="D594">
        <v>0</v>
      </c>
      <c r="E594">
        <v>21</v>
      </c>
      <c r="F594">
        <v>227</v>
      </c>
      <c r="G594">
        <v>2.739408068968E-4</v>
      </c>
      <c r="H594">
        <v>8</v>
      </c>
      <c r="I594">
        <v>0</v>
      </c>
      <c r="J594">
        <v>0.64240083440467644</v>
      </c>
      <c r="K594">
        <v>-0.26887630162078507</v>
      </c>
      <c r="L594">
        <v>311166090.36369473</v>
      </c>
      <c r="M594" t="s">
        <v>348</v>
      </c>
      <c r="N594" t="s">
        <v>102</v>
      </c>
      <c r="O594" t="s">
        <v>391</v>
      </c>
      <c r="P594">
        <v>1053</v>
      </c>
      <c r="Q594">
        <v>33</v>
      </c>
      <c r="R594">
        <v>1020</v>
      </c>
    </row>
    <row r="595" spans="1:18" x14ac:dyDescent="0.3">
      <c r="A595" t="s">
        <v>1615</v>
      </c>
      <c r="B595">
        <v>2022</v>
      </c>
      <c r="C595">
        <v>0.68502947938277448</v>
      </c>
      <c r="D595">
        <v>0</v>
      </c>
      <c r="E595">
        <v>3</v>
      </c>
      <c r="F595">
        <v>65</v>
      </c>
      <c r="G595">
        <v>9.4466966192500003E-4</v>
      </c>
      <c r="H595">
        <v>5</v>
      </c>
      <c r="I595">
        <v>1</v>
      </c>
      <c r="J595">
        <v>0.67386918459151413</v>
      </c>
      <c r="K595">
        <v>-0.31538460370850291</v>
      </c>
      <c r="L595">
        <v>350463722.02067888</v>
      </c>
      <c r="M595" t="s">
        <v>348</v>
      </c>
      <c r="N595" t="s">
        <v>102</v>
      </c>
      <c r="O595" t="s">
        <v>395</v>
      </c>
      <c r="P595">
        <v>2613</v>
      </c>
      <c r="Q595">
        <v>584</v>
      </c>
      <c r="R595">
        <v>2029</v>
      </c>
    </row>
    <row r="596" spans="1:18" x14ac:dyDescent="0.3">
      <c r="A596" t="s">
        <v>1616</v>
      </c>
      <c r="B596">
        <v>2022</v>
      </c>
      <c r="C596">
        <v>1.0251953348977609</v>
      </c>
      <c r="D596">
        <v>0</v>
      </c>
      <c r="E596">
        <v>713</v>
      </c>
      <c r="F596">
        <v>234</v>
      </c>
      <c r="G596">
        <v>5.0062353334890005E-4</v>
      </c>
      <c r="H596">
        <v>29</v>
      </c>
      <c r="I596">
        <v>0</v>
      </c>
      <c r="J596">
        <v>0.32057568626722582</v>
      </c>
      <c r="K596">
        <v>-0.14620309764613901</v>
      </c>
      <c r="L596">
        <v>113949565.0239958</v>
      </c>
      <c r="M596" t="s">
        <v>348</v>
      </c>
      <c r="N596" t="s">
        <v>396</v>
      </c>
      <c r="O596" t="s">
        <v>87</v>
      </c>
      <c r="P596">
        <v>3357</v>
      </c>
      <c r="Q596">
        <v>352</v>
      </c>
      <c r="R596">
        <v>3005</v>
      </c>
    </row>
    <row r="597" spans="1:18" x14ac:dyDescent="0.3">
      <c r="A597" t="s">
        <v>1617</v>
      </c>
      <c r="B597">
        <v>2022</v>
      </c>
      <c r="C597">
        <v>1.951296274840467</v>
      </c>
      <c r="D597">
        <v>0</v>
      </c>
      <c r="E597">
        <v>1277</v>
      </c>
      <c r="F597">
        <v>288</v>
      </c>
      <c r="G597">
        <v>4.9695475584630002E-4</v>
      </c>
      <c r="H597">
        <v>18</v>
      </c>
      <c r="I597">
        <v>1</v>
      </c>
      <c r="J597">
        <v>0.30997127032247451</v>
      </c>
      <c r="K597">
        <v>-0.13766254256649019</v>
      </c>
      <c r="L597">
        <v>71958902.25623402</v>
      </c>
      <c r="M597" t="s">
        <v>348</v>
      </c>
      <c r="N597" t="s">
        <v>396</v>
      </c>
      <c r="O597" t="s">
        <v>397</v>
      </c>
      <c r="P597">
        <v>4386</v>
      </c>
      <c r="Q597">
        <v>1214</v>
      </c>
      <c r="R597">
        <v>3172</v>
      </c>
    </row>
    <row r="598" spans="1:18" x14ac:dyDescent="0.3">
      <c r="A598" t="s">
        <v>1618</v>
      </c>
      <c r="B598">
        <v>2022</v>
      </c>
      <c r="C598">
        <v>1.8496500721064699</v>
      </c>
      <c r="D598">
        <v>0</v>
      </c>
      <c r="E598">
        <v>2415</v>
      </c>
      <c r="F598">
        <v>424</v>
      </c>
      <c r="G598">
        <v>3.3307818105370003E-4</v>
      </c>
      <c r="H598">
        <v>49</v>
      </c>
      <c r="I598">
        <v>2</v>
      </c>
      <c r="J598">
        <v>0.28710443556880078</v>
      </c>
      <c r="K598">
        <v>-0.1296228881198436</v>
      </c>
      <c r="L598">
        <v>137570169.6917896</v>
      </c>
      <c r="M598" t="s">
        <v>348</v>
      </c>
      <c r="N598" t="s">
        <v>396</v>
      </c>
      <c r="O598" t="s">
        <v>398</v>
      </c>
      <c r="P598">
        <v>8291</v>
      </c>
      <c r="Q598">
        <v>2187</v>
      </c>
      <c r="R598">
        <v>6104</v>
      </c>
    </row>
    <row r="599" spans="1:18" x14ac:dyDescent="0.3">
      <c r="A599" t="s">
        <v>1619</v>
      </c>
      <c r="B599">
        <v>2022</v>
      </c>
      <c r="C599">
        <v>5.5901692742871214</v>
      </c>
      <c r="D599">
        <v>0</v>
      </c>
      <c r="E599">
        <v>2071</v>
      </c>
      <c r="F599">
        <v>583</v>
      </c>
      <c r="G599">
        <v>3.4032428967780001E-4</v>
      </c>
      <c r="H599">
        <v>52</v>
      </c>
      <c r="I599">
        <v>4</v>
      </c>
      <c r="J599">
        <v>0.32316734392622282</v>
      </c>
      <c r="K599">
        <v>-0.13648065340358109</v>
      </c>
      <c r="L599">
        <v>82752604.880530119</v>
      </c>
      <c r="M599" t="s">
        <v>348</v>
      </c>
      <c r="N599" t="s">
        <v>396</v>
      </c>
      <c r="O599" t="s">
        <v>399</v>
      </c>
      <c r="P599">
        <v>13076</v>
      </c>
      <c r="Q599">
        <v>4064</v>
      </c>
      <c r="R599">
        <v>9012</v>
      </c>
    </row>
    <row r="600" spans="1:18" x14ac:dyDescent="0.3">
      <c r="A600" t="s">
        <v>1620</v>
      </c>
      <c r="B600">
        <v>2022</v>
      </c>
      <c r="C600">
        <v>2.826720622517171</v>
      </c>
      <c r="D600">
        <v>0</v>
      </c>
      <c r="E600">
        <v>288</v>
      </c>
      <c r="F600">
        <v>206</v>
      </c>
      <c r="G600">
        <v>8.9702803024449996E-4</v>
      </c>
      <c r="H600">
        <v>6</v>
      </c>
      <c r="I600">
        <v>1</v>
      </c>
      <c r="J600">
        <v>0.38669887603531228</v>
      </c>
      <c r="K600">
        <v>-0.1595429570606525</v>
      </c>
      <c r="L600">
        <v>73800957.757722512</v>
      </c>
      <c r="M600" t="s">
        <v>348</v>
      </c>
      <c r="N600" t="s">
        <v>400</v>
      </c>
      <c r="O600" t="s">
        <v>400</v>
      </c>
      <c r="P600">
        <v>7119</v>
      </c>
      <c r="Q600">
        <v>1079</v>
      </c>
      <c r="R600">
        <v>6040</v>
      </c>
    </row>
    <row r="601" spans="1:18" x14ac:dyDescent="0.3">
      <c r="A601" t="s">
        <v>1621</v>
      </c>
      <c r="B601">
        <v>2022</v>
      </c>
      <c r="C601">
        <v>0.88882885528197075</v>
      </c>
      <c r="D601">
        <v>0</v>
      </c>
      <c r="E601">
        <v>446</v>
      </c>
      <c r="F601">
        <v>128</v>
      </c>
      <c r="G601">
        <v>4.147633139665E-4</v>
      </c>
      <c r="H601">
        <v>8</v>
      </c>
      <c r="I601">
        <v>6</v>
      </c>
      <c r="J601">
        <v>0.44588920074059979</v>
      </c>
      <c r="K601">
        <v>-0.1951726393907797</v>
      </c>
      <c r="L601">
        <v>215822798.74080831</v>
      </c>
      <c r="M601" t="s">
        <v>348</v>
      </c>
      <c r="N601" t="s">
        <v>400</v>
      </c>
      <c r="O601" t="s">
        <v>401</v>
      </c>
      <c r="P601">
        <v>4147</v>
      </c>
      <c r="Q601">
        <v>47</v>
      </c>
      <c r="R601">
        <v>4100</v>
      </c>
    </row>
    <row r="602" spans="1:18" x14ac:dyDescent="0.3">
      <c r="A602" t="s">
        <v>1622</v>
      </c>
      <c r="B602">
        <v>2022</v>
      </c>
      <c r="C602">
        <v>0.81096896019041953</v>
      </c>
      <c r="D602">
        <v>0</v>
      </c>
      <c r="E602">
        <v>5</v>
      </c>
      <c r="F602">
        <v>102</v>
      </c>
      <c r="G602">
        <v>7.8740084395749997E-4</v>
      </c>
      <c r="H602">
        <v>22</v>
      </c>
      <c r="I602">
        <v>1</v>
      </c>
      <c r="J602">
        <v>0.44016166864020739</v>
      </c>
      <c r="K602">
        <v>-0.17716303666137109</v>
      </c>
      <c r="L602">
        <v>211950772.8936013</v>
      </c>
      <c r="M602" t="s">
        <v>348</v>
      </c>
      <c r="N602" t="s">
        <v>400</v>
      </c>
      <c r="O602" t="s">
        <v>403</v>
      </c>
      <c r="P602">
        <v>5670</v>
      </c>
      <c r="Q602">
        <v>298</v>
      </c>
      <c r="R602">
        <v>5372</v>
      </c>
    </row>
    <row r="603" spans="1:18" x14ac:dyDescent="0.3">
      <c r="A603" t="s">
        <v>1623</v>
      </c>
      <c r="B603">
        <v>2022</v>
      </c>
      <c r="C603">
        <v>0.76444803634470282</v>
      </c>
      <c r="D603">
        <v>0</v>
      </c>
      <c r="E603">
        <v>46</v>
      </c>
      <c r="F603">
        <v>80</v>
      </c>
      <c r="G603">
        <v>1.0271488940510999E-3</v>
      </c>
      <c r="H603">
        <v>10</v>
      </c>
      <c r="I603">
        <v>0</v>
      </c>
      <c r="J603">
        <v>0.48663816210382149</v>
      </c>
      <c r="K603">
        <v>-0.2022913616607071</v>
      </c>
      <c r="L603">
        <v>317646937.18772721</v>
      </c>
      <c r="M603" t="s">
        <v>348</v>
      </c>
      <c r="N603" t="s">
        <v>400</v>
      </c>
      <c r="O603" t="s">
        <v>404</v>
      </c>
      <c r="P603">
        <v>5254</v>
      </c>
      <c r="Q603">
        <v>191</v>
      </c>
      <c r="R603">
        <v>5063</v>
      </c>
    </row>
    <row r="604" spans="1:18" x14ac:dyDescent="0.3">
      <c r="A604" t="s">
        <v>1624</v>
      </c>
      <c r="B604">
        <v>2022</v>
      </c>
      <c r="C604">
        <v>1.4684662664076349</v>
      </c>
      <c r="D604">
        <v>0</v>
      </c>
      <c r="E604">
        <v>77</v>
      </c>
      <c r="F604">
        <v>347</v>
      </c>
      <c r="G604">
        <v>5.8603883055289999E-4</v>
      </c>
      <c r="H604">
        <v>7</v>
      </c>
      <c r="I604">
        <v>4</v>
      </c>
      <c r="J604">
        <v>0.367107031051843</v>
      </c>
      <c r="K604">
        <v>-0.27623197336089411</v>
      </c>
      <c r="L604">
        <v>308023340.31011558</v>
      </c>
      <c r="M604" t="s">
        <v>406</v>
      </c>
      <c r="N604" t="s">
        <v>407</v>
      </c>
      <c r="O604" t="s">
        <v>408</v>
      </c>
      <c r="P604">
        <v>13460</v>
      </c>
      <c r="Q604">
        <v>7738</v>
      </c>
      <c r="R604">
        <v>5722</v>
      </c>
    </row>
    <row r="605" spans="1:18" x14ac:dyDescent="0.3">
      <c r="A605" t="s">
        <v>1625</v>
      </c>
      <c r="B605">
        <v>2022</v>
      </c>
      <c r="C605">
        <v>1.5189431522153241</v>
      </c>
      <c r="D605">
        <v>0</v>
      </c>
      <c r="E605">
        <v>17</v>
      </c>
      <c r="F605">
        <v>269</v>
      </c>
      <c r="G605">
        <v>5.3518390803659996E-4</v>
      </c>
      <c r="H605">
        <v>6</v>
      </c>
      <c r="I605">
        <v>0</v>
      </c>
      <c r="J605">
        <v>0.26490592205508479</v>
      </c>
      <c r="K605">
        <v>-0.16048383200634</v>
      </c>
      <c r="L605">
        <v>323515997.42952639</v>
      </c>
      <c r="M605" t="s">
        <v>406</v>
      </c>
      <c r="N605" t="s">
        <v>407</v>
      </c>
      <c r="O605" t="s">
        <v>409</v>
      </c>
      <c r="P605">
        <v>6482</v>
      </c>
      <c r="Q605">
        <v>2996</v>
      </c>
      <c r="R605">
        <v>3486</v>
      </c>
    </row>
    <row r="606" spans="1:18" x14ac:dyDescent="0.3">
      <c r="A606" t="s">
        <v>1626</v>
      </c>
      <c r="B606">
        <v>2022</v>
      </c>
      <c r="C606">
        <v>1.4974945555667989</v>
      </c>
      <c r="D606">
        <v>0</v>
      </c>
      <c r="E606">
        <v>80</v>
      </c>
      <c r="F606">
        <v>329</v>
      </c>
      <c r="G606">
        <v>1.4641852579663E-3</v>
      </c>
      <c r="H606">
        <v>8</v>
      </c>
      <c r="I606">
        <v>7</v>
      </c>
      <c r="J606">
        <v>0.1920985282972108</v>
      </c>
      <c r="K606">
        <v>2.5382302876265601E-2</v>
      </c>
      <c r="L606">
        <v>141058134.52390161</v>
      </c>
      <c r="M606" t="s">
        <v>406</v>
      </c>
      <c r="N606" t="s">
        <v>407</v>
      </c>
      <c r="O606" t="s">
        <v>412</v>
      </c>
      <c r="P606">
        <v>11970</v>
      </c>
      <c r="Q606">
        <v>6097</v>
      </c>
      <c r="R606">
        <v>5873</v>
      </c>
    </row>
    <row r="607" spans="1:18" x14ac:dyDescent="0.3">
      <c r="A607" t="s">
        <v>1627</v>
      </c>
      <c r="B607">
        <v>2022</v>
      </c>
      <c r="C607">
        <v>1.620684036074123</v>
      </c>
      <c r="D607">
        <v>0</v>
      </c>
      <c r="E607">
        <v>59</v>
      </c>
      <c r="F607">
        <v>361</v>
      </c>
      <c r="G607">
        <v>3.3478930039200001E-4</v>
      </c>
      <c r="H607">
        <v>29</v>
      </c>
      <c r="I607">
        <v>0</v>
      </c>
      <c r="J607">
        <v>0.43113070184738661</v>
      </c>
      <c r="K607">
        <v>-0.2510242881219254</v>
      </c>
      <c r="L607">
        <v>228598676.891157</v>
      </c>
      <c r="M607" t="s">
        <v>406</v>
      </c>
      <c r="N607" t="s">
        <v>413</v>
      </c>
      <c r="O607" t="s">
        <v>413</v>
      </c>
      <c r="P607">
        <v>25523</v>
      </c>
      <c r="Q607">
        <v>4058</v>
      </c>
      <c r="R607">
        <v>21465</v>
      </c>
    </row>
    <row r="608" spans="1:18" x14ac:dyDescent="0.3">
      <c r="A608" t="s">
        <v>1628</v>
      </c>
      <c r="B608">
        <v>2022</v>
      </c>
      <c r="C608">
        <v>2.0574414906051421</v>
      </c>
      <c r="D608">
        <v>0</v>
      </c>
      <c r="E608">
        <v>1</v>
      </c>
      <c r="F608">
        <v>110</v>
      </c>
      <c r="G608">
        <v>9.8132342963250002E-4</v>
      </c>
      <c r="H608">
        <v>10</v>
      </c>
      <c r="I608">
        <v>0</v>
      </c>
      <c r="J608">
        <v>0.35954979991712749</v>
      </c>
      <c r="K608">
        <v>-0.18441803247974389</v>
      </c>
      <c r="L608">
        <v>74697987.368380964</v>
      </c>
      <c r="M608" t="s">
        <v>406</v>
      </c>
      <c r="N608" t="s">
        <v>373</v>
      </c>
      <c r="O608" t="s">
        <v>418</v>
      </c>
      <c r="P608">
        <v>9380</v>
      </c>
      <c r="Q608">
        <v>1066</v>
      </c>
      <c r="R608">
        <v>8314</v>
      </c>
    </row>
    <row r="609" spans="1:18" x14ac:dyDescent="0.3">
      <c r="A609" t="s">
        <v>1629</v>
      </c>
      <c r="B609">
        <v>2022</v>
      </c>
      <c r="C609">
        <v>3.4069307364915691</v>
      </c>
      <c r="D609">
        <v>0</v>
      </c>
      <c r="E609">
        <v>5</v>
      </c>
      <c r="F609">
        <v>137</v>
      </c>
      <c r="G609">
        <v>1.0785014755321999E-3</v>
      </c>
      <c r="H609">
        <v>9</v>
      </c>
      <c r="I609">
        <v>2</v>
      </c>
      <c r="J609">
        <v>0.27473017119421139</v>
      </c>
      <c r="K609">
        <v>-8.2609356311199297E-2</v>
      </c>
      <c r="L609">
        <v>48512942.11009001</v>
      </c>
      <c r="M609" t="s">
        <v>406</v>
      </c>
      <c r="N609" t="s">
        <v>373</v>
      </c>
      <c r="O609" t="s">
        <v>420</v>
      </c>
      <c r="P609">
        <v>9407</v>
      </c>
      <c r="Q609">
        <v>2214</v>
      </c>
      <c r="R609">
        <v>7193</v>
      </c>
    </row>
    <row r="610" spans="1:18" x14ac:dyDescent="0.3">
      <c r="A610" t="s">
        <v>1630</v>
      </c>
      <c r="B610">
        <v>2022</v>
      </c>
      <c r="C610">
        <v>0.89664120534558023</v>
      </c>
      <c r="D610">
        <v>0</v>
      </c>
      <c r="E610">
        <v>433</v>
      </c>
      <c r="F610">
        <v>375</v>
      </c>
      <c r="G610">
        <v>1.7601620075890001E-4</v>
      </c>
      <c r="H610">
        <v>15</v>
      </c>
      <c r="I610">
        <v>14</v>
      </c>
      <c r="J610">
        <v>0.39578061107067419</v>
      </c>
      <c r="K610">
        <v>-0.18017354016063081</v>
      </c>
      <c r="L610">
        <v>363729538.66570991</v>
      </c>
      <c r="M610" t="s">
        <v>406</v>
      </c>
      <c r="N610" t="s">
        <v>423</v>
      </c>
      <c r="O610" t="s">
        <v>406</v>
      </c>
      <c r="P610">
        <v>18730</v>
      </c>
      <c r="Q610">
        <v>1089</v>
      </c>
      <c r="R610">
        <v>17641</v>
      </c>
    </row>
    <row r="611" spans="1:18" x14ac:dyDescent="0.3">
      <c r="A611" t="s">
        <v>1631</v>
      </c>
      <c r="B611">
        <v>2022</v>
      </c>
      <c r="C611">
        <v>2.1253785654795001</v>
      </c>
      <c r="D611">
        <v>0</v>
      </c>
      <c r="E611">
        <v>1</v>
      </c>
      <c r="F611">
        <v>153</v>
      </c>
      <c r="G611">
        <v>1.2106242036971999E-3</v>
      </c>
      <c r="H611">
        <v>9</v>
      </c>
      <c r="I611">
        <v>0</v>
      </c>
      <c r="J611">
        <v>0.51609660229504439</v>
      </c>
      <c r="K611">
        <v>-0.28661578516690672</v>
      </c>
      <c r="L611">
        <v>54923690.334377661</v>
      </c>
      <c r="M611" t="s">
        <v>406</v>
      </c>
      <c r="N611" t="s">
        <v>298</v>
      </c>
      <c r="O611" t="s">
        <v>190</v>
      </c>
      <c r="P611">
        <v>6070</v>
      </c>
      <c r="Q611">
        <v>996</v>
      </c>
      <c r="R611">
        <v>5074</v>
      </c>
    </row>
    <row r="612" spans="1:18" x14ac:dyDescent="0.3">
      <c r="A612" t="s">
        <v>1632</v>
      </c>
      <c r="B612">
        <v>2022</v>
      </c>
      <c r="C612">
        <v>3.995013965688945</v>
      </c>
      <c r="D612">
        <v>0</v>
      </c>
      <c r="E612">
        <v>32</v>
      </c>
      <c r="F612">
        <v>271</v>
      </c>
      <c r="G612">
        <v>6.2397309046769995E-4</v>
      </c>
      <c r="H612">
        <v>8</v>
      </c>
      <c r="I612">
        <v>0</v>
      </c>
      <c r="J612">
        <v>0.52991539831380474</v>
      </c>
      <c r="K612">
        <v>-0.30615257007188162</v>
      </c>
      <c r="L612">
        <v>81578001.023364425</v>
      </c>
      <c r="M612" t="s">
        <v>406</v>
      </c>
      <c r="N612" t="s">
        <v>298</v>
      </c>
      <c r="O612" t="s">
        <v>428</v>
      </c>
      <c r="P612">
        <v>12700</v>
      </c>
      <c r="Q612">
        <v>220</v>
      </c>
      <c r="R612">
        <v>12480</v>
      </c>
    </row>
    <row r="613" spans="1:18" x14ac:dyDescent="0.3">
      <c r="A613" t="s">
        <v>1633</v>
      </c>
      <c r="B613">
        <v>2022</v>
      </c>
      <c r="C613">
        <v>1.3619732474446991</v>
      </c>
      <c r="D613">
        <v>0</v>
      </c>
      <c r="E613">
        <v>6</v>
      </c>
      <c r="F613">
        <v>232</v>
      </c>
      <c r="G613">
        <v>6.2048904286600003E-4</v>
      </c>
      <c r="H613">
        <v>5</v>
      </c>
      <c r="I613">
        <v>0</v>
      </c>
      <c r="J613">
        <v>0.4374571306185272</v>
      </c>
      <c r="K613">
        <v>-0.2660776263223571</v>
      </c>
      <c r="L613">
        <v>107447580.265745</v>
      </c>
      <c r="M613" t="s">
        <v>406</v>
      </c>
      <c r="N613" t="s">
        <v>429</v>
      </c>
      <c r="O613" t="s">
        <v>430</v>
      </c>
      <c r="P613">
        <v>6622</v>
      </c>
      <c r="Q613">
        <v>2263</v>
      </c>
      <c r="R613">
        <v>4359</v>
      </c>
    </row>
    <row r="614" spans="1:18" x14ac:dyDescent="0.3">
      <c r="A614" t="s">
        <v>1634</v>
      </c>
      <c r="B614">
        <v>2022</v>
      </c>
      <c r="C614">
        <v>1.5838538366266961</v>
      </c>
      <c r="D614">
        <v>0</v>
      </c>
      <c r="E614">
        <v>1</v>
      </c>
      <c r="F614">
        <v>264</v>
      </c>
      <c r="G614">
        <v>1.0377343772410999E-3</v>
      </c>
      <c r="H614">
        <v>10</v>
      </c>
      <c r="I614">
        <v>0</v>
      </c>
      <c r="J614">
        <v>0.46521375594102449</v>
      </c>
      <c r="K614">
        <v>-0.14550667550161861</v>
      </c>
      <c r="L614">
        <v>81399575.070738301</v>
      </c>
      <c r="M614" t="s">
        <v>406</v>
      </c>
      <c r="N614" t="s">
        <v>442</v>
      </c>
      <c r="O614" t="s">
        <v>214</v>
      </c>
      <c r="P614">
        <v>7309</v>
      </c>
      <c r="Q614">
        <v>444</v>
      </c>
      <c r="R614">
        <v>6865</v>
      </c>
    </row>
    <row r="615" spans="1:18" x14ac:dyDescent="0.3">
      <c r="A615" t="s">
        <v>1635</v>
      </c>
      <c r="B615">
        <v>2022</v>
      </c>
      <c r="C615">
        <v>2.8849409392643541</v>
      </c>
      <c r="D615">
        <v>0</v>
      </c>
      <c r="E615">
        <v>2</v>
      </c>
      <c r="F615">
        <v>204</v>
      </c>
      <c r="G615">
        <v>1.0370928862936E-3</v>
      </c>
      <c r="H615">
        <v>10</v>
      </c>
      <c r="I615">
        <v>0</v>
      </c>
      <c r="J615">
        <v>0.44838779008897328</v>
      </c>
      <c r="K615">
        <v>-0.22538028769048529</v>
      </c>
      <c r="L615">
        <v>93681096.890454203</v>
      </c>
      <c r="M615" t="s">
        <v>406</v>
      </c>
      <c r="N615" t="s">
        <v>446</v>
      </c>
      <c r="O615" t="s">
        <v>447</v>
      </c>
      <c r="P615">
        <v>8461</v>
      </c>
      <c r="Q615">
        <v>2100</v>
      </c>
      <c r="R615">
        <v>6361</v>
      </c>
    </row>
    <row r="616" spans="1:18" x14ac:dyDescent="0.3">
      <c r="A616" t="s">
        <v>1636</v>
      </c>
      <c r="B616">
        <v>2022</v>
      </c>
      <c r="C616">
        <v>1.870820350363336</v>
      </c>
      <c r="D616">
        <v>0</v>
      </c>
      <c r="E616">
        <v>3</v>
      </c>
      <c r="F616">
        <v>301</v>
      </c>
      <c r="G616">
        <v>4.5073859384370002E-4</v>
      </c>
      <c r="H616">
        <v>12</v>
      </c>
      <c r="I616">
        <v>0</v>
      </c>
      <c r="J616">
        <v>0.5061548952402225</v>
      </c>
      <c r="K616">
        <v>-0.31516800244953608</v>
      </c>
      <c r="L616">
        <v>132292511.0987913</v>
      </c>
      <c r="M616" t="s">
        <v>406</v>
      </c>
      <c r="N616" t="s">
        <v>54</v>
      </c>
      <c r="O616" t="s">
        <v>54</v>
      </c>
      <c r="P616">
        <v>16445</v>
      </c>
      <c r="Q616">
        <v>4874</v>
      </c>
      <c r="R616">
        <v>11571</v>
      </c>
    </row>
    <row r="617" spans="1:18" x14ac:dyDescent="0.3">
      <c r="A617" t="s">
        <v>1637</v>
      </c>
      <c r="B617">
        <v>2022</v>
      </c>
      <c r="C617">
        <v>1.2769508610148621</v>
      </c>
      <c r="D617">
        <v>0</v>
      </c>
      <c r="E617">
        <v>989</v>
      </c>
      <c r="F617">
        <v>431</v>
      </c>
      <c r="G617">
        <v>4.2091560329970002E-4</v>
      </c>
      <c r="H617">
        <v>41</v>
      </c>
      <c r="I617">
        <v>0</v>
      </c>
      <c r="J617">
        <v>0.4733797814461701</v>
      </c>
      <c r="K617">
        <v>-0.29750089153905979</v>
      </c>
      <c r="L617">
        <v>158346341.70559561</v>
      </c>
      <c r="M617" t="s">
        <v>406</v>
      </c>
      <c r="N617" t="s">
        <v>54</v>
      </c>
      <c r="O617" t="s">
        <v>452</v>
      </c>
      <c r="P617">
        <v>12968</v>
      </c>
      <c r="Q617">
        <v>3368</v>
      </c>
      <c r="R617">
        <v>9600</v>
      </c>
    </row>
    <row r="618" spans="1:18" x14ac:dyDescent="0.3">
      <c r="A618" t="s">
        <v>1638</v>
      </c>
      <c r="B618">
        <v>2022</v>
      </c>
      <c r="C618">
        <v>1.4238927174470959</v>
      </c>
      <c r="D618">
        <v>0</v>
      </c>
      <c r="E618">
        <v>19</v>
      </c>
      <c r="F618">
        <v>550</v>
      </c>
      <c r="G618">
        <v>5.5555214024549996E-4</v>
      </c>
      <c r="H618">
        <v>6</v>
      </c>
      <c r="I618">
        <v>2</v>
      </c>
      <c r="J618">
        <v>0.40361217354683609</v>
      </c>
      <c r="K618">
        <v>-0.29964639148364069</v>
      </c>
      <c r="L618">
        <v>253401470.33544189</v>
      </c>
      <c r="M618" t="s">
        <v>406</v>
      </c>
      <c r="N618" t="s">
        <v>453</v>
      </c>
      <c r="O618" t="s">
        <v>453</v>
      </c>
      <c r="P618">
        <v>13171</v>
      </c>
      <c r="Q618">
        <v>7935</v>
      </c>
      <c r="R618">
        <v>5236</v>
      </c>
    </row>
    <row r="619" spans="1:18" x14ac:dyDescent="0.3">
      <c r="A619" t="s">
        <v>1639</v>
      </c>
      <c r="B619">
        <v>2022</v>
      </c>
      <c r="C619">
        <v>1.157154641234091</v>
      </c>
      <c r="D619">
        <v>0</v>
      </c>
      <c r="E619">
        <v>8</v>
      </c>
      <c r="F619">
        <v>428</v>
      </c>
      <c r="G619">
        <v>8.0469013061119996E-4</v>
      </c>
      <c r="H619">
        <v>12</v>
      </c>
      <c r="I619">
        <v>0</v>
      </c>
      <c r="J619">
        <v>0.3401149271661158</v>
      </c>
      <c r="K619">
        <v>-0.1948038781343108</v>
      </c>
      <c r="L619">
        <v>141736517.71843961</v>
      </c>
      <c r="M619" t="s">
        <v>406</v>
      </c>
      <c r="N619" t="s">
        <v>457</v>
      </c>
      <c r="O619" t="s">
        <v>458</v>
      </c>
      <c r="P619">
        <v>11804</v>
      </c>
      <c r="Q619">
        <v>6319</v>
      </c>
      <c r="R619">
        <v>5485</v>
      </c>
    </row>
    <row r="620" spans="1:18" x14ac:dyDescent="0.3">
      <c r="A620" t="s">
        <v>1640</v>
      </c>
      <c r="B620">
        <v>2022</v>
      </c>
      <c r="C620">
        <v>2.2325122157932098</v>
      </c>
      <c r="D620">
        <v>0</v>
      </c>
      <c r="E620">
        <v>17</v>
      </c>
      <c r="F620">
        <v>206</v>
      </c>
      <c r="G620">
        <v>2.6776277124690001E-4</v>
      </c>
      <c r="H620">
        <v>10</v>
      </c>
      <c r="I620">
        <v>4</v>
      </c>
      <c r="J620">
        <v>0.49812191088148677</v>
      </c>
      <c r="K620">
        <v>-0.33014669164414479</v>
      </c>
      <c r="L620">
        <v>117651872.8567452</v>
      </c>
      <c r="M620" t="s">
        <v>460</v>
      </c>
      <c r="N620" t="s">
        <v>461</v>
      </c>
      <c r="O620" t="s">
        <v>464</v>
      </c>
      <c r="P620">
        <v>3561</v>
      </c>
      <c r="Q620">
        <v>955</v>
      </c>
      <c r="R620">
        <v>2606</v>
      </c>
    </row>
    <row r="621" spans="1:18" x14ac:dyDescent="0.3">
      <c r="A621" t="s">
        <v>1641</v>
      </c>
      <c r="B621">
        <v>2022</v>
      </c>
      <c r="C621">
        <v>0.70462754611433864</v>
      </c>
      <c r="D621">
        <v>0</v>
      </c>
      <c r="E621">
        <v>52</v>
      </c>
      <c r="F621">
        <v>109</v>
      </c>
      <c r="G621">
        <v>5.6242571457560005E-4</v>
      </c>
      <c r="H621">
        <v>6</v>
      </c>
      <c r="I621">
        <v>17</v>
      </c>
      <c r="J621">
        <v>0.39616744953788302</v>
      </c>
      <c r="K621">
        <v>-0.25965092288578479</v>
      </c>
      <c r="L621">
        <v>273214162.14278638</v>
      </c>
      <c r="M621" t="s">
        <v>460</v>
      </c>
      <c r="N621" t="s">
        <v>461</v>
      </c>
      <c r="O621" t="s">
        <v>465</v>
      </c>
      <c r="P621">
        <v>3251</v>
      </c>
      <c r="Q621">
        <v>961</v>
      </c>
      <c r="R621">
        <v>2290</v>
      </c>
    </row>
    <row r="622" spans="1:18" x14ac:dyDescent="0.3">
      <c r="A622" t="s">
        <v>1642</v>
      </c>
      <c r="B622">
        <v>2022</v>
      </c>
      <c r="C622">
        <v>0.71518262061935933</v>
      </c>
      <c r="D622">
        <v>0</v>
      </c>
      <c r="E622">
        <v>93</v>
      </c>
      <c r="F622">
        <v>111</v>
      </c>
      <c r="G622">
        <v>4.3421538248649999E-4</v>
      </c>
      <c r="H622">
        <v>8</v>
      </c>
      <c r="I622">
        <v>3</v>
      </c>
      <c r="J622">
        <v>0.361394223639801</v>
      </c>
      <c r="K622">
        <v>-0.16684655942680379</v>
      </c>
      <c r="L622">
        <v>238352409.4545978</v>
      </c>
      <c r="M622" t="s">
        <v>460</v>
      </c>
      <c r="N622" t="s">
        <v>461</v>
      </c>
      <c r="O622" t="s">
        <v>467</v>
      </c>
      <c r="P622">
        <v>3944</v>
      </c>
      <c r="Q622">
        <v>1200</v>
      </c>
      <c r="R622">
        <v>2744</v>
      </c>
    </row>
    <row r="623" spans="1:18" x14ac:dyDescent="0.3">
      <c r="A623" t="s">
        <v>1643</v>
      </c>
      <c r="B623">
        <v>2022</v>
      </c>
      <c r="C623">
        <v>0.58806290949327589</v>
      </c>
      <c r="D623">
        <v>0</v>
      </c>
      <c r="E623">
        <v>1</v>
      </c>
      <c r="F623">
        <v>69</v>
      </c>
      <c r="G623">
        <v>4.3299302174840002E-4</v>
      </c>
      <c r="H623">
        <v>3</v>
      </c>
      <c r="I623">
        <v>4</v>
      </c>
      <c r="L623">
        <v>202140960.73904571</v>
      </c>
      <c r="M623" t="s">
        <v>460</v>
      </c>
      <c r="N623" t="s">
        <v>473</v>
      </c>
      <c r="O623" t="s">
        <v>474</v>
      </c>
      <c r="P623">
        <v>1923</v>
      </c>
      <c r="Q623">
        <v>642</v>
      </c>
      <c r="R623">
        <v>1281</v>
      </c>
    </row>
    <row r="624" spans="1:18" x14ac:dyDescent="0.3">
      <c r="A624" t="s">
        <v>1644</v>
      </c>
      <c r="B624">
        <v>2022</v>
      </c>
      <c r="C624">
        <v>0.7582702262753136</v>
      </c>
      <c r="D624">
        <v>0</v>
      </c>
      <c r="E624">
        <v>56</v>
      </c>
      <c r="F624">
        <v>90</v>
      </c>
      <c r="G624">
        <v>3.4758334745219998E-4</v>
      </c>
      <c r="H624">
        <v>9</v>
      </c>
      <c r="I624">
        <v>9</v>
      </c>
      <c r="L624">
        <v>122581287.152991</v>
      </c>
      <c r="M624" t="s">
        <v>460</v>
      </c>
      <c r="N624" t="s">
        <v>473</v>
      </c>
      <c r="O624" t="s">
        <v>476</v>
      </c>
      <c r="P624">
        <v>1778</v>
      </c>
      <c r="Q624">
        <v>610</v>
      </c>
      <c r="R624">
        <v>1168</v>
      </c>
    </row>
    <row r="625" spans="1:18" x14ac:dyDescent="0.3">
      <c r="A625" t="s">
        <v>1645</v>
      </c>
      <c r="B625">
        <v>2022</v>
      </c>
      <c r="C625">
        <v>0.66376032188861933</v>
      </c>
      <c r="D625">
        <v>0</v>
      </c>
      <c r="E625">
        <v>12</v>
      </c>
      <c r="F625">
        <v>21</v>
      </c>
      <c r="G625">
        <v>8.0450496862000001E-4</v>
      </c>
      <c r="H625">
        <v>3</v>
      </c>
      <c r="I625">
        <v>3</v>
      </c>
      <c r="L625">
        <v>76202922.069580302</v>
      </c>
      <c r="M625" t="s">
        <v>460</v>
      </c>
      <c r="N625" t="s">
        <v>473</v>
      </c>
      <c r="O625" t="s">
        <v>477</v>
      </c>
      <c r="P625">
        <v>328</v>
      </c>
      <c r="Q625">
        <v>115</v>
      </c>
      <c r="R625">
        <v>213</v>
      </c>
    </row>
    <row r="626" spans="1:18" x14ac:dyDescent="0.3">
      <c r="A626" t="s">
        <v>1646</v>
      </c>
      <c r="B626">
        <v>2022</v>
      </c>
      <c r="C626">
        <v>0.58803275362538476</v>
      </c>
      <c r="D626">
        <v>0</v>
      </c>
      <c r="E626">
        <v>172</v>
      </c>
      <c r="F626">
        <v>62</v>
      </c>
      <c r="G626">
        <v>5.1294400491789995E-4</v>
      </c>
      <c r="H626">
        <v>1</v>
      </c>
      <c r="I626">
        <v>5</v>
      </c>
      <c r="L626">
        <v>181933669.5255892</v>
      </c>
      <c r="M626" t="s">
        <v>460</v>
      </c>
      <c r="N626" t="s">
        <v>473</v>
      </c>
      <c r="O626" t="s">
        <v>479</v>
      </c>
      <c r="P626">
        <v>1658</v>
      </c>
      <c r="Q626">
        <v>585</v>
      </c>
      <c r="R626">
        <v>1073</v>
      </c>
    </row>
    <row r="627" spans="1:18" x14ac:dyDescent="0.3">
      <c r="A627" t="s">
        <v>1647</v>
      </c>
      <c r="B627">
        <v>2022</v>
      </c>
      <c r="C627">
        <v>3.5591918237709081</v>
      </c>
      <c r="D627">
        <v>0</v>
      </c>
      <c r="E627">
        <v>15</v>
      </c>
      <c r="F627">
        <v>269</v>
      </c>
      <c r="G627">
        <v>6.4543018066250005E-4</v>
      </c>
      <c r="H627">
        <v>5</v>
      </c>
      <c r="I627">
        <v>2</v>
      </c>
      <c r="J627">
        <v>0.46692879877302879</v>
      </c>
      <c r="K627">
        <v>-0.32743142142952858</v>
      </c>
      <c r="L627">
        <v>50251293.617918268</v>
      </c>
      <c r="M627" t="s">
        <v>460</v>
      </c>
      <c r="N627" t="s">
        <v>481</v>
      </c>
      <c r="O627" t="s">
        <v>484</v>
      </c>
      <c r="P627">
        <v>7433</v>
      </c>
      <c r="Q627">
        <v>3938</v>
      </c>
      <c r="R627">
        <v>3495</v>
      </c>
    </row>
    <row r="628" spans="1:18" x14ac:dyDescent="0.3">
      <c r="A628" t="s">
        <v>1648</v>
      </c>
      <c r="B628">
        <v>2022</v>
      </c>
      <c r="C628">
        <v>8.0906380694027344</v>
      </c>
      <c r="D628">
        <v>0</v>
      </c>
      <c r="E628">
        <v>4</v>
      </c>
      <c r="F628">
        <v>244</v>
      </c>
      <c r="G628">
        <v>1.4976690199192001E-3</v>
      </c>
      <c r="H628">
        <v>9</v>
      </c>
      <c r="I628">
        <v>3</v>
      </c>
      <c r="J628">
        <v>0.3789361338567287</v>
      </c>
      <c r="K628">
        <v>-0.24757995517848269</v>
      </c>
      <c r="L628">
        <v>20466421.83139104</v>
      </c>
      <c r="M628" t="s">
        <v>460</v>
      </c>
      <c r="N628" t="s">
        <v>481</v>
      </c>
      <c r="O628" t="s">
        <v>487</v>
      </c>
      <c r="P628">
        <v>9299</v>
      </c>
      <c r="Q628">
        <v>3599</v>
      </c>
      <c r="R628">
        <v>5700</v>
      </c>
    </row>
    <row r="629" spans="1:18" x14ac:dyDescent="0.3">
      <c r="A629" t="s">
        <v>1649</v>
      </c>
      <c r="B629">
        <v>2022</v>
      </c>
      <c r="C629">
        <v>3.8239920996812189</v>
      </c>
      <c r="D629">
        <v>0</v>
      </c>
      <c r="E629">
        <v>4</v>
      </c>
      <c r="F629">
        <v>407</v>
      </c>
      <c r="G629">
        <v>6.8019047769870005E-4</v>
      </c>
      <c r="H629">
        <v>11</v>
      </c>
      <c r="I629">
        <v>1</v>
      </c>
      <c r="J629">
        <v>0.42088630992572379</v>
      </c>
      <c r="K629">
        <v>-0.26510862034930838</v>
      </c>
      <c r="L629">
        <v>63788413.313485682</v>
      </c>
      <c r="M629" t="s">
        <v>460</v>
      </c>
      <c r="N629" t="s">
        <v>481</v>
      </c>
      <c r="O629" t="s">
        <v>120</v>
      </c>
      <c r="P629">
        <v>11114</v>
      </c>
      <c r="Q629">
        <v>6728</v>
      </c>
      <c r="R629">
        <v>4386</v>
      </c>
    </row>
    <row r="630" spans="1:18" x14ac:dyDescent="0.3">
      <c r="A630" t="s">
        <v>1650</v>
      </c>
      <c r="B630">
        <v>2022</v>
      </c>
      <c r="C630">
        <v>6.2843697376117857</v>
      </c>
      <c r="D630">
        <v>0</v>
      </c>
      <c r="E630">
        <v>6</v>
      </c>
      <c r="F630">
        <v>323</v>
      </c>
      <c r="G630">
        <v>1.1803896452331E-3</v>
      </c>
      <c r="H630">
        <v>5</v>
      </c>
      <c r="I630">
        <v>4</v>
      </c>
      <c r="J630">
        <v>0.40409568685846231</v>
      </c>
      <c r="K630">
        <v>-0.2848770258756862</v>
      </c>
      <c r="L630">
        <v>17893271.17684342</v>
      </c>
      <c r="M630" t="s">
        <v>460</v>
      </c>
      <c r="N630" t="s">
        <v>481</v>
      </c>
      <c r="O630" t="s">
        <v>171</v>
      </c>
      <c r="P630">
        <v>5179</v>
      </c>
      <c r="Q630">
        <v>1895</v>
      </c>
      <c r="R630">
        <v>3284</v>
      </c>
    </row>
    <row r="631" spans="1:18" x14ac:dyDescent="0.3">
      <c r="A631" t="s">
        <v>1651</v>
      </c>
      <c r="B631">
        <v>2022</v>
      </c>
      <c r="C631">
        <v>0.76205072314969557</v>
      </c>
      <c r="D631">
        <v>0</v>
      </c>
      <c r="E631">
        <v>2</v>
      </c>
      <c r="F631">
        <v>43</v>
      </c>
      <c r="G631">
        <v>6.6622207550220004E-4</v>
      </c>
      <c r="H631">
        <v>1</v>
      </c>
      <c r="I631">
        <v>6</v>
      </c>
      <c r="L631">
        <v>86319404.845094442</v>
      </c>
      <c r="M631" t="s">
        <v>460</v>
      </c>
      <c r="N631" t="s">
        <v>481</v>
      </c>
      <c r="O631" t="s">
        <v>366</v>
      </c>
      <c r="P631">
        <v>1300</v>
      </c>
      <c r="Q631">
        <v>145</v>
      </c>
      <c r="R631">
        <v>1155</v>
      </c>
    </row>
    <row r="632" spans="1:18" x14ac:dyDescent="0.3">
      <c r="A632" t="s">
        <v>1652</v>
      </c>
      <c r="B632">
        <v>2022</v>
      </c>
      <c r="C632">
        <v>0.80591971020440312</v>
      </c>
      <c r="D632">
        <v>0</v>
      </c>
      <c r="E632">
        <v>34</v>
      </c>
      <c r="F632">
        <v>89</v>
      </c>
      <c r="G632">
        <v>5.9028051611389998E-4</v>
      </c>
      <c r="H632">
        <v>4</v>
      </c>
      <c r="I632">
        <v>2</v>
      </c>
      <c r="J632">
        <v>0.50149609087501013</v>
      </c>
      <c r="K632">
        <v>-0.27380902876835811</v>
      </c>
      <c r="L632">
        <v>131440574.56117199</v>
      </c>
      <c r="M632" t="s">
        <v>460</v>
      </c>
      <c r="N632" t="s">
        <v>488</v>
      </c>
      <c r="O632" t="s">
        <v>490</v>
      </c>
      <c r="P632">
        <v>1294</v>
      </c>
      <c r="Q632">
        <v>348</v>
      </c>
      <c r="R632">
        <v>946</v>
      </c>
    </row>
    <row r="633" spans="1:18" x14ac:dyDescent="0.3">
      <c r="A633" t="s">
        <v>1653</v>
      </c>
      <c r="B633">
        <v>2022</v>
      </c>
      <c r="C633">
        <v>0.76644017272906184</v>
      </c>
      <c r="D633">
        <v>0</v>
      </c>
      <c r="E633">
        <v>1</v>
      </c>
      <c r="F633">
        <v>79</v>
      </c>
      <c r="G633">
        <v>5.1961297032459999E-4</v>
      </c>
      <c r="H633">
        <v>2</v>
      </c>
      <c r="I633">
        <v>1</v>
      </c>
      <c r="J633">
        <v>0.44642289109208311</v>
      </c>
      <c r="K633">
        <v>-0.20831686714087899</v>
      </c>
      <c r="L633">
        <v>166080741.12578499</v>
      </c>
      <c r="M633" t="s">
        <v>460</v>
      </c>
      <c r="N633" t="s">
        <v>488</v>
      </c>
      <c r="O633" t="s">
        <v>491</v>
      </c>
      <c r="P633">
        <v>976</v>
      </c>
      <c r="Q633">
        <v>327</v>
      </c>
      <c r="R633">
        <v>649</v>
      </c>
    </row>
    <row r="634" spans="1:18" x14ac:dyDescent="0.3">
      <c r="A634" t="s">
        <v>1654</v>
      </c>
      <c r="B634">
        <v>2022</v>
      </c>
      <c r="C634">
        <v>0.79074983951973976</v>
      </c>
      <c r="D634">
        <v>0</v>
      </c>
      <c r="E634">
        <v>1</v>
      </c>
      <c r="F634">
        <v>123</v>
      </c>
      <c r="G634">
        <v>5.6207026887319998E-4</v>
      </c>
      <c r="H634">
        <v>6</v>
      </c>
      <c r="I634">
        <v>3</v>
      </c>
      <c r="J634">
        <v>0.45275401435356671</v>
      </c>
      <c r="K634">
        <v>-0.33718832375892221</v>
      </c>
      <c r="L634">
        <v>126570077.3661287</v>
      </c>
      <c r="M634" t="s">
        <v>460</v>
      </c>
      <c r="N634" t="s">
        <v>492</v>
      </c>
      <c r="O634" t="s">
        <v>494</v>
      </c>
      <c r="P634">
        <v>1871</v>
      </c>
      <c r="Q634">
        <v>789</v>
      </c>
      <c r="R634">
        <v>1082</v>
      </c>
    </row>
    <row r="635" spans="1:18" x14ac:dyDescent="0.3">
      <c r="A635" t="s">
        <v>1655</v>
      </c>
      <c r="B635">
        <v>2022</v>
      </c>
      <c r="C635">
        <v>0.59089435858139117</v>
      </c>
      <c r="D635">
        <v>0</v>
      </c>
      <c r="E635">
        <v>1</v>
      </c>
      <c r="F635">
        <v>53</v>
      </c>
      <c r="G635">
        <v>4.9164190652759997E-4</v>
      </c>
      <c r="H635">
        <v>6</v>
      </c>
      <c r="I635">
        <v>0</v>
      </c>
      <c r="J635">
        <v>0.42762760016390822</v>
      </c>
      <c r="K635">
        <v>-0.24742605276398491</v>
      </c>
      <c r="L635">
        <v>383946899.95892793</v>
      </c>
      <c r="M635" t="s">
        <v>460</v>
      </c>
      <c r="N635" t="s">
        <v>492</v>
      </c>
      <c r="O635" t="s">
        <v>495</v>
      </c>
      <c r="P635">
        <v>1987</v>
      </c>
      <c r="Q635">
        <v>450</v>
      </c>
      <c r="R635">
        <v>1537</v>
      </c>
    </row>
    <row r="636" spans="1:18" x14ac:dyDescent="0.3">
      <c r="A636" t="s">
        <v>1656</v>
      </c>
      <c r="B636">
        <v>2022</v>
      </c>
      <c r="C636">
        <v>1.5973477714340341</v>
      </c>
      <c r="D636">
        <v>0</v>
      </c>
      <c r="E636">
        <v>8</v>
      </c>
      <c r="F636">
        <v>77</v>
      </c>
      <c r="G636">
        <v>1.0946319344400999E-3</v>
      </c>
      <c r="H636">
        <v>5</v>
      </c>
      <c r="I636">
        <v>1</v>
      </c>
      <c r="J636">
        <v>0.43939283946782481</v>
      </c>
      <c r="K636">
        <v>-0.3725936747953153</v>
      </c>
      <c r="L636">
        <v>54273869.664724827</v>
      </c>
      <c r="M636" t="s">
        <v>460</v>
      </c>
      <c r="N636" t="s">
        <v>492</v>
      </c>
      <c r="O636" t="s">
        <v>496</v>
      </c>
      <c r="P636">
        <v>2337</v>
      </c>
      <c r="Q636">
        <v>1226</v>
      </c>
      <c r="R636">
        <v>1111</v>
      </c>
    </row>
    <row r="637" spans="1:18" x14ac:dyDescent="0.3">
      <c r="A637" t="s">
        <v>1657</v>
      </c>
      <c r="B637">
        <v>2022</v>
      </c>
      <c r="C637">
        <v>2.448569282099716</v>
      </c>
      <c r="D637">
        <v>0</v>
      </c>
      <c r="E637">
        <v>15</v>
      </c>
      <c r="F637">
        <v>124</v>
      </c>
      <c r="G637">
        <v>6.1142022623279996E-4</v>
      </c>
      <c r="H637">
        <v>12</v>
      </c>
      <c r="I637">
        <v>2</v>
      </c>
      <c r="J637">
        <v>0.48408782375052212</v>
      </c>
      <c r="K637">
        <v>-0.36838236637602001</v>
      </c>
      <c r="L637">
        <v>73930605.943475932</v>
      </c>
      <c r="M637" t="s">
        <v>460</v>
      </c>
      <c r="N637" t="s">
        <v>492</v>
      </c>
      <c r="O637" t="s">
        <v>497</v>
      </c>
      <c r="P637">
        <v>3524</v>
      </c>
      <c r="Q637">
        <v>1934</v>
      </c>
      <c r="R637">
        <v>1590</v>
      </c>
    </row>
    <row r="638" spans="1:18" x14ac:dyDescent="0.3">
      <c r="A638" t="s">
        <v>1658</v>
      </c>
      <c r="B638">
        <v>2022</v>
      </c>
      <c r="C638">
        <v>2.5765740180102181</v>
      </c>
      <c r="D638">
        <v>0</v>
      </c>
      <c r="E638">
        <v>44</v>
      </c>
      <c r="F638">
        <v>88</v>
      </c>
      <c r="G638">
        <v>1.5357970316335001E-3</v>
      </c>
      <c r="H638">
        <v>5</v>
      </c>
      <c r="I638">
        <v>3</v>
      </c>
      <c r="J638">
        <v>0.38767464381260602</v>
      </c>
      <c r="K638">
        <v>-0.3859155969190986</v>
      </c>
      <c r="L638">
        <v>37610215.512627907</v>
      </c>
      <c r="M638" t="s">
        <v>460</v>
      </c>
      <c r="N638" t="s">
        <v>492</v>
      </c>
      <c r="O638" t="s">
        <v>498</v>
      </c>
      <c r="P638">
        <v>1665</v>
      </c>
      <c r="Q638">
        <v>1003</v>
      </c>
      <c r="R638">
        <v>662</v>
      </c>
    </row>
    <row r="639" spans="1:18" x14ac:dyDescent="0.3">
      <c r="A639" t="s">
        <v>1659</v>
      </c>
      <c r="B639">
        <v>2022</v>
      </c>
      <c r="C639">
        <v>1.1681663658262009</v>
      </c>
      <c r="D639">
        <v>0</v>
      </c>
      <c r="E639">
        <v>1</v>
      </c>
      <c r="F639">
        <v>54</v>
      </c>
      <c r="G639">
        <v>1.4093934700718999E-3</v>
      </c>
      <c r="H639">
        <v>6</v>
      </c>
      <c r="I639">
        <v>2</v>
      </c>
      <c r="J639">
        <v>0.49342525730067011</v>
      </c>
      <c r="K639">
        <v>-0.32531325971523201</v>
      </c>
      <c r="L639">
        <v>23970307.839416452</v>
      </c>
      <c r="M639" t="s">
        <v>499</v>
      </c>
      <c r="N639" t="s">
        <v>499</v>
      </c>
      <c r="O639" t="s">
        <v>500</v>
      </c>
      <c r="P639">
        <v>1025</v>
      </c>
      <c r="Q639">
        <v>184</v>
      </c>
      <c r="R639">
        <v>841</v>
      </c>
    </row>
    <row r="640" spans="1:18" x14ac:dyDescent="0.3">
      <c r="A640" t="s">
        <v>1660</v>
      </c>
      <c r="B640">
        <v>2022</v>
      </c>
      <c r="C640">
        <v>0.77436472153633706</v>
      </c>
      <c r="D640">
        <v>0</v>
      </c>
      <c r="E640">
        <v>1</v>
      </c>
      <c r="F640">
        <v>129</v>
      </c>
      <c r="G640">
        <v>4.1643074424999998E-4</v>
      </c>
      <c r="H640">
        <v>2</v>
      </c>
      <c r="I640">
        <v>3</v>
      </c>
      <c r="J640">
        <v>0.48442441346187842</v>
      </c>
      <c r="K640">
        <v>-0.3314908574598639</v>
      </c>
      <c r="L640">
        <v>71938586.454114854</v>
      </c>
      <c r="M640" t="s">
        <v>499</v>
      </c>
      <c r="N640" t="s">
        <v>499</v>
      </c>
      <c r="O640" t="s">
        <v>501</v>
      </c>
      <c r="P640">
        <v>2111</v>
      </c>
      <c r="Q640">
        <v>369</v>
      </c>
      <c r="R640">
        <v>1742</v>
      </c>
    </row>
    <row r="641" spans="1:18" x14ac:dyDescent="0.3">
      <c r="A641" t="s">
        <v>1661</v>
      </c>
      <c r="B641">
        <v>2022</v>
      </c>
      <c r="C641">
        <v>0.88036339012429876</v>
      </c>
      <c r="D641">
        <v>0</v>
      </c>
      <c r="E641">
        <v>51</v>
      </c>
      <c r="F641">
        <v>65</v>
      </c>
      <c r="G641">
        <v>9.7464920888210005E-4</v>
      </c>
      <c r="H641">
        <v>9</v>
      </c>
      <c r="I641">
        <v>4</v>
      </c>
      <c r="J641">
        <v>0.52639878849390909</v>
      </c>
      <c r="K641">
        <v>-0.27225165895460568</v>
      </c>
      <c r="L641">
        <v>67078879.769561611</v>
      </c>
      <c r="M641" t="s">
        <v>499</v>
      </c>
      <c r="N641" t="s">
        <v>499</v>
      </c>
      <c r="O641" t="s">
        <v>507</v>
      </c>
      <c r="P641">
        <v>1300</v>
      </c>
      <c r="Q641">
        <v>829</v>
      </c>
      <c r="R641">
        <v>471</v>
      </c>
    </row>
    <row r="642" spans="1:18" x14ac:dyDescent="0.3">
      <c r="A642" t="s">
        <v>1662</v>
      </c>
      <c r="B642">
        <v>2022</v>
      </c>
      <c r="C642">
        <v>0.66650030712007025</v>
      </c>
      <c r="D642">
        <v>0</v>
      </c>
      <c r="E642">
        <v>3</v>
      </c>
      <c r="F642">
        <v>107</v>
      </c>
      <c r="G642">
        <v>4.9540918790499998E-4</v>
      </c>
      <c r="H642">
        <v>4</v>
      </c>
      <c r="I642">
        <v>2</v>
      </c>
      <c r="J642">
        <v>0.52945930237103644</v>
      </c>
      <c r="K642">
        <v>-0.33220619670223328</v>
      </c>
      <c r="L642">
        <v>101913884.5929054</v>
      </c>
      <c r="M642" t="s">
        <v>499</v>
      </c>
      <c r="N642" t="s">
        <v>499</v>
      </c>
      <c r="O642" t="s">
        <v>121</v>
      </c>
      <c r="P642">
        <v>1051</v>
      </c>
      <c r="Q642">
        <v>146</v>
      </c>
      <c r="R642">
        <v>905</v>
      </c>
    </row>
    <row r="643" spans="1:18" x14ac:dyDescent="0.3">
      <c r="A643" t="s">
        <v>1663</v>
      </c>
      <c r="B643">
        <v>2022</v>
      </c>
      <c r="C643">
        <v>1.102564331017523</v>
      </c>
      <c r="D643">
        <v>0</v>
      </c>
      <c r="E643">
        <v>1</v>
      </c>
      <c r="F643">
        <v>96</v>
      </c>
      <c r="G643">
        <v>3.2797575242810001E-4</v>
      </c>
      <c r="H643">
        <v>2</v>
      </c>
      <c r="I643">
        <v>1</v>
      </c>
      <c r="J643">
        <v>0.50420011189954705</v>
      </c>
      <c r="K643">
        <v>-0.33415379682478952</v>
      </c>
      <c r="L643">
        <v>91973565.251810595</v>
      </c>
      <c r="M643" t="s">
        <v>499</v>
      </c>
      <c r="N643" t="s">
        <v>499</v>
      </c>
      <c r="O643" t="s">
        <v>508</v>
      </c>
      <c r="P643">
        <v>3718</v>
      </c>
      <c r="Q643">
        <v>656</v>
      </c>
      <c r="R643">
        <v>3062</v>
      </c>
    </row>
    <row r="644" spans="1:18" x14ac:dyDescent="0.3">
      <c r="A644" t="s">
        <v>1664</v>
      </c>
      <c r="B644">
        <v>2022</v>
      </c>
      <c r="C644">
        <v>0.5533196459342089</v>
      </c>
      <c r="D644">
        <v>0</v>
      </c>
      <c r="E644">
        <v>15</v>
      </c>
      <c r="F644">
        <v>70</v>
      </c>
      <c r="G644">
        <v>9.5736206446019999E-4</v>
      </c>
      <c r="H644">
        <v>2</v>
      </c>
      <c r="I644">
        <v>3</v>
      </c>
      <c r="J644">
        <v>0.4826476061373205</v>
      </c>
      <c r="K644">
        <v>-0.25615350201989617</v>
      </c>
      <c r="L644">
        <v>267600363.38128841</v>
      </c>
      <c r="M644" t="s">
        <v>499</v>
      </c>
      <c r="N644" t="s">
        <v>499</v>
      </c>
      <c r="O644" t="s">
        <v>510</v>
      </c>
      <c r="P644">
        <v>1413</v>
      </c>
      <c r="Q644">
        <v>644</v>
      </c>
      <c r="R644">
        <v>769</v>
      </c>
    </row>
    <row r="645" spans="1:18" x14ac:dyDescent="0.3">
      <c r="A645" t="s">
        <v>1665</v>
      </c>
      <c r="B645">
        <v>2022</v>
      </c>
      <c r="C645">
        <v>1.5738922743426911</v>
      </c>
      <c r="D645">
        <v>0</v>
      </c>
      <c r="E645">
        <v>1</v>
      </c>
      <c r="F645">
        <v>52</v>
      </c>
      <c r="G645">
        <v>1.140813763432E-3</v>
      </c>
      <c r="H645">
        <v>3</v>
      </c>
      <c r="I645">
        <v>1</v>
      </c>
      <c r="J645">
        <v>0.4899451868489742</v>
      </c>
      <c r="K645">
        <v>-0.34798676169177978</v>
      </c>
      <c r="L645">
        <v>148057766.3201468</v>
      </c>
      <c r="M645" t="s">
        <v>499</v>
      </c>
      <c r="N645" t="s">
        <v>499</v>
      </c>
      <c r="O645" t="s">
        <v>511</v>
      </c>
      <c r="P645">
        <v>1502</v>
      </c>
      <c r="Q645">
        <v>716</v>
      </c>
      <c r="R645">
        <v>786</v>
      </c>
    </row>
    <row r="646" spans="1:18" x14ac:dyDescent="0.3">
      <c r="A646" t="s">
        <v>1666</v>
      </c>
      <c r="B646">
        <v>2022</v>
      </c>
      <c r="C646">
        <v>0.50455145336636387</v>
      </c>
      <c r="D646">
        <v>0</v>
      </c>
      <c r="E646">
        <v>1</v>
      </c>
      <c r="F646">
        <v>40</v>
      </c>
      <c r="G646">
        <v>5.6417236952229996E-4</v>
      </c>
      <c r="H646">
        <v>13</v>
      </c>
      <c r="I646">
        <v>15</v>
      </c>
      <c r="J646">
        <v>0.4704347226526604</v>
      </c>
      <c r="K646">
        <v>-0.40173156922293379</v>
      </c>
      <c r="L646">
        <v>192704810.78503671</v>
      </c>
      <c r="M646" t="s">
        <v>499</v>
      </c>
      <c r="N646" t="s">
        <v>512</v>
      </c>
      <c r="O646" t="s">
        <v>514</v>
      </c>
      <c r="P646">
        <v>1430</v>
      </c>
      <c r="Q646">
        <v>98</v>
      </c>
      <c r="R646">
        <v>1332</v>
      </c>
    </row>
    <row r="647" spans="1:18" x14ac:dyDescent="0.3">
      <c r="A647" t="s">
        <v>1667</v>
      </c>
      <c r="B647">
        <v>2022</v>
      </c>
      <c r="C647">
        <v>0.7184302241144499</v>
      </c>
      <c r="D647">
        <v>0</v>
      </c>
      <c r="E647">
        <v>50</v>
      </c>
      <c r="F647">
        <v>136</v>
      </c>
      <c r="G647">
        <v>4.5339452501229999E-4</v>
      </c>
      <c r="H647">
        <v>8</v>
      </c>
      <c r="I647">
        <v>8</v>
      </c>
      <c r="J647">
        <v>0.429364419231409</v>
      </c>
      <c r="K647">
        <v>-0.4206647359528588</v>
      </c>
      <c r="L647">
        <v>93438317.975341007</v>
      </c>
      <c r="M647" t="s">
        <v>499</v>
      </c>
      <c r="N647" t="s">
        <v>512</v>
      </c>
      <c r="O647" t="s">
        <v>515</v>
      </c>
      <c r="P647">
        <v>2658</v>
      </c>
      <c r="Q647">
        <v>753</v>
      </c>
      <c r="R647">
        <v>1905</v>
      </c>
    </row>
    <row r="648" spans="1:18" x14ac:dyDescent="0.3">
      <c r="A648" t="s">
        <v>1668</v>
      </c>
      <c r="B648">
        <v>2022</v>
      </c>
      <c r="C648">
        <v>0.52067043895770526</v>
      </c>
      <c r="D648">
        <v>0</v>
      </c>
      <c r="E648">
        <v>69</v>
      </c>
      <c r="F648">
        <v>136</v>
      </c>
      <c r="G648">
        <v>4.019218253641E-4</v>
      </c>
      <c r="H648">
        <v>1</v>
      </c>
      <c r="I648">
        <v>4</v>
      </c>
      <c r="J648">
        <v>0.39251180811467862</v>
      </c>
      <c r="K648">
        <v>-0.3922153930958025</v>
      </c>
      <c r="L648">
        <v>98617732.232374087</v>
      </c>
      <c r="M648" t="s">
        <v>499</v>
      </c>
      <c r="N648" t="s">
        <v>512</v>
      </c>
      <c r="O648" t="s">
        <v>517</v>
      </c>
      <c r="P648">
        <v>1381</v>
      </c>
      <c r="Q648">
        <v>136</v>
      </c>
      <c r="R648">
        <v>1245</v>
      </c>
    </row>
    <row r="649" spans="1:18" x14ac:dyDescent="0.3">
      <c r="A649" t="s">
        <v>1669</v>
      </c>
      <c r="B649">
        <v>2022</v>
      </c>
      <c r="C649">
        <v>0.86139736026429137</v>
      </c>
      <c r="D649">
        <v>0</v>
      </c>
      <c r="E649">
        <v>80</v>
      </c>
      <c r="F649">
        <v>198</v>
      </c>
      <c r="G649">
        <v>2.0173158154829999E-4</v>
      </c>
      <c r="H649">
        <v>10</v>
      </c>
      <c r="I649">
        <v>3</v>
      </c>
      <c r="J649">
        <v>0.47987316729580171</v>
      </c>
      <c r="K649">
        <v>-0.35682081717635</v>
      </c>
      <c r="L649">
        <v>202974125.57218</v>
      </c>
      <c r="M649" t="s">
        <v>499</v>
      </c>
      <c r="N649" t="s">
        <v>518</v>
      </c>
      <c r="O649" t="s">
        <v>152</v>
      </c>
      <c r="P649">
        <v>4437</v>
      </c>
      <c r="Q649">
        <v>1271</v>
      </c>
      <c r="R649">
        <v>3166</v>
      </c>
    </row>
    <row r="650" spans="1:18" x14ac:dyDescent="0.3">
      <c r="A650" t="s">
        <v>1670</v>
      </c>
      <c r="B650">
        <v>2022</v>
      </c>
      <c r="C650">
        <v>0.89931267390508174</v>
      </c>
      <c r="D650">
        <v>0</v>
      </c>
      <c r="E650">
        <v>1</v>
      </c>
      <c r="F650">
        <v>108</v>
      </c>
      <c r="G650">
        <v>4.584520736547E-4</v>
      </c>
      <c r="H650">
        <v>4</v>
      </c>
      <c r="I650">
        <v>0</v>
      </c>
      <c r="J650">
        <v>0.36873763437431001</v>
      </c>
      <c r="K650">
        <v>-0.37695096655727811</v>
      </c>
      <c r="L650">
        <v>146726418.68647271</v>
      </c>
      <c r="M650" t="s">
        <v>499</v>
      </c>
      <c r="N650" t="s">
        <v>518</v>
      </c>
      <c r="O650" t="s">
        <v>520</v>
      </c>
      <c r="P650">
        <v>1921</v>
      </c>
      <c r="Q650">
        <v>1220</v>
      </c>
      <c r="R650">
        <v>701</v>
      </c>
    </row>
    <row r="651" spans="1:18" x14ac:dyDescent="0.3">
      <c r="A651" t="s">
        <v>1671</v>
      </c>
      <c r="B651">
        <v>2022</v>
      </c>
      <c r="C651">
        <v>0.61023441349169405</v>
      </c>
      <c r="D651">
        <v>0</v>
      </c>
      <c r="E651">
        <v>19</v>
      </c>
      <c r="F651">
        <v>24</v>
      </c>
      <c r="G651">
        <v>1.6792376261177001E-3</v>
      </c>
      <c r="H651">
        <v>3</v>
      </c>
      <c r="I651">
        <v>2</v>
      </c>
      <c r="J651">
        <v>0.51352128332277691</v>
      </c>
      <c r="K651">
        <v>-0.36644811673099431</v>
      </c>
      <c r="L651">
        <v>49029171.31648986</v>
      </c>
      <c r="M651" t="s">
        <v>499</v>
      </c>
      <c r="N651" t="s">
        <v>518</v>
      </c>
      <c r="O651" t="s">
        <v>521</v>
      </c>
      <c r="P651">
        <v>457</v>
      </c>
      <c r="Q651">
        <v>176</v>
      </c>
      <c r="R651">
        <v>281</v>
      </c>
    </row>
    <row r="652" spans="1:18" x14ac:dyDescent="0.3">
      <c r="A652" t="s">
        <v>1672</v>
      </c>
      <c r="B652">
        <v>2022</v>
      </c>
      <c r="C652">
        <v>0.90250153498212204</v>
      </c>
      <c r="D652">
        <v>0</v>
      </c>
      <c r="E652">
        <v>149</v>
      </c>
      <c r="F652">
        <v>56</v>
      </c>
      <c r="G652">
        <v>1.2642124576178E-3</v>
      </c>
      <c r="H652">
        <v>9</v>
      </c>
      <c r="I652">
        <v>2</v>
      </c>
      <c r="J652">
        <v>0.42636042825102938</v>
      </c>
      <c r="K652">
        <v>-0.38096454880145753</v>
      </c>
      <c r="L652">
        <v>26844880.512402929</v>
      </c>
      <c r="M652" t="s">
        <v>499</v>
      </c>
      <c r="N652" t="s">
        <v>522</v>
      </c>
      <c r="O652" t="s">
        <v>523</v>
      </c>
      <c r="P652">
        <v>1165</v>
      </c>
      <c r="Q652">
        <v>292</v>
      </c>
      <c r="R652">
        <v>873</v>
      </c>
    </row>
    <row r="653" spans="1:18" x14ac:dyDescent="0.3">
      <c r="A653" t="s">
        <v>1673</v>
      </c>
      <c r="B653">
        <v>2022</v>
      </c>
      <c r="C653">
        <v>0.94486255887884996</v>
      </c>
      <c r="D653">
        <v>0</v>
      </c>
      <c r="E653">
        <v>35</v>
      </c>
      <c r="F653">
        <v>96</v>
      </c>
      <c r="G653">
        <v>4.5796365115560001E-4</v>
      </c>
      <c r="H653">
        <v>9</v>
      </c>
      <c r="I653">
        <v>3</v>
      </c>
      <c r="J653">
        <v>0.41946445800698962</v>
      </c>
      <c r="K653">
        <v>-0.33570579078969481</v>
      </c>
      <c r="L653">
        <v>82017525.920567125</v>
      </c>
      <c r="M653" t="s">
        <v>499</v>
      </c>
      <c r="N653" t="s">
        <v>522</v>
      </c>
      <c r="O653" t="s">
        <v>524</v>
      </c>
      <c r="P653">
        <v>3273</v>
      </c>
      <c r="Q653">
        <v>830</v>
      </c>
      <c r="R653">
        <v>2443</v>
      </c>
    </row>
    <row r="654" spans="1:18" x14ac:dyDescent="0.3">
      <c r="A654" t="s">
        <v>1674</v>
      </c>
      <c r="B654">
        <v>2022</v>
      </c>
      <c r="C654">
        <v>0.62945708653065358</v>
      </c>
      <c r="D654">
        <v>0</v>
      </c>
      <c r="E654">
        <v>92</v>
      </c>
      <c r="F654">
        <v>149</v>
      </c>
      <c r="G654">
        <v>3.4774510521960001E-4</v>
      </c>
      <c r="H654">
        <v>3</v>
      </c>
      <c r="I654">
        <v>2</v>
      </c>
      <c r="J654">
        <v>0.35528407602628698</v>
      </c>
      <c r="K654">
        <v>-0.36801994776057251</v>
      </c>
      <c r="L654">
        <v>139382276.9331007</v>
      </c>
      <c r="M654" t="s">
        <v>499</v>
      </c>
      <c r="N654" t="s">
        <v>522</v>
      </c>
      <c r="O654" t="s">
        <v>438</v>
      </c>
      <c r="P654">
        <v>2552</v>
      </c>
      <c r="Q654">
        <v>555</v>
      </c>
      <c r="R654">
        <v>1997</v>
      </c>
    </row>
    <row r="655" spans="1:18" x14ac:dyDescent="0.3">
      <c r="A655" t="s">
        <v>1675</v>
      </c>
      <c r="B655">
        <v>2022</v>
      </c>
      <c r="C655">
        <v>0.66943191708318783</v>
      </c>
      <c r="D655">
        <v>0</v>
      </c>
      <c r="E655">
        <v>15</v>
      </c>
      <c r="F655">
        <v>33</v>
      </c>
      <c r="G655">
        <v>1.5910699002502E-3</v>
      </c>
      <c r="H655">
        <v>4</v>
      </c>
      <c r="I655">
        <v>1</v>
      </c>
      <c r="J655">
        <v>0.38867860435556573</v>
      </c>
      <c r="K655">
        <v>-0.37307600365325722</v>
      </c>
      <c r="L655">
        <v>34911504.438463166</v>
      </c>
      <c r="M655" t="s">
        <v>499</v>
      </c>
      <c r="N655" t="s">
        <v>522</v>
      </c>
      <c r="O655" t="s">
        <v>525</v>
      </c>
      <c r="P655">
        <v>702</v>
      </c>
      <c r="Q655">
        <v>59</v>
      </c>
      <c r="R655">
        <v>643</v>
      </c>
    </row>
    <row r="656" spans="1:18" x14ac:dyDescent="0.3">
      <c r="A656" t="s">
        <v>1676</v>
      </c>
      <c r="B656">
        <v>2022</v>
      </c>
      <c r="C656">
        <v>0.96825399710652282</v>
      </c>
      <c r="D656">
        <v>0</v>
      </c>
      <c r="E656">
        <v>7</v>
      </c>
      <c r="F656">
        <v>141</v>
      </c>
      <c r="G656">
        <v>2.37865789587E-4</v>
      </c>
      <c r="H656">
        <v>3</v>
      </c>
      <c r="I656">
        <v>3</v>
      </c>
      <c r="J656">
        <v>0.47688544564490881</v>
      </c>
      <c r="K656">
        <v>-0.36462706605841899</v>
      </c>
      <c r="L656">
        <v>101211894.744528</v>
      </c>
      <c r="M656" t="s">
        <v>499</v>
      </c>
      <c r="N656" t="s">
        <v>526</v>
      </c>
      <c r="O656" t="s">
        <v>526</v>
      </c>
      <c r="P656">
        <v>3466</v>
      </c>
      <c r="Q656">
        <v>1701</v>
      </c>
      <c r="R656">
        <v>1765</v>
      </c>
    </row>
    <row r="657" spans="1:18" x14ac:dyDescent="0.3">
      <c r="A657" t="s">
        <v>1677</v>
      </c>
      <c r="B657">
        <v>2022</v>
      </c>
      <c r="C657">
        <v>0.88560201198791988</v>
      </c>
      <c r="D657">
        <v>0</v>
      </c>
      <c r="E657">
        <v>62</v>
      </c>
      <c r="F657">
        <v>174</v>
      </c>
      <c r="G657">
        <v>6.582511090845E-4</v>
      </c>
      <c r="H657">
        <v>6</v>
      </c>
      <c r="I657">
        <v>8</v>
      </c>
      <c r="J657">
        <v>0.49663198429683508</v>
      </c>
      <c r="K657">
        <v>-0.31013231900324489</v>
      </c>
      <c r="L657">
        <v>123031019.8209542</v>
      </c>
      <c r="M657" t="s">
        <v>499</v>
      </c>
      <c r="N657" t="s">
        <v>529</v>
      </c>
      <c r="O657" t="s">
        <v>93</v>
      </c>
      <c r="P657">
        <v>4140</v>
      </c>
      <c r="Q657">
        <v>2152</v>
      </c>
      <c r="R657">
        <v>1988</v>
      </c>
    </row>
    <row r="658" spans="1:18" x14ac:dyDescent="0.3">
      <c r="A658" t="s">
        <v>1678</v>
      </c>
      <c r="B658">
        <v>2022</v>
      </c>
      <c r="C658">
        <v>0.68538879847148781</v>
      </c>
      <c r="D658">
        <v>0</v>
      </c>
      <c r="E658">
        <v>63</v>
      </c>
      <c r="F658">
        <v>50</v>
      </c>
      <c r="G658">
        <v>5.6353413248890003E-4</v>
      </c>
      <c r="H658">
        <v>2</v>
      </c>
      <c r="I658">
        <v>0</v>
      </c>
      <c r="J658">
        <v>0.43043401975499029</v>
      </c>
      <c r="K658">
        <v>-0.39816774451525822</v>
      </c>
      <c r="L658">
        <v>77045609.057493582</v>
      </c>
      <c r="M658" t="s">
        <v>499</v>
      </c>
      <c r="N658" t="s">
        <v>529</v>
      </c>
      <c r="O658" t="s">
        <v>331</v>
      </c>
      <c r="P658">
        <v>2163</v>
      </c>
      <c r="Q658">
        <v>323</v>
      </c>
      <c r="R658">
        <v>1840</v>
      </c>
    </row>
    <row r="659" spans="1:18" x14ac:dyDescent="0.3">
      <c r="A659" t="s">
        <v>1679</v>
      </c>
      <c r="B659">
        <v>2022</v>
      </c>
      <c r="C659">
        <v>0.5324890557002433</v>
      </c>
      <c r="D659">
        <v>0</v>
      </c>
      <c r="E659">
        <v>19</v>
      </c>
      <c r="F659">
        <v>46</v>
      </c>
      <c r="G659">
        <v>4.144211361459E-4</v>
      </c>
      <c r="H659">
        <v>1</v>
      </c>
      <c r="I659">
        <v>1</v>
      </c>
      <c r="J659">
        <v>0.45655503533937108</v>
      </c>
      <c r="K659">
        <v>-0.34852840671351998</v>
      </c>
      <c r="L659">
        <v>97161330.2842336</v>
      </c>
      <c r="M659" t="s">
        <v>499</v>
      </c>
      <c r="N659" t="s">
        <v>529</v>
      </c>
      <c r="O659" t="s">
        <v>530</v>
      </c>
      <c r="P659">
        <v>2050</v>
      </c>
      <c r="Q659">
        <v>225</v>
      </c>
      <c r="R659">
        <v>1825</v>
      </c>
    </row>
    <row r="660" spans="1:18" x14ac:dyDescent="0.3">
      <c r="A660" t="s">
        <v>1680</v>
      </c>
      <c r="B660">
        <v>2022</v>
      </c>
      <c r="C660">
        <v>0.91859152448232839</v>
      </c>
      <c r="D660">
        <v>0</v>
      </c>
      <c r="E660">
        <v>77</v>
      </c>
      <c r="F660">
        <v>56</v>
      </c>
      <c r="G660">
        <v>7.9871950610969997E-4</v>
      </c>
      <c r="H660">
        <v>4</v>
      </c>
      <c r="I660">
        <v>3</v>
      </c>
      <c r="J660">
        <v>0.56740091557745442</v>
      </c>
      <c r="K660">
        <v>-0.3059568726900172</v>
      </c>
      <c r="L660">
        <v>76946782.249056697</v>
      </c>
      <c r="M660" t="s">
        <v>499</v>
      </c>
      <c r="N660" t="s">
        <v>529</v>
      </c>
      <c r="O660" t="s">
        <v>531</v>
      </c>
      <c r="P660">
        <v>1450</v>
      </c>
      <c r="Q660">
        <v>171</v>
      </c>
      <c r="R660">
        <v>1279</v>
      </c>
    </row>
    <row r="661" spans="1:18" x14ac:dyDescent="0.3">
      <c r="A661" t="s">
        <v>1681</v>
      </c>
      <c r="B661">
        <v>2022</v>
      </c>
      <c r="C661">
        <v>1.0798060165540819</v>
      </c>
      <c r="D661">
        <v>0</v>
      </c>
      <c r="E661">
        <v>4</v>
      </c>
      <c r="F661">
        <v>99</v>
      </c>
      <c r="G661">
        <v>6.5315131254269998E-4</v>
      </c>
      <c r="H661">
        <v>2</v>
      </c>
      <c r="I661">
        <v>4</v>
      </c>
      <c r="J661">
        <v>0.42443188995480902</v>
      </c>
      <c r="K661">
        <v>-0.40592832508657939</v>
      </c>
      <c r="L661">
        <v>41323819.931859978</v>
      </c>
      <c r="M661" t="s">
        <v>499</v>
      </c>
      <c r="N661" t="s">
        <v>529</v>
      </c>
      <c r="O661" t="s">
        <v>532</v>
      </c>
      <c r="P661">
        <v>1865</v>
      </c>
      <c r="Q661">
        <v>361</v>
      </c>
      <c r="R661">
        <v>1504</v>
      </c>
    </row>
    <row r="662" spans="1:18" x14ac:dyDescent="0.3">
      <c r="A662" t="s">
        <v>1682</v>
      </c>
      <c r="B662">
        <v>2022</v>
      </c>
      <c r="C662">
        <v>0.75602118398930351</v>
      </c>
      <c r="D662">
        <v>0</v>
      </c>
      <c r="E662">
        <v>277</v>
      </c>
      <c r="F662">
        <v>119</v>
      </c>
      <c r="G662">
        <v>8.9273512941930001E-4</v>
      </c>
      <c r="H662">
        <v>3</v>
      </c>
      <c r="I662">
        <v>7</v>
      </c>
      <c r="J662">
        <v>0.5277258674789036</v>
      </c>
      <c r="K662">
        <v>-0.34743550530474132</v>
      </c>
      <c r="L662">
        <v>72654153.799988613</v>
      </c>
      <c r="M662" t="s">
        <v>499</v>
      </c>
      <c r="N662" t="s">
        <v>529</v>
      </c>
      <c r="O662" t="s">
        <v>311</v>
      </c>
      <c r="P662">
        <v>1647</v>
      </c>
      <c r="Q662">
        <v>496</v>
      </c>
      <c r="R662">
        <v>1151</v>
      </c>
    </row>
    <row r="663" spans="1:18" x14ac:dyDescent="0.3">
      <c r="A663" t="s">
        <v>1683</v>
      </c>
      <c r="B663">
        <v>2022</v>
      </c>
      <c r="C663">
        <v>0.62514019246934671</v>
      </c>
      <c r="D663">
        <v>0</v>
      </c>
      <c r="E663">
        <v>17</v>
      </c>
      <c r="F663">
        <v>90</v>
      </c>
      <c r="G663">
        <v>3.5758711608020001E-4</v>
      </c>
      <c r="H663">
        <v>2</v>
      </c>
      <c r="I663">
        <v>7</v>
      </c>
      <c r="J663">
        <v>0.44751567558870431</v>
      </c>
      <c r="K663">
        <v>-0.381589050509066</v>
      </c>
      <c r="L663">
        <v>103958921.3406968</v>
      </c>
      <c r="M663" t="s">
        <v>499</v>
      </c>
      <c r="N663" t="s">
        <v>534</v>
      </c>
      <c r="O663" t="s">
        <v>535</v>
      </c>
      <c r="P663">
        <v>2402</v>
      </c>
      <c r="Q663">
        <v>798</v>
      </c>
      <c r="R663">
        <v>1604</v>
      </c>
    </row>
    <row r="664" spans="1:18" x14ac:dyDescent="0.3">
      <c r="A664" t="s">
        <v>1684</v>
      </c>
      <c r="B664">
        <v>2022</v>
      </c>
      <c r="C664">
        <v>0.60587111092380319</v>
      </c>
      <c r="D664">
        <v>0</v>
      </c>
      <c r="E664">
        <v>3</v>
      </c>
      <c r="F664">
        <v>74</v>
      </c>
      <c r="G664">
        <v>5.1598871299459999E-4</v>
      </c>
      <c r="H664">
        <v>3</v>
      </c>
      <c r="I664">
        <v>0</v>
      </c>
      <c r="J664">
        <v>0.47895480291777481</v>
      </c>
      <c r="K664">
        <v>-0.41173605690279619</v>
      </c>
      <c r="L664">
        <v>97153582.209024802</v>
      </c>
      <c r="M664" t="s">
        <v>499</v>
      </c>
      <c r="N664" t="s">
        <v>534</v>
      </c>
      <c r="O664" t="s">
        <v>537</v>
      </c>
      <c r="P664">
        <v>986</v>
      </c>
      <c r="Q664">
        <v>368</v>
      </c>
      <c r="R664">
        <v>618</v>
      </c>
    </row>
    <row r="665" spans="1:18" x14ac:dyDescent="0.3">
      <c r="A665" t="s">
        <v>1685</v>
      </c>
      <c r="B665">
        <v>2022</v>
      </c>
      <c r="C665">
        <v>0.63848801392754473</v>
      </c>
      <c r="D665">
        <v>0</v>
      </c>
      <c r="E665">
        <v>39</v>
      </c>
      <c r="F665">
        <v>52</v>
      </c>
      <c r="G665">
        <v>3.9785141269249998E-4</v>
      </c>
      <c r="H665">
        <v>6</v>
      </c>
      <c r="I665">
        <v>0</v>
      </c>
      <c r="J665">
        <v>0.4034968778404121</v>
      </c>
      <c r="K665">
        <v>-0.39445361407083368</v>
      </c>
      <c r="L665">
        <v>111192648.1272153</v>
      </c>
      <c r="M665" t="s">
        <v>499</v>
      </c>
      <c r="N665" t="s">
        <v>534</v>
      </c>
      <c r="O665" t="s">
        <v>538</v>
      </c>
      <c r="P665">
        <v>1716</v>
      </c>
      <c r="Q665">
        <v>517</v>
      </c>
      <c r="R665">
        <v>1199</v>
      </c>
    </row>
    <row r="666" spans="1:18" x14ac:dyDescent="0.3">
      <c r="A666" t="s">
        <v>1686</v>
      </c>
      <c r="B666">
        <v>2022</v>
      </c>
      <c r="C666">
        <v>0.5382248482533174</v>
      </c>
      <c r="D666">
        <v>0</v>
      </c>
      <c r="E666">
        <v>143</v>
      </c>
      <c r="F666">
        <v>37</v>
      </c>
      <c r="G666">
        <v>1.2091845611664001E-3</v>
      </c>
      <c r="H666">
        <v>5</v>
      </c>
      <c r="I666">
        <v>2</v>
      </c>
      <c r="J666">
        <v>0.44250252683433111</v>
      </c>
      <c r="K666">
        <v>-0.38226348607131128</v>
      </c>
      <c r="L666">
        <v>89674771.166800037</v>
      </c>
      <c r="M666" t="s">
        <v>499</v>
      </c>
      <c r="N666" t="s">
        <v>539</v>
      </c>
      <c r="O666" t="s">
        <v>540</v>
      </c>
      <c r="P666">
        <v>985</v>
      </c>
      <c r="Q666">
        <v>141</v>
      </c>
      <c r="R666">
        <v>844</v>
      </c>
    </row>
    <row r="667" spans="1:18" x14ac:dyDescent="0.3">
      <c r="A667" t="s">
        <v>1687</v>
      </c>
      <c r="B667">
        <v>2022</v>
      </c>
      <c r="C667">
        <v>0.62876806109555206</v>
      </c>
      <c r="D667">
        <v>0</v>
      </c>
      <c r="E667">
        <v>12</v>
      </c>
      <c r="F667">
        <v>90</v>
      </c>
      <c r="G667">
        <v>4.7258789979220001E-4</v>
      </c>
      <c r="H667">
        <v>4</v>
      </c>
      <c r="I667">
        <v>1</v>
      </c>
      <c r="J667">
        <v>0.48806783792993791</v>
      </c>
      <c r="K667">
        <v>-0.38670063061570797</v>
      </c>
      <c r="L667">
        <v>68583212.307331756</v>
      </c>
      <c r="M667" t="s">
        <v>499</v>
      </c>
      <c r="N667" t="s">
        <v>539</v>
      </c>
      <c r="O667" t="s">
        <v>214</v>
      </c>
      <c r="P667">
        <v>1360</v>
      </c>
      <c r="Q667">
        <v>224</v>
      </c>
      <c r="R667">
        <v>1136</v>
      </c>
    </row>
    <row r="668" spans="1:18" x14ac:dyDescent="0.3">
      <c r="A668" t="s">
        <v>1688</v>
      </c>
      <c r="B668">
        <v>2022</v>
      </c>
      <c r="C668">
        <v>0.87399559984156516</v>
      </c>
      <c r="D668">
        <v>0</v>
      </c>
      <c r="E668">
        <v>1</v>
      </c>
      <c r="F668">
        <v>43</v>
      </c>
      <c r="G668">
        <v>1.9113398545131E-3</v>
      </c>
      <c r="H668">
        <v>3</v>
      </c>
      <c r="I668">
        <v>1</v>
      </c>
      <c r="J668">
        <v>0.54392435184974453</v>
      </c>
      <c r="K668">
        <v>-0.38057920266616718</v>
      </c>
      <c r="L668">
        <v>45058320.951518051</v>
      </c>
      <c r="M668" t="s">
        <v>499</v>
      </c>
      <c r="N668" t="s">
        <v>539</v>
      </c>
      <c r="O668" t="s">
        <v>541</v>
      </c>
      <c r="P668">
        <v>629</v>
      </c>
      <c r="Q668">
        <v>346</v>
      </c>
      <c r="R668">
        <v>283</v>
      </c>
    </row>
    <row r="669" spans="1:18" x14ac:dyDescent="0.3">
      <c r="A669" t="s">
        <v>1689</v>
      </c>
      <c r="B669">
        <v>2022</v>
      </c>
      <c r="C669">
        <v>0.88609306343715344</v>
      </c>
      <c r="D669">
        <v>0</v>
      </c>
      <c r="E669">
        <v>302</v>
      </c>
      <c r="F669">
        <v>448</v>
      </c>
      <c r="G669">
        <v>6.9348080471318683E-5</v>
      </c>
      <c r="H669">
        <v>7</v>
      </c>
      <c r="I669">
        <v>25</v>
      </c>
      <c r="J669">
        <v>0.40203136495738512</v>
      </c>
      <c r="K669">
        <v>-0.38782807668850988</v>
      </c>
      <c r="L669">
        <v>441121767.66036153</v>
      </c>
      <c r="M669" t="s">
        <v>499</v>
      </c>
      <c r="N669" t="s">
        <v>542</v>
      </c>
      <c r="O669" t="s">
        <v>543</v>
      </c>
      <c r="P669">
        <v>12110</v>
      </c>
      <c r="Q669">
        <v>6368</v>
      </c>
      <c r="R669">
        <v>5742</v>
      </c>
    </row>
    <row r="670" spans="1:18" x14ac:dyDescent="0.3">
      <c r="A670" t="s">
        <v>1690</v>
      </c>
      <c r="B670">
        <v>2022</v>
      </c>
      <c r="C670">
        <v>0.59731180413607976</v>
      </c>
      <c r="D670">
        <v>0</v>
      </c>
      <c r="E670">
        <v>23</v>
      </c>
      <c r="F670">
        <v>87</v>
      </c>
      <c r="G670">
        <v>2.402401986085E-4</v>
      </c>
      <c r="H670">
        <v>8</v>
      </c>
      <c r="I670">
        <v>0</v>
      </c>
      <c r="J670">
        <v>0.44724781022617122</v>
      </c>
      <c r="K670">
        <v>-0.371012641577527</v>
      </c>
      <c r="L670">
        <v>279336681.02647561</v>
      </c>
      <c r="M670" t="s">
        <v>499</v>
      </c>
      <c r="N670" t="s">
        <v>542</v>
      </c>
      <c r="O670" t="s">
        <v>545</v>
      </c>
      <c r="P670">
        <v>2406</v>
      </c>
      <c r="Q670">
        <v>512</v>
      </c>
      <c r="R670">
        <v>1894</v>
      </c>
    </row>
    <row r="671" spans="1:18" x14ac:dyDescent="0.3">
      <c r="A671" t="s">
        <v>1691</v>
      </c>
      <c r="B671">
        <v>2022</v>
      </c>
      <c r="C671">
        <v>0.63030265837082922</v>
      </c>
      <c r="D671">
        <v>0</v>
      </c>
      <c r="E671">
        <v>3</v>
      </c>
      <c r="F671">
        <v>55</v>
      </c>
      <c r="G671">
        <v>4.4493789869089998E-4</v>
      </c>
      <c r="H671">
        <v>6</v>
      </c>
      <c r="I671">
        <v>1</v>
      </c>
      <c r="J671">
        <v>0.5205031784923233</v>
      </c>
      <c r="K671">
        <v>-0.3198331911244674</v>
      </c>
      <c r="L671">
        <v>98021829.914275318</v>
      </c>
      <c r="M671" t="s">
        <v>499</v>
      </c>
      <c r="N671" t="s">
        <v>542</v>
      </c>
      <c r="O671" t="s">
        <v>546</v>
      </c>
      <c r="P671">
        <v>1679</v>
      </c>
      <c r="Q671">
        <v>504</v>
      </c>
      <c r="R671">
        <v>1175</v>
      </c>
    </row>
    <row r="672" spans="1:18" x14ac:dyDescent="0.3">
      <c r="A672" t="s">
        <v>1692</v>
      </c>
      <c r="B672">
        <v>2022</v>
      </c>
      <c r="C672">
        <v>0.64381348527523363</v>
      </c>
      <c r="D672">
        <v>0</v>
      </c>
      <c r="E672">
        <v>1</v>
      </c>
      <c r="F672">
        <v>53</v>
      </c>
      <c r="G672">
        <v>7.8554089048839997E-4</v>
      </c>
      <c r="H672">
        <v>3</v>
      </c>
      <c r="I672">
        <v>1</v>
      </c>
      <c r="J672">
        <v>0.44854985864522412</v>
      </c>
      <c r="K672">
        <v>-0.3868536318076703</v>
      </c>
      <c r="L672">
        <v>35044709.064901993</v>
      </c>
      <c r="M672" t="s">
        <v>499</v>
      </c>
      <c r="N672" t="s">
        <v>542</v>
      </c>
      <c r="O672" t="s">
        <v>145</v>
      </c>
      <c r="P672">
        <v>1077</v>
      </c>
      <c r="Q672">
        <v>379</v>
      </c>
      <c r="R672">
        <v>698</v>
      </c>
    </row>
    <row r="673" spans="1:18" x14ac:dyDescent="0.3">
      <c r="A673" t="s">
        <v>1693</v>
      </c>
      <c r="B673">
        <v>2022</v>
      </c>
      <c r="C673">
        <v>0.81859505469864791</v>
      </c>
      <c r="D673">
        <v>0</v>
      </c>
      <c r="E673">
        <v>8</v>
      </c>
      <c r="F673">
        <v>97</v>
      </c>
      <c r="G673">
        <v>5.7060621495229997E-4</v>
      </c>
      <c r="H673">
        <v>3</v>
      </c>
      <c r="I673">
        <v>1</v>
      </c>
      <c r="J673">
        <v>0.3745378520156562</v>
      </c>
      <c r="K673">
        <v>-0.41580319245530911</v>
      </c>
      <c r="L673">
        <v>52367802.052866973</v>
      </c>
      <c r="M673" t="s">
        <v>499</v>
      </c>
      <c r="N673" t="s">
        <v>542</v>
      </c>
      <c r="O673" t="s">
        <v>548</v>
      </c>
      <c r="P673">
        <v>1734</v>
      </c>
      <c r="Q673">
        <v>809</v>
      </c>
      <c r="R673">
        <v>925</v>
      </c>
    </row>
    <row r="674" spans="1:18" x14ac:dyDescent="0.3">
      <c r="A674" t="s">
        <v>1694</v>
      </c>
      <c r="B674">
        <v>2022</v>
      </c>
      <c r="C674">
        <v>0.85994484404759974</v>
      </c>
      <c r="D674">
        <v>0</v>
      </c>
      <c r="E674">
        <v>4</v>
      </c>
      <c r="F674">
        <v>46</v>
      </c>
      <c r="G674">
        <v>1.2382139474994001E-3</v>
      </c>
      <c r="H674">
        <v>1</v>
      </c>
      <c r="I674">
        <v>1</v>
      </c>
      <c r="J674">
        <v>0.35893200445310952</v>
      </c>
      <c r="K674">
        <v>-0.40516911560663488</v>
      </c>
      <c r="L674">
        <v>21823613.130669199</v>
      </c>
      <c r="M674" t="s">
        <v>499</v>
      </c>
      <c r="N674" t="s">
        <v>542</v>
      </c>
      <c r="O674" t="s">
        <v>549</v>
      </c>
      <c r="P674">
        <v>1237</v>
      </c>
      <c r="Q674">
        <v>546</v>
      </c>
      <c r="R674">
        <v>691</v>
      </c>
    </row>
    <row r="675" spans="1:18" x14ac:dyDescent="0.3">
      <c r="A675" t="s">
        <v>1695</v>
      </c>
      <c r="B675">
        <v>2022</v>
      </c>
      <c r="C675">
        <v>0.6193843112651094</v>
      </c>
      <c r="D675">
        <v>0</v>
      </c>
      <c r="E675">
        <v>26</v>
      </c>
      <c r="F675">
        <v>74</v>
      </c>
      <c r="G675">
        <v>4.3047564653429999E-4</v>
      </c>
      <c r="H675">
        <v>3</v>
      </c>
      <c r="I675">
        <v>6</v>
      </c>
      <c r="J675">
        <v>0.3923488851481971</v>
      </c>
      <c r="K675">
        <v>-0.27883159394845769</v>
      </c>
      <c r="L675">
        <v>79938131.097480521</v>
      </c>
      <c r="M675" t="s">
        <v>499</v>
      </c>
      <c r="N675" t="s">
        <v>550</v>
      </c>
      <c r="O675" t="s">
        <v>552</v>
      </c>
      <c r="P675">
        <v>1335</v>
      </c>
      <c r="Q675">
        <v>631</v>
      </c>
      <c r="R675">
        <v>704</v>
      </c>
    </row>
    <row r="676" spans="1:18" x14ac:dyDescent="0.3">
      <c r="A676" t="s">
        <v>1696</v>
      </c>
      <c r="B676">
        <v>2022</v>
      </c>
      <c r="C676">
        <v>0.73192381590534794</v>
      </c>
      <c r="D676">
        <v>0</v>
      </c>
      <c r="E676">
        <v>1</v>
      </c>
      <c r="F676">
        <v>42</v>
      </c>
      <c r="G676">
        <v>9.5373438994440004E-4</v>
      </c>
      <c r="H676">
        <v>1</v>
      </c>
      <c r="I676">
        <v>6</v>
      </c>
      <c r="J676">
        <v>0.43056056322968</v>
      </c>
      <c r="K676">
        <v>-0.28623153929427209</v>
      </c>
      <c r="L676">
        <v>27715350.116702739</v>
      </c>
      <c r="M676" t="s">
        <v>499</v>
      </c>
      <c r="N676" t="s">
        <v>550</v>
      </c>
      <c r="O676" t="s">
        <v>553</v>
      </c>
      <c r="P676">
        <v>1157</v>
      </c>
      <c r="Q676">
        <v>410</v>
      </c>
      <c r="R676">
        <v>747</v>
      </c>
    </row>
    <row r="677" spans="1:18" x14ac:dyDescent="0.3">
      <c r="A677" t="s">
        <v>1697</v>
      </c>
      <c r="B677">
        <v>2022</v>
      </c>
      <c r="C677">
        <v>0.58062065486673553</v>
      </c>
      <c r="D677">
        <v>0</v>
      </c>
      <c r="E677">
        <v>48</v>
      </c>
      <c r="F677">
        <v>116</v>
      </c>
      <c r="G677">
        <v>3.506311144798E-4</v>
      </c>
      <c r="H677">
        <v>10</v>
      </c>
      <c r="I677">
        <v>17</v>
      </c>
      <c r="J677">
        <v>0.46035407447560101</v>
      </c>
      <c r="K677">
        <v>-0.33566601197660878</v>
      </c>
      <c r="L677">
        <v>203758358.20783439</v>
      </c>
      <c r="M677" t="s">
        <v>499</v>
      </c>
      <c r="N677" t="s">
        <v>550</v>
      </c>
      <c r="O677" t="s">
        <v>554</v>
      </c>
      <c r="P677">
        <v>2423</v>
      </c>
      <c r="Q677">
        <v>1048</v>
      </c>
      <c r="R677">
        <v>1375</v>
      </c>
    </row>
    <row r="678" spans="1:18" x14ac:dyDescent="0.3">
      <c r="A678" t="s">
        <v>1698</v>
      </c>
      <c r="B678">
        <v>2022</v>
      </c>
      <c r="C678">
        <v>0.94748640797564665</v>
      </c>
      <c r="D678">
        <v>0</v>
      </c>
      <c r="E678">
        <v>31</v>
      </c>
      <c r="F678">
        <v>66</v>
      </c>
      <c r="G678">
        <v>2.0153802246435002E-3</v>
      </c>
      <c r="H678">
        <v>1</v>
      </c>
      <c r="I678">
        <v>6</v>
      </c>
      <c r="J678">
        <v>0.50401687603263168</v>
      </c>
      <c r="K678">
        <v>-0.29337521687888668</v>
      </c>
      <c r="L678">
        <v>28084599.110742379</v>
      </c>
      <c r="M678" t="s">
        <v>499</v>
      </c>
      <c r="N678" t="s">
        <v>550</v>
      </c>
      <c r="O678" t="s">
        <v>555</v>
      </c>
      <c r="P678">
        <v>1308</v>
      </c>
      <c r="Q678">
        <v>584</v>
      </c>
      <c r="R678">
        <v>724</v>
      </c>
    </row>
    <row r="679" spans="1:18" x14ac:dyDescent="0.3">
      <c r="A679" t="s">
        <v>1699</v>
      </c>
      <c r="B679">
        <v>2022</v>
      </c>
      <c r="C679">
        <v>0.63385683384285874</v>
      </c>
      <c r="D679">
        <v>0</v>
      </c>
      <c r="E679">
        <v>64</v>
      </c>
      <c r="F679">
        <v>76</v>
      </c>
      <c r="G679">
        <v>1.1627789813088E-3</v>
      </c>
      <c r="H679">
        <v>11</v>
      </c>
      <c r="I679">
        <v>0</v>
      </c>
      <c r="J679">
        <v>0.45613540159942861</v>
      </c>
      <c r="K679">
        <v>-0.29317393418734039</v>
      </c>
      <c r="L679">
        <v>56295762.574709222</v>
      </c>
      <c r="M679" t="s">
        <v>499</v>
      </c>
      <c r="N679" t="s">
        <v>550</v>
      </c>
      <c r="O679" t="s">
        <v>556</v>
      </c>
      <c r="P679">
        <v>1047</v>
      </c>
      <c r="Q679">
        <v>282</v>
      </c>
      <c r="R679">
        <v>765</v>
      </c>
    </row>
    <row r="680" spans="1:18" x14ac:dyDescent="0.3">
      <c r="A680" t="s">
        <v>1700</v>
      </c>
      <c r="B680">
        <v>2022</v>
      </c>
      <c r="C680">
        <v>1.0103704371411311</v>
      </c>
      <c r="D680">
        <v>0</v>
      </c>
      <c r="E680">
        <v>2</v>
      </c>
      <c r="F680">
        <v>34</v>
      </c>
      <c r="G680">
        <v>7.1476206636519998E-4</v>
      </c>
      <c r="H680">
        <v>2</v>
      </c>
      <c r="I680">
        <v>1</v>
      </c>
      <c r="J680">
        <v>0.50098506856109204</v>
      </c>
      <c r="K680">
        <v>-0.34313071682995078</v>
      </c>
      <c r="L680">
        <v>45089128.104276262</v>
      </c>
      <c r="M680" t="s">
        <v>499</v>
      </c>
      <c r="N680" t="s">
        <v>557</v>
      </c>
      <c r="O680" t="s">
        <v>366</v>
      </c>
      <c r="P680">
        <v>1553</v>
      </c>
      <c r="Q680">
        <v>319</v>
      </c>
      <c r="R680">
        <v>1234</v>
      </c>
    </row>
    <row r="681" spans="1:18" x14ac:dyDescent="0.3">
      <c r="A681" t="s">
        <v>1701</v>
      </c>
      <c r="B681">
        <v>2022</v>
      </c>
      <c r="C681">
        <v>1.036842277057362</v>
      </c>
      <c r="D681">
        <v>0</v>
      </c>
      <c r="E681">
        <v>5</v>
      </c>
      <c r="F681">
        <v>115</v>
      </c>
      <c r="G681">
        <v>4.8525343793080002E-4</v>
      </c>
      <c r="H681">
        <v>2</v>
      </c>
      <c r="I681">
        <v>2</v>
      </c>
      <c r="J681">
        <v>0.5148890668132946</v>
      </c>
      <c r="K681">
        <v>-0.35206588889431412</v>
      </c>
      <c r="L681">
        <v>118724757.39780059</v>
      </c>
      <c r="M681" t="s">
        <v>499</v>
      </c>
      <c r="N681" t="s">
        <v>557</v>
      </c>
      <c r="O681" t="s">
        <v>565</v>
      </c>
      <c r="P681">
        <v>4086</v>
      </c>
      <c r="Q681">
        <v>1414</v>
      </c>
      <c r="R681">
        <v>2672</v>
      </c>
    </row>
    <row r="682" spans="1:18" x14ac:dyDescent="0.3">
      <c r="A682" t="s">
        <v>1702</v>
      </c>
      <c r="B682">
        <v>2022</v>
      </c>
      <c r="C682">
        <v>0.62171345242352294</v>
      </c>
      <c r="D682">
        <v>0</v>
      </c>
      <c r="E682">
        <v>60</v>
      </c>
      <c r="F682">
        <v>178</v>
      </c>
      <c r="G682">
        <v>2.7862911218430001E-4</v>
      </c>
      <c r="H682">
        <v>29</v>
      </c>
      <c r="I682">
        <v>3</v>
      </c>
      <c r="J682">
        <v>0.47640215460480129</v>
      </c>
      <c r="K682">
        <v>-0.38511339871607603</v>
      </c>
      <c r="L682">
        <v>293860267.15217823</v>
      </c>
      <c r="M682" t="s">
        <v>499</v>
      </c>
      <c r="N682" t="s">
        <v>567</v>
      </c>
      <c r="O682" t="s">
        <v>567</v>
      </c>
      <c r="P682">
        <v>3670</v>
      </c>
      <c r="Q682">
        <v>880</v>
      </c>
      <c r="R682">
        <v>2790</v>
      </c>
    </row>
    <row r="683" spans="1:18" x14ac:dyDescent="0.3">
      <c r="A683" t="s">
        <v>1703</v>
      </c>
      <c r="B683">
        <v>2022</v>
      </c>
      <c r="C683">
        <v>0.5568600429144992</v>
      </c>
      <c r="D683">
        <v>0</v>
      </c>
      <c r="E683">
        <v>1</v>
      </c>
      <c r="F683">
        <v>69</v>
      </c>
      <c r="G683">
        <v>8.7560615620219996E-4</v>
      </c>
      <c r="H683">
        <v>4</v>
      </c>
      <c r="I683">
        <v>4</v>
      </c>
      <c r="J683">
        <v>0.3547629316294636</v>
      </c>
      <c r="K683">
        <v>-0.36917105753992058</v>
      </c>
      <c r="L683">
        <v>170636138.13951799</v>
      </c>
      <c r="M683" t="s">
        <v>499</v>
      </c>
      <c r="N683" t="s">
        <v>570</v>
      </c>
      <c r="O683" t="s">
        <v>571</v>
      </c>
      <c r="P683">
        <v>868</v>
      </c>
      <c r="Q683">
        <v>435</v>
      </c>
      <c r="R683">
        <v>433</v>
      </c>
    </row>
    <row r="684" spans="1:18" x14ac:dyDescent="0.3">
      <c r="A684" t="s">
        <v>1704</v>
      </c>
      <c r="B684">
        <v>2022</v>
      </c>
      <c r="C684">
        <v>0.51827529453810872</v>
      </c>
      <c r="D684">
        <v>0</v>
      </c>
      <c r="E684">
        <v>2</v>
      </c>
      <c r="F684">
        <v>101</v>
      </c>
      <c r="G684">
        <v>4.3411347360079998E-4</v>
      </c>
      <c r="H684">
        <v>5</v>
      </c>
      <c r="I684">
        <v>12</v>
      </c>
      <c r="J684">
        <v>0.31793201532415599</v>
      </c>
      <c r="K684">
        <v>-0.37706955730502351</v>
      </c>
      <c r="L684">
        <v>189587510.5228329</v>
      </c>
      <c r="M684" t="s">
        <v>499</v>
      </c>
      <c r="N684" t="s">
        <v>570</v>
      </c>
      <c r="O684" t="s">
        <v>572</v>
      </c>
      <c r="P684">
        <v>1913</v>
      </c>
      <c r="Q684">
        <v>586</v>
      </c>
      <c r="R684">
        <v>1327</v>
      </c>
    </row>
    <row r="685" spans="1:18" x14ac:dyDescent="0.3">
      <c r="A685" t="s">
        <v>1705</v>
      </c>
      <c r="B685">
        <v>2022</v>
      </c>
      <c r="C685">
        <v>0.48958454835670617</v>
      </c>
      <c r="D685">
        <v>0</v>
      </c>
      <c r="E685">
        <v>2</v>
      </c>
      <c r="F685">
        <v>139</v>
      </c>
      <c r="G685">
        <v>3.9967736638429999E-4</v>
      </c>
      <c r="H685">
        <v>10</v>
      </c>
      <c r="I685">
        <v>10</v>
      </c>
      <c r="J685">
        <v>0.21074500084702069</v>
      </c>
      <c r="K685">
        <v>-0.37674263570317629</v>
      </c>
      <c r="L685">
        <v>231583457.98253191</v>
      </c>
      <c r="M685" t="s">
        <v>499</v>
      </c>
      <c r="N685" t="s">
        <v>570</v>
      </c>
      <c r="O685" t="s">
        <v>573</v>
      </c>
      <c r="P685">
        <v>1685</v>
      </c>
      <c r="Q685">
        <v>410</v>
      </c>
      <c r="R685">
        <v>1275</v>
      </c>
    </row>
    <row r="686" spans="1:18" x14ac:dyDescent="0.3">
      <c r="A686" t="s">
        <v>1706</v>
      </c>
      <c r="B686">
        <v>2022</v>
      </c>
      <c r="C686">
        <v>0.52926816898179041</v>
      </c>
      <c r="D686">
        <v>0</v>
      </c>
      <c r="E686">
        <v>64</v>
      </c>
      <c r="F686">
        <v>133</v>
      </c>
      <c r="G686">
        <v>3.5310727853369998E-4</v>
      </c>
      <c r="H686">
        <v>12</v>
      </c>
      <c r="I686">
        <v>19</v>
      </c>
      <c r="J686">
        <v>0.3736916743924642</v>
      </c>
      <c r="K686">
        <v>-0.38575411653485292</v>
      </c>
      <c r="L686">
        <v>174189461.63801959</v>
      </c>
      <c r="M686" t="s">
        <v>499</v>
      </c>
      <c r="N686" t="s">
        <v>570</v>
      </c>
      <c r="O686" t="s">
        <v>574</v>
      </c>
      <c r="P686">
        <v>2574</v>
      </c>
      <c r="Q686">
        <v>632</v>
      </c>
      <c r="R686">
        <v>1942</v>
      </c>
    </row>
    <row r="687" spans="1:18" x14ac:dyDescent="0.3">
      <c r="A687" t="s">
        <v>1707</v>
      </c>
      <c r="B687">
        <v>2022</v>
      </c>
      <c r="C687">
        <v>0.74935578185917751</v>
      </c>
      <c r="D687">
        <v>0</v>
      </c>
      <c r="E687">
        <v>80</v>
      </c>
      <c r="F687">
        <v>72</v>
      </c>
      <c r="G687">
        <v>7.8616110113049998E-4</v>
      </c>
      <c r="H687">
        <v>5</v>
      </c>
      <c r="I687">
        <v>1</v>
      </c>
      <c r="J687">
        <v>0.3615922900257868</v>
      </c>
      <c r="K687">
        <v>-0.36095062023280922</v>
      </c>
      <c r="L687">
        <v>43180880.265264571</v>
      </c>
      <c r="M687" t="s">
        <v>499</v>
      </c>
      <c r="N687" t="s">
        <v>577</v>
      </c>
      <c r="O687" t="s">
        <v>579</v>
      </c>
      <c r="P687">
        <v>2059</v>
      </c>
      <c r="Q687">
        <v>397</v>
      </c>
      <c r="R687">
        <v>1662</v>
      </c>
    </row>
    <row r="688" spans="1:18" x14ac:dyDescent="0.3">
      <c r="A688" t="s">
        <v>1708</v>
      </c>
      <c r="B688">
        <v>2022</v>
      </c>
      <c r="C688">
        <v>0.62592662693831846</v>
      </c>
      <c r="D688">
        <v>0</v>
      </c>
      <c r="E688">
        <v>47</v>
      </c>
      <c r="F688">
        <v>138</v>
      </c>
      <c r="G688">
        <v>2.7666321617230002E-4</v>
      </c>
      <c r="H688">
        <v>16</v>
      </c>
      <c r="I688">
        <v>1</v>
      </c>
      <c r="J688">
        <v>0.36364730965188141</v>
      </c>
      <c r="K688">
        <v>-0.36507381635680269</v>
      </c>
      <c r="L688">
        <v>92012779.016570807</v>
      </c>
      <c r="M688" t="s">
        <v>499</v>
      </c>
      <c r="N688" t="s">
        <v>577</v>
      </c>
      <c r="O688" t="s">
        <v>580</v>
      </c>
      <c r="P688">
        <v>2961</v>
      </c>
      <c r="Q688">
        <v>151</v>
      </c>
      <c r="R688">
        <v>2810</v>
      </c>
    </row>
    <row r="689" spans="1:18" x14ac:dyDescent="0.3">
      <c r="A689" t="s">
        <v>1709</v>
      </c>
      <c r="B689">
        <v>2022</v>
      </c>
      <c r="C689">
        <v>0.80446912035483187</v>
      </c>
      <c r="D689">
        <v>0</v>
      </c>
      <c r="E689">
        <v>4</v>
      </c>
      <c r="F689">
        <v>86</v>
      </c>
      <c r="G689">
        <v>4.227116451526E-4</v>
      </c>
      <c r="H689">
        <v>3</v>
      </c>
      <c r="I689">
        <v>1</v>
      </c>
      <c r="J689">
        <v>0.4787952136525051</v>
      </c>
      <c r="K689">
        <v>-0.4007099326315236</v>
      </c>
      <c r="L689">
        <v>92276414.021390736</v>
      </c>
      <c r="M689" t="s">
        <v>499</v>
      </c>
      <c r="N689" t="s">
        <v>581</v>
      </c>
      <c r="O689" t="s">
        <v>581</v>
      </c>
      <c r="P689">
        <v>2558</v>
      </c>
      <c r="Q689">
        <v>1010</v>
      </c>
      <c r="R689">
        <v>1548</v>
      </c>
    </row>
    <row r="690" spans="1:18" x14ac:dyDescent="0.3">
      <c r="A690" t="s">
        <v>1710</v>
      </c>
      <c r="B690">
        <v>2022</v>
      </c>
      <c r="C690">
        <v>0.60340840180830413</v>
      </c>
      <c r="D690">
        <v>0</v>
      </c>
      <c r="E690">
        <v>6</v>
      </c>
      <c r="F690">
        <v>59</v>
      </c>
      <c r="G690">
        <v>6.2675324280489996E-4</v>
      </c>
      <c r="H690">
        <v>1</v>
      </c>
      <c r="I690">
        <v>1</v>
      </c>
      <c r="J690">
        <v>0.52866337515002571</v>
      </c>
      <c r="K690">
        <v>-0.35286907107996368</v>
      </c>
      <c r="L690">
        <v>107961345.1591354</v>
      </c>
      <c r="M690" t="s">
        <v>499</v>
      </c>
      <c r="N690" t="s">
        <v>581</v>
      </c>
      <c r="O690" t="s">
        <v>583</v>
      </c>
      <c r="P690">
        <v>1119</v>
      </c>
      <c r="Q690">
        <v>289</v>
      </c>
      <c r="R690">
        <v>830</v>
      </c>
    </row>
    <row r="691" spans="1:18" x14ac:dyDescent="0.3">
      <c r="A691" t="s">
        <v>1711</v>
      </c>
      <c r="B691">
        <v>2022</v>
      </c>
      <c r="C691">
        <v>1.4286165744544359</v>
      </c>
      <c r="D691">
        <v>0</v>
      </c>
      <c r="E691">
        <v>49</v>
      </c>
      <c r="F691">
        <v>94</v>
      </c>
      <c r="G691">
        <v>4.4842512019410002E-4</v>
      </c>
      <c r="H691">
        <v>4</v>
      </c>
      <c r="I691">
        <v>3</v>
      </c>
      <c r="J691">
        <v>0.50944002386938436</v>
      </c>
      <c r="K691">
        <v>-0.34707098307561318</v>
      </c>
      <c r="L691">
        <v>61868913.809367828</v>
      </c>
      <c r="M691" t="s">
        <v>499</v>
      </c>
      <c r="N691" t="s">
        <v>584</v>
      </c>
      <c r="O691" t="s">
        <v>584</v>
      </c>
      <c r="P691">
        <v>3702</v>
      </c>
      <c r="Q691">
        <v>1454</v>
      </c>
      <c r="R691">
        <v>2248</v>
      </c>
    </row>
    <row r="692" spans="1:18" x14ac:dyDescent="0.3">
      <c r="A692" t="s">
        <v>1712</v>
      </c>
      <c r="B692">
        <v>2022</v>
      </c>
      <c r="C692">
        <v>0.64687487174691993</v>
      </c>
      <c r="D692">
        <v>0</v>
      </c>
      <c r="E692">
        <v>30</v>
      </c>
      <c r="F692">
        <v>25</v>
      </c>
      <c r="G692">
        <v>1.612826653444E-3</v>
      </c>
      <c r="H692">
        <v>10</v>
      </c>
      <c r="I692">
        <v>0</v>
      </c>
      <c r="J692">
        <v>0.49612935957064541</v>
      </c>
      <c r="K692">
        <v>-0.3840364425532376</v>
      </c>
      <c r="L692">
        <v>51910530.451783083</v>
      </c>
      <c r="M692" t="s">
        <v>499</v>
      </c>
      <c r="N692" t="s">
        <v>584</v>
      </c>
      <c r="O692" t="s">
        <v>585</v>
      </c>
      <c r="P692">
        <v>462</v>
      </c>
      <c r="Q692">
        <v>61</v>
      </c>
      <c r="R692">
        <v>401</v>
      </c>
    </row>
    <row r="693" spans="1:18" x14ac:dyDescent="0.3">
      <c r="A693" t="s">
        <v>1713</v>
      </c>
      <c r="B693">
        <v>2022</v>
      </c>
      <c r="C693">
        <v>0.88714393740367148</v>
      </c>
      <c r="D693">
        <v>0</v>
      </c>
      <c r="E693">
        <v>214</v>
      </c>
      <c r="F693">
        <v>67</v>
      </c>
      <c r="G693">
        <v>2.0089806447631999E-3</v>
      </c>
      <c r="H693">
        <v>8</v>
      </c>
      <c r="I693">
        <v>2</v>
      </c>
      <c r="L693">
        <v>91430045.76835154</v>
      </c>
      <c r="M693" t="s">
        <v>586</v>
      </c>
      <c r="N693" t="s">
        <v>587</v>
      </c>
      <c r="O693" t="s">
        <v>588</v>
      </c>
      <c r="P693">
        <v>5226</v>
      </c>
      <c r="Q693">
        <v>961</v>
      </c>
      <c r="R693">
        <v>4265</v>
      </c>
    </row>
    <row r="694" spans="1:18" x14ac:dyDescent="0.3">
      <c r="A694" t="s">
        <v>1714</v>
      </c>
      <c r="B694">
        <v>2022</v>
      </c>
      <c r="C694">
        <v>0.97598916678687919</v>
      </c>
      <c r="D694">
        <v>0</v>
      </c>
      <c r="E694">
        <v>839</v>
      </c>
      <c r="F694">
        <v>383</v>
      </c>
      <c r="G694">
        <v>3.253354443356E-4</v>
      </c>
      <c r="H694">
        <v>14</v>
      </c>
      <c r="I694">
        <v>2</v>
      </c>
      <c r="J694">
        <v>0.46556201175109618</v>
      </c>
      <c r="K694">
        <v>-0.28844694545719268</v>
      </c>
      <c r="L694">
        <v>344065032.66206801</v>
      </c>
      <c r="M694" t="s">
        <v>586</v>
      </c>
      <c r="N694" t="s">
        <v>587</v>
      </c>
      <c r="O694" t="s">
        <v>589</v>
      </c>
      <c r="P694">
        <v>19008</v>
      </c>
      <c r="Q694">
        <v>4099</v>
      </c>
      <c r="R694">
        <v>14909</v>
      </c>
    </row>
    <row r="695" spans="1:18" x14ac:dyDescent="0.3">
      <c r="A695" t="s">
        <v>1715</v>
      </c>
      <c r="B695">
        <v>2022</v>
      </c>
      <c r="C695">
        <v>1.0352165881552231</v>
      </c>
      <c r="D695">
        <v>0</v>
      </c>
      <c r="E695">
        <v>43</v>
      </c>
      <c r="F695">
        <v>184</v>
      </c>
      <c r="G695">
        <v>8.9933214245009998E-4</v>
      </c>
      <c r="H695">
        <v>7</v>
      </c>
      <c r="I695">
        <v>0</v>
      </c>
      <c r="L695">
        <v>187077143.59632099</v>
      </c>
      <c r="M695" t="s">
        <v>586</v>
      </c>
      <c r="N695" t="s">
        <v>587</v>
      </c>
      <c r="O695" t="s">
        <v>87</v>
      </c>
      <c r="P695">
        <v>14093</v>
      </c>
      <c r="Q695">
        <v>5110</v>
      </c>
      <c r="R695">
        <v>8983</v>
      </c>
    </row>
    <row r="696" spans="1:18" x14ac:dyDescent="0.3">
      <c r="A696" t="s">
        <v>1716</v>
      </c>
      <c r="B696">
        <v>2022</v>
      </c>
      <c r="C696">
        <v>1.0129232218928901</v>
      </c>
      <c r="D696">
        <v>0</v>
      </c>
      <c r="E696">
        <v>1</v>
      </c>
      <c r="F696">
        <v>148</v>
      </c>
      <c r="G696">
        <v>7.233244559307E-4</v>
      </c>
      <c r="H696">
        <v>25</v>
      </c>
      <c r="I696">
        <v>2</v>
      </c>
      <c r="L696">
        <v>232860605.411879</v>
      </c>
      <c r="M696" t="s">
        <v>586</v>
      </c>
      <c r="N696" t="s">
        <v>591</v>
      </c>
      <c r="O696" t="s">
        <v>592</v>
      </c>
      <c r="P696">
        <v>13581</v>
      </c>
      <c r="Q696">
        <v>1494</v>
      </c>
      <c r="R696">
        <v>12087</v>
      </c>
    </row>
    <row r="697" spans="1:18" x14ac:dyDescent="0.3">
      <c r="A697" t="s">
        <v>1717</v>
      </c>
      <c r="B697">
        <v>2022</v>
      </c>
      <c r="C697">
        <v>1.2735212663233311</v>
      </c>
      <c r="D697">
        <v>0</v>
      </c>
      <c r="E697">
        <v>3</v>
      </c>
      <c r="F697">
        <v>178</v>
      </c>
      <c r="G697">
        <v>6.4360632867430003E-4</v>
      </c>
      <c r="H697">
        <v>3</v>
      </c>
      <c r="I697">
        <v>2</v>
      </c>
      <c r="L697">
        <v>111413322.9750011</v>
      </c>
      <c r="M697" t="s">
        <v>586</v>
      </c>
      <c r="N697" t="s">
        <v>591</v>
      </c>
      <c r="O697" t="s">
        <v>593</v>
      </c>
      <c r="P697">
        <v>10130</v>
      </c>
      <c r="Q697">
        <v>3096</v>
      </c>
      <c r="R697">
        <v>7034</v>
      </c>
    </row>
    <row r="698" spans="1:18" x14ac:dyDescent="0.3">
      <c r="A698" t="s">
        <v>1718</v>
      </c>
      <c r="B698">
        <v>2022</v>
      </c>
      <c r="C698">
        <v>1.034176752518182</v>
      </c>
      <c r="D698">
        <v>0</v>
      </c>
      <c r="E698">
        <v>4</v>
      </c>
      <c r="F698">
        <v>406</v>
      </c>
      <c r="G698">
        <v>3.1917398852129999E-4</v>
      </c>
      <c r="H698">
        <v>2</v>
      </c>
      <c r="I698">
        <v>9</v>
      </c>
      <c r="J698">
        <v>0.53489478890169562</v>
      </c>
      <c r="K698">
        <v>-0.28445477654117107</v>
      </c>
      <c r="L698">
        <v>298449777.21156448</v>
      </c>
      <c r="M698" t="s">
        <v>586</v>
      </c>
      <c r="N698" t="s">
        <v>404</v>
      </c>
      <c r="O698" t="s">
        <v>404</v>
      </c>
      <c r="P698">
        <v>25874</v>
      </c>
      <c r="Q698">
        <v>12512</v>
      </c>
      <c r="R698">
        <v>13362</v>
      </c>
    </row>
    <row r="699" spans="1:18" x14ac:dyDescent="0.3">
      <c r="A699" t="s">
        <v>1719</v>
      </c>
      <c r="B699">
        <v>2022</v>
      </c>
      <c r="C699">
        <v>3.021605002194216</v>
      </c>
      <c r="D699">
        <v>0</v>
      </c>
      <c r="E699">
        <v>280</v>
      </c>
      <c r="F699">
        <v>113</v>
      </c>
      <c r="G699">
        <v>1.3012639740213E-3</v>
      </c>
      <c r="H699">
        <v>5</v>
      </c>
      <c r="I699">
        <v>0</v>
      </c>
      <c r="L699">
        <v>50255159.399347477</v>
      </c>
      <c r="M699" t="s">
        <v>586</v>
      </c>
      <c r="N699" t="s">
        <v>565</v>
      </c>
      <c r="O699" t="s">
        <v>598</v>
      </c>
      <c r="P699">
        <v>9671</v>
      </c>
      <c r="Q699">
        <v>3369</v>
      </c>
      <c r="R699">
        <v>6302</v>
      </c>
    </row>
    <row r="700" spans="1:18" x14ac:dyDescent="0.3">
      <c r="A700" t="s">
        <v>1720</v>
      </c>
      <c r="B700">
        <v>2022</v>
      </c>
      <c r="C700">
        <v>1.2758611382386831</v>
      </c>
      <c r="D700">
        <v>0</v>
      </c>
      <c r="E700">
        <v>3042</v>
      </c>
      <c r="F700">
        <v>438</v>
      </c>
      <c r="G700">
        <v>2.047024446402E-4</v>
      </c>
      <c r="H700">
        <v>5</v>
      </c>
      <c r="I700">
        <v>3</v>
      </c>
      <c r="L700">
        <v>334514078.68137658</v>
      </c>
      <c r="M700" t="s">
        <v>586</v>
      </c>
      <c r="N700" t="s">
        <v>565</v>
      </c>
      <c r="O700" t="s">
        <v>33</v>
      </c>
      <c r="P700">
        <v>23427</v>
      </c>
      <c r="Q700">
        <v>4552</v>
      </c>
      <c r="R700">
        <v>18875</v>
      </c>
    </row>
    <row r="701" spans="1:18" x14ac:dyDescent="0.3">
      <c r="A701" t="s">
        <v>1721</v>
      </c>
      <c r="B701">
        <v>2022</v>
      </c>
      <c r="C701">
        <v>3.1838351488318062</v>
      </c>
      <c r="D701">
        <v>0</v>
      </c>
      <c r="E701">
        <v>62</v>
      </c>
      <c r="F701">
        <v>494</v>
      </c>
      <c r="G701">
        <v>4.701125662474E-4</v>
      </c>
      <c r="H701">
        <v>3</v>
      </c>
      <c r="I701">
        <v>7</v>
      </c>
      <c r="L701">
        <v>153143254.16192701</v>
      </c>
      <c r="M701" t="s">
        <v>586</v>
      </c>
      <c r="N701" t="s">
        <v>599</v>
      </c>
      <c r="O701" t="s">
        <v>599</v>
      </c>
      <c r="P701">
        <v>48988</v>
      </c>
      <c r="Q701">
        <v>23373</v>
      </c>
      <c r="R701">
        <v>25615</v>
      </c>
    </row>
    <row r="702" spans="1:18" x14ac:dyDescent="0.3">
      <c r="A702" t="s">
        <v>1722</v>
      </c>
      <c r="B702">
        <v>2022</v>
      </c>
      <c r="C702">
        <v>1.2873628507418331</v>
      </c>
      <c r="D702">
        <v>0</v>
      </c>
      <c r="E702">
        <v>114</v>
      </c>
      <c r="F702">
        <v>325</v>
      </c>
      <c r="G702">
        <v>2.6804985500259999E-4</v>
      </c>
      <c r="H702">
        <v>17</v>
      </c>
      <c r="I702">
        <v>5</v>
      </c>
      <c r="L702">
        <v>245535844.50032839</v>
      </c>
      <c r="M702" t="s">
        <v>586</v>
      </c>
      <c r="N702" t="s">
        <v>599</v>
      </c>
      <c r="O702" t="s">
        <v>600</v>
      </c>
      <c r="P702">
        <v>18364</v>
      </c>
      <c r="Q702">
        <v>2213</v>
      </c>
      <c r="R702">
        <v>16151</v>
      </c>
    </row>
    <row r="703" spans="1:18" x14ac:dyDescent="0.3">
      <c r="A703" t="s">
        <v>1723</v>
      </c>
      <c r="B703">
        <v>2022</v>
      </c>
      <c r="C703">
        <v>1.2085803947223619</v>
      </c>
      <c r="D703">
        <v>0</v>
      </c>
      <c r="E703">
        <v>167</v>
      </c>
      <c r="F703">
        <v>84</v>
      </c>
      <c r="G703">
        <v>5.3619026726650003E-4</v>
      </c>
      <c r="H703">
        <v>9</v>
      </c>
      <c r="I703">
        <v>1</v>
      </c>
      <c r="L703">
        <v>61060171.684765853</v>
      </c>
      <c r="M703" t="s">
        <v>586</v>
      </c>
      <c r="N703" t="s">
        <v>599</v>
      </c>
      <c r="O703" t="s">
        <v>601</v>
      </c>
      <c r="P703">
        <v>3101</v>
      </c>
      <c r="Q703">
        <v>259</v>
      </c>
      <c r="R703">
        <v>2842</v>
      </c>
    </row>
    <row r="704" spans="1:18" x14ac:dyDescent="0.3">
      <c r="A704" t="s">
        <v>1724</v>
      </c>
      <c r="B704">
        <v>2022</v>
      </c>
      <c r="C704">
        <v>0.97869615976338342</v>
      </c>
      <c r="D704">
        <v>0</v>
      </c>
      <c r="E704">
        <v>22</v>
      </c>
      <c r="F704">
        <v>267</v>
      </c>
      <c r="G704">
        <v>4.0393182420499999E-4</v>
      </c>
      <c r="H704">
        <v>39</v>
      </c>
      <c r="I704">
        <v>2</v>
      </c>
      <c r="J704">
        <v>0.29443977213511818</v>
      </c>
      <c r="K704">
        <v>-0.32980527981436231</v>
      </c>
      <c r="L704">
        <v>569220652.7098521</v>
      </c>
      <c r="M704" t="s">
        <v>586</v>
      </c>
      <c r="N704" t="s">
        <v>605</v>
      </c>
      <c r="O704" t="s">
        <v>605</v>
      </c>
      <c r="P704">
        <v>24838</v>
      </c>
      <c r="Q704">
        <v>4215</v>
      </c>
      <c r="R704">
        <v>20623</v>
      </c>
    </row>
    <row r="705" spans="1:18" x14ac:dyDescent="0.3">
      <c r="A705" t="s">
        <v>1725</v>
      </c>
      <c r="B705">
        <v>2022</v>
      </c>
      <c r="C705">
        <v>1.3637393939977209</v>
      </c>
      <c r="D705">
        <v>0</v>
      </c>
      <c r="E705">
        <v>15</v>
      </c>
      <c r="F705">
        <v>428</v>
      </c>
      <c r="G705">
        <v>2.4980600724110001E-4</v>
      </c>
      <c r="H705">
        <v>12</v>
      </c>
      <c r="I705">
        <v>5</v>
      </c>
      <c r="J705">
        <v>0.52675789406339846</v>
      </c>
      <c r="K705">
        <v>-0.19649350100497431</v>
      </c>
      <c r="L705">
        <v>287737034.76405841</v>
      </c>
      <c r="M705" t="s">
        <v>586</v>
      </c>
      <c r="N705" t="s">
        <v>611</v>
      </c>
      <c r="O705" t="s">
        <v>611</v>
      </c>
      <c r="P705">
        <v>19464</v>
      </c>
      <c r="Q705">
        <v>5280</v>
      </c>
      <c r="R705">
        <v>14184</v>
      </c>
    </row>
    <row r="706" spans="1:18" x14ac:dyDescent="0.3">
      <c r="A706" t="s">
        <v>1726</v>
      </c>
      <c r="B706">
        <v>2022</v>
      </c>
      <c r="C706">
        <v>2.5136261261992581</v>
      </c>
      <c r="D706">
        <v>0</v>
      </c>
      <c r="E706">
        <v>1468</v>
      </c>
      <c r="F706">
        <v>143</v>
      </c>
      <c r="G706">
        <v>1.5139553997549E-3</v>
      </c>
      <c r="H706">
        <v>24</v>
      </c>
      <c r="I706">
        <v>1</v>
      </c>
      <c r="J706">
        <v>0.38211391084138119</v>
      </c>
      <c r="K706">
        <v>-0.20822962709626699</v>
      </c>
      <c r="L706">
        <v>31060749.30406601</v>
      </c>
      <c r="M706" t="s">
        <v>612</v>
      </c>
      <c r="N706" t="s">
        <v>613</v>
      </c>
      <c r="O706" t="s">
        <v>614</v>
      </c>
      <c r="P706">
        <v>4714</v>
      </c>
      <c r="Q706">
        <v>608</v>
      </c>
      <c r="R706">
        <v>4106</v>
      </c>
    </row>
    <row r="707" spans="1:18" x14ac:dyDescent="0.3">
      <c r="A707" t="s">
        <v>1727</v>
      </c>
      <c r="B707">
        <v>2022</v>
      </c>
      <c r="C707">
        <v>1.7526389084842391</v>
      </c>
      <c r="D707">
        <v>0</v>
      </c>
      <c r="E707">
        <v>1116</v>
      </c>
      <c r="F707">
        <v>177</v>
      </c>
      <c r="G707">
        <v>9.0089073303880002E-4</v>
      </c>
      <c r="H707">
        <v>8</v>
      </c>
      <c r="I707">
        <v>9</v>
      </c>
      <c r="J707">
        <v>0.26545551508139692</v>
      </c>
      <c r="K707">
        <v>-0.17123927916574941</v>
      </c>
      <c r="L707">
        <v>37025167.836782292</v>
      </c>
      <c r="M707" t="s">
        <v>612</v>
      </c>
      <c r="N707" t="s">
        <v>613</v>
      </c>
      <c r="O707" t="s">
        <v>616</v>
      </c>
      <c r="P707">
        <v>4181</v>
      </c>
      <c r="Q707">
        <v>320</v>
      </c>
      <c r="R707">
        <v>3861</v>
      </c>
    </row>
    <row r="708" spans="1:18" x14ac:dyDescent="0.3">
      <c r="A708" t="s">
        <v>1728</v>
      </c>
      <c r="B708">
        <v>2022</v>
      </c>
      <c r="C708">
        <v>4.9199076768460781</v>
      </c>
      <c r="D708">
        <v>0</v>
      </c>
      <c r="E708">
        <v>4785</v>
      </c>
      <c r="F708">
        <v>691</v>
      </c>
      <c r="G708">
        <v>3.1391335650150001E-4</v>
      </c>
      <c r="H708">
        <v>73</v>
      </c>
      <c r="I708">
        <v>20</v>
      </c>
      <c r="J708">
        <v>0.30500144901301152</v>
      </c>
      <c r="K708">
        <v>-0.2275187225415799</v>
      </c>
      <c r="L708">
        <v>90676535.472301885</v>
      </c>
      <c r="M708" t="s">
        <v>612</v>
      </c>
      <c r="N708" t="s">
        <v>613</v>
      </c>
      <c r="O708" t="s">
        <v>617</v>
      </c>
      <c r="P708">
        <v>14850</v>
      </c>
      <c r="Q708">
        <v>1354</v>
      </c>
      <c r="R708">
        <v>13496</v>
      </c>
    </row>
    <row r="709" spans="1:18" x14ac:dyDescent="0.3">
      <c r="A709" t="s">
        <v>1729</v>
      </c>
      <c r="B709">
        <v>2022</v>
      </c>
      <c r="C709">
        <v>0.98356156537497963</v>
      </c>
      <c r="D709">
        <v>0</v>
      </c>
      <c r="E709">
        <v>1046</v>
      </c>
      <c r="F709">
        <v>118</v>
      </c>
      <c r="G709">
        <v>1.0054902635367E-3</v>
      </c>
      <c r="H709">
        <v>17</v>
      </c>
      <c r="I709">
        <v>2</v>
      </c>
      <c r="J709">
        <v>0.3403448203913596</v>
      </c>
      <c r="K709">
        <v>-0.1571853336638829</v>
      </c>
      <c r="L709">
        <v>60668468.086197197</v>
      </c>
      <c r="M709" t="s">
        <v>612</v>
      </c>
      <c r="N709" t="s">
        <v>613</v>
      </c>
      <c r="O709" t="s">
        <v>619</v>
      </c>
      <c r="P709">
        <v>2717</v>
      </c>
      <c r="Q709">
        <v>25</v>
      </c>
      <c r="R709">
        <v>2692</v>
      </c>
    </row>
    <row r="710" spans="1:18" x14ac:dyDescent="0.3">
      <c r="A710" t="s">
        <v>1730</v>
      </c>
      <c r="B710">
        <v>2022</v>
      </c>
      <c r="C710">
        <v>0.62521649155322545</v>
      </c>
      <c r="D710">
        <v>0</v>
      </c>
      <c r="E710">
        <v>229</v>
      </c>
      <c r="F710">
        <v>219</v>
      </c>
      <c r="G710">
        <v>2.8184818771169999E-4</v>
      </c>
      <c r="H710">
        <v>36</v>
      </c>
      <c r="I710">
        <v>19</v>
      </c>
      <c r="J710">
        <v>0.3870002835216616</v>
      </c>
      <c r="K710">
        <v>-0.19375543273431681</v>
      </c>
      <c r="L710">
        <v>121552632.4500628</v>
      </c>
      <c r="M710" t="s">
        <v>612</v>
      </c>
      <c r="N710" t="s">
        <v>97</v>
      </c>
      <c r="O710" t="s">
        <v>621</v>
      </c>
      <c r="P710">
        <v>3573</v>
      </c>
      <c r="Q710">
        <v>289</v>
      </c>
      <c r="R710">
        <v>3284</v>
      </c>
    </row>
    <row r="711" spans="1:18" x14ac:dyDescent="0.3">
      <c r="A711" t="s">
        <v>1731</v>
      </c>
      <c r="B711">
        <v>2022</v>
      </c>
      <c r="C711">
        <v>0.65923749827703038</v>
      </c>
      <c r="D711">
        <v>0</v>
      </c>
      <c r="E711">
        <v>2359</v>
      </c>
      <c r="F711">
        <v>826</v>
      </c>
      <c r="G711">
        <v>1.5524305694209999E-4</v>
      </c>
      <c r="H711">
        <v>117</v>
      </c>
      <c r="I711">
        <v>15</v>
      </c>
      <c r="J711">
        <v>0.20851045021641959</v>
      </c>
      <c r="K711">
        <v>-0.26903852771219361</v>
      </c>
      <c r="L711">
        <v>234770603.86088559</v>
      </c>
      <c r="M711" t="s">
        <v>612</v>
      </c>
      <c r="N711" t="s">
        <v>622</v>
      </c>
      <c r="O711" t="s">
        <v>623</v>
      </c>
      <c r="P711">
        <v>4444</v>
      </c>
      <c r="Q711">
        <v>198</v>
      </c>
      <c r="R711">
        <v>4246</v>
      </c>
    </row>
    <row r="712" spans="1:18" x14ac:dyDescent="0.3">
      <c r="A712" t="s">
        <v>1732</v>
      </c>
      <c r="B712">
        <v>2022</v>
      </c>
      <c r="C712">
        <v>0.66158343830048738</v>
      </c>
      <c r="D712">
        <v>0</v>
      </c>
      <c r="E712">
        <v>3296</v>
      </c>
      <c r="F712">
        <v>1035</v>
      </c>
      <c r="G712">
        <v>1.0930745826039999E-4</v>
      </c>
      <c r="H712">
        <v>147</v>
      </c>
      <c r="I712">
        <v>35</v>
      </c>
      <c r="J712">
        <v>0.39010829375561201</v>
      </c>
      <c r="K712">
        <v>-0.27951292382567072</v>
      </c>
      <c r="L712">
        <v>299117442.27025378</v>
      </c>
      <c r="M712" t="s">
        <v>612</v>
      </c>
      <c r="N712" t="s">
        <v>622</v>
      </c>
      <c r="O712" t="s">
        <v>625</v>
      </c>
      <c r="P712">
        <v>6369</v>
      </c>
      <c r="Q712">
        <v>518</v>
      </c>
      <c r="R712">
        <v>5851</v>
      </c>
    </row>
    <row r="713" spans="1:18" x14ac:dyDescent="0.3">
      <c r="A713" t="s">
        <v>1733</v>
      </c>
      <c r="B713">
        <v>2022</v>
      </c>
      <c r="C713">
        <v>0.6965548932533685</v>
      </c>
      <c r="D713">
        <v>0</v>
      </c>
      <c r="E713">
        <v>878</v>
      </c>
      <c r="F713">
        <v>584</v>
      </c>
      <c r="G713">
        <v>9.9949886870076077E-5</v>
      </c>
      <c r="H713">
        <v>82</v>
      </c>
      <c r="I713">
        <v>21</v>
      </c>
      <c r="J713">
        <v>0.36174036147176941</v>
      </c>
      <c r="K713">
        <v>-0.18363441750982559</v>
      </c>
      <c r="L713">
        <v>569087243.39331782</v>
      </c>
      <c r="M713" t="s">
        <v>612</v>
      </c>
      <c r="N713" t="s">
        <v>622</v>
      </c>
      <c r="O713" t="s">
        <v>626</v>
      </c>
      <c r="P713">
        <v>6082</v>
      </c>
      <c r="Q713">
        <v>180</v>
      </c>
      <c r="R713">
        <v>5902</v>
      </c>
    </row>
    <row r="714" spans="1:18" x14ac:dyDescent="0.3">
      <c r="A714" t="s">
        <v>1734</v>
      </c>
      <c r="B714">
        <v>2022</v>
      </c>
      <c r="C714">
        <v>0.75599374429656907</v>
      </c>
      <c r="D714">
        <v>0</v>
      </c>
      <c r="E714">
        <v>3844</v>
      </c>
      <c r="F714">
        <v>1352</v>
      </c>
      <c r="G714">
        <v>7.3360412578851646E-5</v>
      </c>
      <c r="H714">
        <v>244</v>
      </c>
      <c r="I714">
        <v>44</v>
      </c>
      <c r="J714">
        <v>0.33822829226925688</v>
      </c>
      <c r="K714">
        <v>-0.16563327787878029</v>
      </c>
      <c r="L714">
        <v>398746817.93539172</v>
      </c>
      <c r="M714" t="s">
        <v>612</v>
      </c>
      <c r="N714" t="s">
        <v>622</v>
      </c>
      <c r="O714" t="s">
        <v>33</v>
      </c>
      <c r="P714">
        <v>7831</v>
      </c>
      <c r="Q714">
        <v>986</v>
      </c>
      <c r="R714">
        <v>6845</v>
      </c>
    </row>
    <row r="715" spans="1:18" x14ac:dyDescent="0.3">
      <c r="A715" t="s">
        <v>1735</v>
      </c>
      <c r="B715">
        <v>2022</v>
      </c>
      <c r="C715">
        <v>1.526660954551738</v>
      </c>
      <c r="D715">
        <v>0</v>
      </c>
      <c r="E715">
        <v>3524</v>
      </c>
      <c r="F715">
        <v>1367</v>
      </c>
      <c r="G715">
        <v>1.3972929160819999E-4</v>
      </c>
      <c r="H715">
        <v>183</v>
      </c>
      <c r="I715">
        <v>17</v>
      </c>
      <c r="J715">
        <v>0.17490652376661681</v>
      </c>
      <c r="K715">
        <v>-0.2227103102574276</v>
      </c>
      <c r="L715">
        <v>212418346.5890632</v>
      </c>
      <c r="M715" t="s">
        <v>612</v>
      </c>
      <c r="N715" t="s">
        <v>622</v>
      </c>
      <c r="O715" t="s">
        <v>145</v>
      </c>
      <c r="P715">
        <v>9482</v>
      </c>
      <c r="Q715">
        <v>2215</v>
      </c>
      <c r="R715">
        <v>7267</v>
      </c>
    </row>
    <row r="716" spans="1:18" x14ac:dyDescent="0.3">
      <c r="A716" t="s">
        <v>1736</v>
      </c>
      <c r="B716">
        <v>2022</v>
      </c>
      <c r="C716">
        <v>0.85765574803421663</v>
      </c>
      <c r="D716">
        <v>0</v>
      </c>
      <c r="E716">
        <v>438</v>
      </c>
      <c r="F716">
        <v>120</v>
      </c>
      <c r="G716">
        <v>3.2273655646019998E-4</v>
      </c>
      <c r="H716">
        <v>4</v>
      </c>
      <c r="I716">
        <v>17</v>
      </c>
      <c r="J716">
        <v>0.37941611987653129</v>
      </c>
      <c r="K716">
        <v>-0.17378467248223331</v>
      </c>
      <c r="L716">
        <v>290516710.4318611</v>
      </c>
      <c r="M716" t="s">
        <v>612</v>
      </c>
      <c r="N716" t="s">
        <v>627</v>
      </c>
      <c r="O716" t="s">
        <v>628</v>
      </c>
      <c r="P716">
        <v>3911</v>
      </c>
      <c r="Q716">
        <v>399</v>
      </c>
      <c r="R716">
        <v>3512</v>
      </c>
    </row>
    <row r="717" spans="1:18" x14ac:dyDescent="0.3">
      <c r="A717" t="s">
        <v>1737</v>
      </c>
      <c r="B717">
        <v>2022</v>
      </c>
      <c r="C717">
        <v>1.2402796300043011</v>
      </c>
      <c r="D717">
        <v>0</v>
      </c>
      <c r="E717">
        <v>42</v>
      </c>
      <c r="F717">
        <v>225</v>
      </c>
      <c r="G717">
        <v>2.9792204645549998E-4</v>
      </c>
      <c r="H717">
        <v>7</v>
      </c>
      <c r="I717">
        <v>8</v>
      </c>
      <c r="J717">
        <v>0.38886405329621321</v>
      </c>
      <c r="K717">
        <v>-0.18128428375874719</v>
      </c>
      <c r="L717">
        <v>188870603.7189748</v>
      </c>
      <c r="M717" t="s">
        <v>612</v>
      </c>
      <c r="N717" t="s">
        <v>627</v>
      </c>
      <c r="O717" t="s">
        <v>629</v>
      </c>
      <c r="P717">
        <v>7251</v>
      </c>
      <c r="Q717">
        <v>629</v>
      </c>
      <c r="R717">
        <v>6622</v>
      </c>
    </row>
    <row r="718" spans="1:18" x14ac:dyDescent="0.3">
      <c r="A718" t="s">
        <v>1738</v>
      </c>
      <c r="B718">
        <v>2022</v>
      </c>
      <c r="C718">
        <v>0.83451735910674751</v>
      </c>
      <c r="D718">
        <v>0</v>
      </c>
      <c r="E718">
        <v>1178</v>
      </c>
      <c r="F718">
        <v>401</v>
      </c>
      <c r="G718">
        <v>1.5904119208160001E-4</v>
      </c>
      <c r="H718">
        <v>19</v>
      </c>
      <c r="I718">
        <v>23</v>
      </c>
      <c r="J718">
        <v>0.38678543982508379</v>
      </c>
      <c r="K718">
        <v>-0.13005126683894269</v>
      </c>
      <c r="L718">
        <v>339075365.01683241</v>
      </c>
      <c r="M718" t="s">
        <v>612</v>
      </c>
      <c r="N718" t="s">
        <v>627</v>
      </c>
      <c r="O718" t="s">
        <v>630</v>
      </c>
      <c r="P718">
        <v>13662</v>
      </c>
      <c r="Q718">
        <v>1006</v>
      </c>
      <c r="R718">
        <v>12656</v>
      </c>
    </row>
    <row r="719" spans="1:18" x14ac:dyDescent="0.3">
      <c r="A719" t="s">
        <v>1739</v>
      </c>
      <c r="B719">
        <v>2022</v>
      </c>
      <c r="C719">
        <v>0.55519452245929568</v>
      </c>
      <c r="D719">
        <v>0</v>
      </c>
      <c r="E719">
        <v>154</v>
      </c>
      <c r="F719">
        <v>145</v>
      </c>
      <c r="G719">
        <v>3.788567618354E-4</v>
      </c>
      <c r="H719">
        <v>22</v>
      </c>
      <c r="I719">
        <v>2</v>
      </c>
      <c r="J719">
        <v>0.43530789023523658</v>
      </c>
      <c r="K719">
        <v>-0.23934801979647391</v>
      </c>
      <c r="L719">
        <v>259822985.73622411</v>
      </c>
      <c r="M719" t="s">
        <v>612</v>
      </c>
      <c r="N719" t="s">
        <v>632</v>
      </c>
      <c r="O719" t="s">
        <v>633</v>
      </c>
      <c r="P719">
        <v>2707</v>
      </c>
      <c r="Q719">
        <v>190</v>
      </c>
      <c r="R719">
        <v>2517</v>
      </c>
    </row>
    <row r="720" spans="1:18" x14ac:dyDescent="0.3">
      <c r="A720" t="s">
        <v>1740</v>
      </c>
      <c r="B720">
        <v>2022</v>
      </c>
      <c r="C720">
        <v>0.94501226357468837</v>
      </c>
      <c r="D720">
        <v>0</v>
      </c>
      <c r="E720">
        <v>852</v>
      </c>
      <c r="F720">
        <v>278</v>
      </c>
      <c r="G720">
        <v>3.0840378887910002E-4</v>
      </c>
      <c r="H720">
        <v>26</v>
      </c>
      <c r="I720">
        <v>11</v>
      </c>
      <c r="J720">
        <v>0.39461365564162171</v>
      </c>
      <c r="K720">
        <v>-0.22409409611649619</v>
      </c>
      <c r="L720">
        <v>100403191.22477859</v>
      </c>
      <c r="M720" t="s">
        <v>612</v>
      </c>
      <c r="N720" t="s">
        <v>632</v>
      </c>
      <c r="O720" t="s">
        <v>634</v>
      </c>
      <c r="P720">
        <v>3527</v>
      </c>
      <c r="Q720">
        <v>379</v>
      </c>
      <c r="R720">
        <v>3148</v>
      </c>
    </row>
    <row r="721" spans="1:18" x14ac:dyDescent="0.3">
      <c r="A721" t="s">
        <v>1741</v>
      </c>
      <c r="B721">
        <v>2022</v>
      </c>
      <c r="C721">
        <v>0.9284838655845512</v>
      </c>
      <c r="D721">
        <v>0</v>
      </c>
      <c r="E721">
        <v>357</v>
      </c>
      <c r="F721">
        <v>101</v>
      </c>
      <c r="G721">
        <v>6.559506469469E-4</v>
      </c>
      <c r="H721">
        <v>17</v>
      </c>
      <c r="I721">
        <v>2</v>
      </c>
      <c r="J721">
        <v>0.38049955151823772</v>
      </c>
      <c r="K721">
        <v>-0.21899089561848459</v>
      </c>
      <c r="L721">
        <v>90155063.796481639</v>
      </c>
      <c r="M721" t="s">
        <v>612</v>
      </c>
      <c r="N721" t="s">
        <v>635</v>
      </c>
      <c r="O721" t="s">
        <v>636</v>
      </c>
      <c r="P721">
        <v>3418</v>
      </c>
      <c r="Q721">
        <v>209</v>
      </c>
      <c r="R721">
        <v>3209</v>
      </c>
    </row>
    <row r="722" spans="1:18" x14ac:dyDescent="0.3">
      <c r="A722" t="s">
        <v>1742</v>
      </c>
      <c r="B722">
        <v>2022</v>
      </c>
      <c r="C722">
        <v>1.0532576990473019</v>
      </c>
      <c r="D722">
        <v>0</v>
      </c>
      <c r="E722">
        <v>232</v>
      </c>
      <c r="F722">
        <v>138</v>
      </c>
      <c r="G722">
        <v>3.4769547522750001E-4</v>
      </c>
      <c r="H722">
        <v>8</v>
      </c>
      <c r="I722">
        <v>0</v>
      </c>
      <c r="J722">
        <v>0.40644383467638801</v>
      </c>
      <c r="K722">
        <v>-0.25353951077490727</v>
      </c>
      <c r="L722">
        <v>116737524.53589649</v>
      </c>
      <c r="M722" t="s">
        <v>612</v>
      </c>
      <c r="N722" t="s">
        <v>635</v>
      </c>
      <c r="O722" t="s">
        <v>637</v>
      </c>
      <c r="P722">
        <v>7019</v>
      </c>
      <c r="Q722">
        <v>59</v>
      </c>
      <c r="R722">
        <v>6960</v>
      </c>
    </row>
    <row r="723" spans="1:18" x14ac:dyDescent="0.3">
      <c r="A723" t="s">
        <v>1743</v>
      </c>
      <c r="B723">
        <v>2022</v>
      </c>
      <c r="C723">
        <v>0.72792635019738527</v>
      </c>
      <c r="D723">
        <v>0</v>
      </c>
      <c r="E723">
        <v>14</v>
      </c>
      <c r="F723">
        <v>138</v>
      </c>
      <c r="G723">
        <v>7.0411198498659998E-4</v>
      </c>
      <c r="H723">
        <v>11</v>
      </c>
      <c r="I723">
        <v>1</v>
      </c>
      <c r="J723">
        <v>0.2673486460032683</v>
      </c>
      <c r="K723">
        <v>-0.32829866066209079</v>
      </c>
      <c r="L723">
        <v>167108458.17267069</v>
      </c>
      <c r="M723" t="s">
        <v>612</v>
      </c>
      <c r="N723" t="s">
        <v>635</v>
      </c>
      <c r="O723" t="s">
        <v>638</v>
      </c>
      <c r="P723">
        <v>1816</v>
      </c>
      <c r="Q723">
        <v>4</v>
      </c>
      <c r="R723">
        <v>1812</v>
      </c>
    </row>
    <row r="724" spans="1:18" x14ac:dyDescent="0.3">
      <c r="A724" t="s">
        <v>1744</v>
      </c>
      <c r="B724">
        <v>2022</v>
      </c>
      <c r="C724">
        <v>0.63185785542425654</v>
      </c>
      <c r="D724">
        <v>0</v>
      </c>
      <c r="E724">
        <v>566</v>
      </c>
      <c r="F724">
        <v>380</v>
      </c>
      <c r="G724">
        <v>1.2808197141150001E-4</v>
      </c>
      <c r="H724">
        <v>55</v>
      </c>
      <c r="I724">
        <v>16</v>
      </c>
      <c r="J724">
        <v>0.36649580554975808</v>
      </c>
      <c r="K724">
        <v>-0.1553939752646756</v>
      </c>
      <c r="L724">
        <v>427596173.60758603</v>
      </c>
      <c r="M724" t="s">
        <v>612</v>
      </c>
      <c r="N724" t="s">
        <v>652</v>
      </c>
      <c r="O724" t="s">
        <v>653</v>
      </c>
      <c r="P724">
        <v>8300</v>
      </c>
      <c r="Q724">
        <v>250</v>
      </c>
      <c r="R724">
        <v>8050</v>
      </c>
    </row>
    <row r="725" spans="1:18" x14ac:dyDescent="0.3">
      <c r="A725" t="s">
        <v>1745</v>
      </c>
      <c r="B725">
        <v>2022</v>
      </c>
      <c r="C725">
        <v>0.7861411185673961</v>
      </c>
      <c r="D725">
        <v>0</v>
      </c>
      <c r="E725">
        <v>325</v>
      </c>
      <c r="F725">
        <v>121</v>
      </c>
      <c r="G725">
        <v>3.9062437573719999E-4</v>
      </c>
      <c r="H725">
        <v>8</v>
      </c>
      <c r="I725">
        <v>6</v>
      </c>
      <c r="J725">
        <v>0.35785249209982378</v>
      </c>
      <c r="K725">
        <v>-0.2315333089022307</v>
      </c>
      <c r="L725">
        <v>146098012.47939831</v>
      </c>
      <c r="M725" t="s">
        <v>612</v>
      </c>
      <c r="N725" t="s">
        <v>652</v>
      </c>
      <c r="O725" t="s">
        <v>113</v>
      </c>
      <c r="P725">
        <v>4787</v>
      </c>
      <c r="Q725">
        <v>240</v>
      </c>
      <c r="R725">
        <v>4547</v>
      </c>
    </row>
    <row r="726" spans="1:18" x14ac:dyDescent="0.3">
      <c r="A726" t="s">
        <v>1746</v>
      </c>
      <c r="B726">
        <v>2022</v>
      </c>
      <c r="C726">
        <v>1.172232614721443</v>
      </c>
      <c r="D726">
        <v>0</v>
      </c>
      <c r="E726">
        <v>201</v>
      </c>
      <c r="F726">
        <v>209</v>
      </c>
      <c r="G726">
        <v>7.4404741286259997E-4</v>
      </c>
      <c r="H726">
        <v>17</v>
      </c>
      <c r="I726">
        <v>3</v>
      </c>
      <c r="J726">
        <v>0.39565245900548829</v>
      </c>
      <c r="K726">
        <v>-0.21409151251807479</v>
      </c>
      <c r="L726">
        <v>104472912.2542344</v>
      </c>
      <c r="M726" t="s">
        <v>612</v>
      </c>
      <c r="N726" t="s">
        <v>35</v>
      </c>
      <c r="O726" t="s">
        <v>655</v>
      </c>
      <c r="P726">
        <v>7933</v>
      </c>
      <c r="Q726">
        <v>3010</v>
      </c>
      <c r="R726">
        <v>4923</v>
      </c>
    </row>
    <row r="727" spans="1:18" x14ac:dyDescent="0.3">
      <c r="A727" t="s">
        <v>1747</v>
      </c>
      <c r="B727">
        <v>2022</v>
      </c>
      <c r="C727">
        <v>0.63202785441531628</v>
      </c>
      <c r="D727">
        <v>0</v>
      </c>
      <c r="E727">
        <v>21</v>
      </c>
      <c r="F727">
        <v>106</v>
      </c>
      <c r="G727">
        <v>5.0276457178049995E-4</v>
      </c>
      <c r="H727">
        <v>19</v>
      </c>
      <c r="I727">
        <v>25</v>
      </c>
      <c r="J727">
        <v>0.33865573526494519</v>
      </c>
      <c r="K727">
        <v>-0.2468186061895703</v>
      </c>
      <c r="L727">
        <v>240090196.59469</v>
      </c>
      <c r="M727" t="s">
        <v>612</v>
      </c>
      <c r="N727" t="s">
        <v>35</v>
      </c>
      <c r="O727" t="s">
        <v>87</v>
      </c>
      <c r="P727">
        <v>7200</v>
      </c>
      <c r="Q727">
        <v>5</v>
      </c>
      <c r="R727">
        <v>7195</v>
      </c>
    </row>
    <row r="728" spans="1:18" x14ac:dyDescent="0.3">
      <c r="A728" t="s">
        <v>1748</v>
      </c>
      <c r="B728">
        <v>2022</v>
      </c>
      <c r="C728">
        <v>0.68067592871191784</v>
      </c>
      <c r="D728">
        <v>0</v>
      </c>
      <c r="E728">
        <v>3</v>
      </c>
      <c r="F728">
        <v>137</v>
      </c>
      <c r="G728">
        <v>5.3907841995289995E-4</v>
      </c>
      <c r="H728">
        <v>10</v>
      </c>
      <c r="I728">
        <v>0</v>
      </c>
      <c r="J728">
        <v>0.29380987761629851</v>
      </c>
      <c r="K728">
        <v>-0.25242721606977842</v>
      </c>
      <c r="L728">
        <v>220774273.42307931</v>
      </c>
      <c r="M728" t="s">
        <v>612</v>
      </c>
      <c r="N728" t="s">
        <v>35</v>
      </c>
      <c r="O728" t="s">
        <v>120</v>
      </c>
      <c r="P728">
        <v>6006</v>
      </c>
      <c r="Q728">
        <v>156</v>
      </c>
      <c r="R728">
        <v>5850</v>
      </c>
    </row>
    <row r="729" spans="1:18" x14ac:dyDescent="0.3">
      <c r="A729" t="s">
        <v>1749</v>
      </c>
      <c r="B729">
        <v>2022</v>
      </c>
      <c r="C729">
        <v>2.854511004609666</v>
      </c>
      <c r="D729">
        <v>0</v>
      </c>
      <c r="E729">
        <v>1508</v>
      </c>
      <c r="F729">
        <v>523</v>
      </c>
      <c r="G729">
        <v>3.8586592964860001E-4</v>
      </c>
      <c r="H729">
        <v>89</v>
      </c>
      <c r="I729">
        <v>8</v>
      </c>
      <c r="J729">
        <v>0.26213648577383381</v>
      </c>
      <c r="K729">
        <v>-0.27243898923837961</v>
      </c>
      <c r="L729">
        <v>58212453.761750042</v>
      </c>
      <c r="M729" t="s">
        <v>612</v>
      </c>
      <c r="N729" t="s">
        <v>659</v>
      </c>
      <c r="O729" t="s">
        <v>660</v>
      </c>
      <c r="P729">
        <v>4438</v>
      </c>
      <c r="Q729">
        <v>1185</v>
      </c>
      <c r="R729">
        <v>3253</v>
      </c>
    </row>
    <row r="730" spans="1:18" x14ac:dyDescent="0.3">
      <c r="A730" t="s">
        <v>1750</v>
      </c>
      <c r="B730">
        <v>2022</v>
      </c>
      <c r="C730">
        <v>2.344860507185575</v>
      </c>
      <c r="D730">
        <v>0</v>
      </c>
      <c r="E730">
        <v>2894</v>
      </c>
      <c r="F730">
        <v>801</v>
      </c>
      <c r="G730">
        <v>2.8586722268869998E-4</v>
      </c>
      <c r="H730">
        <v>109</v>
      </c>
      <c r="I730">
        <v>21</v>
      </c>
      <c r="J730">
        <v>0.2232758305714076</v>
      </c>
      <c r="K730">
        <v>-0.28178991228657879</v>
      </c>
      <c r="L730">
        <v>75035128.55199188</v>
      </c>
      <c r="M730" t="s">
        <v>612</v>
      </c>
      <c r="N730" t="s">
        <v>659</v>
      </c>
      <c r="O730" t="s">
        <v>661</v>
      </c>
      <c r="P730">
        <v>7106</v>
      </c>
      <c r="Q730">
        <v>2257</v>
      </c>
      <c r="R730">
        <v>4849</v>
      </c>
    </row>
    <row r="731" spans="1:18" x14ac:dyDescent="0.3">
      <c r="A731" t="s">
        <v>1751</v>
      </c>
      <c r="B731">
        <v>2022</v>
      </c>
      <c r="C731">
        <v>0.99186730031222681</v>
      </c>
      <c r="D731">
        <v>0</v>
      </c>
      <c r="E731">
        <v>1</v>
      </c>
      <c r="F731">
        <v>71</v>
      </c>
      <c r="G731">
        <v>1.0405827263266999E-3</v>
      </c>
      <c r="H731">
        <v>10</v>
      </c>
      <c r="I731">
        <v>4</v>
      </c>
      <c r="J731">
        <v>0.44748004444941991</v>
      </c>
      <c r="K731">
        <v>-0.29116477434792731</v>
      </c>
      <c r="L731">
        <v>117682161.5531804</v>
      </c>
      <c r="M731" t="s">
        <v>612</v>
      </c>
      <c r="N731" t="s">
        <v>662</v>
      </c>
      <c r="O731" t="s">
        <v>331</v>
      </c>
      <c r="P731">
        <v>5687</v>
      </c>
      <c r="Q731">
        <v>526</v>
      </c>
      <c r="R731">
        <v>5161</v>
      </c>
    </row>
    <row r="732" spans="1:18" x14ac:dyDescent="0.3">
      <c r="A732" t="s">
        <v>1752</v>
      </c>
      <c r="B732">
        <v>2022</v>
      </c>
      <c r="C732">
        <v>0.90652057696893384</v>
      </c>
      <c r="D732">
        <v>0</v>
      </c>
      <c r="E732">
        <v>4902</v>
      </c>
      <c r="F732">
        <v>1003</v>
      </c>
      <c r="G732">
        <v>1.0876941402199999E-4</v>
      </c>
      <c r="H732">
        <v>72</v>
      </c>
      <c r="I732">
        <v>25</v>
      </c>
      <c r="J732">
        <v>0.32398105264802612</v>
      </c>
      <c r="K732">
        <v>-6.3514188471323105E-2</v>
      </c>
      <c r="L732">
        <v>872299510.47374237</v>
      </c>
      <c r="M732" t="s">
        <v>612</v>
      </c>
      <c r="N732" t="s">
        <v>665</v>
      </c>
      <c r="O732" t="s">
        <v>666</v>
      </c>
      <c r="P732">
        <v>18642</v>
      </c>
      <c r="Q732">
        <v>1946</v>
      </c>
      <c r="R732">
        <v>16696</v>
      </c>
    </row>
    <row r="733" spans="1:18" x14ac:dyDescent="0.3">
      <c r="A733" t="s">
        <v>1753</v>
      </c>
      <c r="B733">
        <v>2022</v>
      </c>
      <c r="C733">
        <v>0.74189302032342996</v>
      </c>
      <c r="D733">
        <v>0</v>
      </c>
      <c r="E733">
        <v>915</v>
      </c>
      <c r="F733">
        <v>447</v>
      </c>
      <c r="G733">
        <v>2.3969225997429999E-4</v>
      </c>
      <c r="H733">
        <v>48</v>
      </c>
      <c r="I733">
        <v>14</v>
      </c>
      <c r="J733">
        <v>0.39677763804803518</v>
      </c>
      <c r="K733">
        <v>-0.2381170249388711</v>
      </c>
      <c r="L733">
        <v>170132197.30422619</v>
      </c>
      <c r="M733" t="s">
        <v>612</v>
      </c>
      <c r="N733" t="s">
        <v>665</v>
      </c>
      <c r="O733" t="s">
        <v>295</v>
      </c>
      <c r="P733">
        <v>2555</v>
      </c>
      <c r="Q733">
        <v>188</v>
      </c>
      <c r="R733">
        <v>2367</v>
      </c>
    </row>
    <row r="734" spans="1:18" x14ac:dyDescent="0.3">
      <c r="A734" t="s">
        <v>1754</v>
      </c>
      <c r="B734">
        <v>2022</v>
      </c>
      <c r="C734">
        <v>0.70716460988877072</v>
      </c>
      <c r="D734">
        <v>0</v>
      </c>
      <c r="E734">
        <v>2615</v>
      </c>
      <c r="F734">
        <v>1145</v>
      </c>
      <c r="G734">
        <v>1.1119684193949999E-4</v>
      </c>
      <c r="H734">
        <v>55</v>
      </c>
      <c r="I734">
        <v>24</v>
      </c>
      <c r="J734">
        <v>0.1604184346837072</v>
      </c>
      <c r="K734">
        <v>-0.15349766574147</v>
      </c>
      <c r="L734">
        <v>396015693.67605299</v>
      </c>
      <c r="M734" t="s">
        <v>612</v>
      </c>
      <c r="N734" t="s">
        <v>91</v>
      </c>
      <c r="O734" t="s">
        <v>673</v>
      </c>
      <c r="P734">
        <v>8051</v>
      </c>
      <c r="Q734">
        <v>351</v>
      </c>
      <c r="R734">
        <v>7700</v>
      </c>
    </row>
    <row r="735" spans="1:18" x14ac:dyDescent="0.3">
      <c r="A735" t="s">
        <v>1755</v>
      </c>
      <c r="B735">
        <v>2022</v>
      </c>
      <c r="C735">
        <v>0.64769652448913784</v>
      </c>
      <c r="D735">
        <v>0</v>
      </c>
      <c r="E735">
        <v>4</v>
      </c>
      <c r="F735">
        <v>41</v>
      </c>
      <c r="G735">
        <v>2.0241083973362001E-3</v>
      </c>
      <c r="H735">
        <v>1</v>
      </c>
      <c r="I735">
        <v>0</v>
      </c>
      <c r="J735">
        <v>0.50130326350281396</v>
      </c>
      <c r="K735">
        <v>-0.19755163518028621</v>
      </c>
      <c r="L735">
        <v>269276604.94847262</v>
      </c>
      <c r="M735" t="s">
        <v>674</v>
      </c>
      <c r="N735" t="s">
        <v>675</v>
      </c>
      <c r="O735" t="s">
        <v>677</v>
      </c>
      <c r="P735">
        <v>399</v>
      </c>
      <c r="Q735">
        <v>180</v>
      </c>
      <c r="R735">
        <v>219</v>
      </c>
    </row>
    <row r="736" spans="1:18" x14ac:dyDescent="0.3">
      <c r="A736" t="s">
        <v>1756</v>
      </c>
      <c r="B736">
        <v>2022</v>
      </c>
      <c r="C736">
        <v>2.2691937898062369</v>
      </c>
      <c r="D736">
        <v>0</v>
      </c>
      <c r="E736">
        <v>6</v>
      </c>
      <c r="F736">
        <v>314</v>
      </c>
      <c r="G736">
        <v>1.0917690200122E-3</v>
      </c>
      <c r="H736">
        <v>6</v>
      </c>
      <c r="I736">
        <v>0</v>
      </c>
      <c r="J736">
        <v>0.56522705674331031</v>
      </c>
      <c r="K736">
        <v>-0.27947097531708809</v>
      </c>
      <c r="L736">
        <v>73329812.667459488</v>
      </c>
      <c r="M736" t="s">
        <v>674</v>
      </c>
      <c r="N736" t="s">
        <v>675</v>
      </c>
      <c r="O736" t="s">
        <v>678</v>
      </c>
      <c r="P736">
        <v>4929</v>
      </c>
      <c r="Q736">
        <v>2997</v>
      </c>
      <c r="R736">
        <v>1932</v>
      </c>
    </row>
    <row r="737" spans="1:18" x14ac:dyDescent="0.3">
      <c r="A737" t="s">
        <v>1757</v>
      </c>
      <c r="B737">
        <v>2022</v>
      </c>
      <c r="C737">
        <v>0.62058849191282917</v>
      </c>
      <c r="D737">
        <v>0</v>
      </c>
      <c r="E737">
        <v>3</v>
      </c>
      <c r="F737">
        <v>51</v>
      </c>
      <c r="G737">
        <v>3.3073482428115E-3</v>
      </c>
      <c r="H737">
        <v>4</v>
      </c>
      <c r="I737">
        <v>3</v>
      </c>
      <c r="J737">
        <v>0.57476058255532347</v>
      </c>
      <c r="K737">
        <v>-0.25282360054465108</v>
      </c>
      <c r="L737">
        <v>129124321.46990059</v>
      </c>
      <c r="M737" t="s">
        <v>674</v>
      </c>
      <c r="N737" t="s">
        <v>675</v>
      </c>
      <c r="O737" t="s">
        <v>176</v>
      </c>
      <c r="P737">
        <v>1220</v>
      </c>
      <c r="Q737">
        <v>655</v>
      </c>
      <c r="R737">
        <v>565</v>
      </c>
    </row>
    <row r="738" spans="1:18" x14ac:dyDescent="0.3">
      <c r="A738" t="s">
        <v>1758</v>
      </c>
      <c r="B738">
        <v>2022</v>
      </c>
      <c r="C738">
        <v>0.6014976233970335</v>
      </c>
      <c r="D738">
        <v>0</v>
      </c>
      <c r="E738">
        <v>274</v>
      </c>
      <c r="F738">
        <v>492</v>
      </c>
      <c r="G738">
        <v>6.2626391483910004E-4</v>
      </c>
      <c r="H738">
        <v>11</v>
      </c>
      <c r="I738">
        <v>4</v>
      </c>
      <c r="J738">
        <v>0.63930800325329173</v>
      </c>
      <c r="K738">
        <v>-0.2522728373369969</v>
      </c>
      <c r="L738">
        <v>2246349232.3188238</v>
      </c>
      <c r="M738" t="s">
        <v>674</v>
      </c>
      <c r="N738" t="s">
        <v>675</v>
      </c>
      <c r="O738" t="s">
        <v>679</v>
      </c>
      <c r="P738">
        <v>18647</v>
      </c>
      <c r="Q738">
        <v>2409</v>
      </c>
      <c r="R738">
        <v>16238</v>
      </c>
    </row>
    <row r="739" spans="1:18" x14ac:dyDescent="0.3">
      <c r="A739" t="s">
        <v>1759</v>
      </c>
      <c r="B739">
        <v>2022</v>
      </c>
      <c r="C739">
        <v>1.3339757304000339</v>
      </c>
      <c r="D739">
        <v>0</v>
      </c>
      <c r="E739">
        <v>208</v>
      </c>
      <c r="F739">
        <v>62</v>
      </c>
      <c r="G739">
        <v>2.6870536023853998E-3</v>
      </c>
      <c r="H739">
        <v>7</v>
      </c>
      <c r="I739">
        <v>2</v>
      </c>
      <c r="J739">
        <v>0.50028459819048343</v>
      </c>
      <c r="K739">
        <v>-0.1958159453463898</v>
      </c>
      <c r="L739">
        <v>405361032.38565838</v>
      </c>
      <c r="M739" t="s">
        <v>674</v>
      </c>
      <c r="N739" t="s">
        <v>675</v>
      </c>
      <c r="O739" t="s">
        <v>680</v>
      </c>
      <c r="P739">
        <v>1022</v>
      </c>
      <c r="Q739">
        <v>304</v>
      </c>
      <c r="R739">
        <v>718</v>
      </c>
    </row>
    <row r="740" spans="1:18" x14ac:dyDescent="0.3">
      <c r="A740" t="s">
        <v>1760</v>
      </c>
      <c r="B740">
        <v>2022</v>
      </c>
      <c r="C740">
        <v>0.61112420537363576</v>
      </c>
      <c r="D740">
        <v>0</v>
      </c>
      <c r="E740">
        <v>2</v>
      </c>
      <c r="F740">
        <v>17</v>
      </c>
      <c r="G740">
        <v>1.9841037129128001E-3</v>
      </c>
      <c r="H740">
        <v>2</v>
      </c>
      <c r="I740">
        <v>0</v>
      </c>
      <c r="J740">
        <v>0.46392771460737597</v>
      </c>
      <c r="K740">
        <v>-0.2214962221194752</v>
      </c>
      <c r="L740">
        <v>624975848.36906219</v>
      </c>
      <c r="M740" t="s">
        <v>674</v>
      </c>
      <c r="N740" t="s">
        <v>675</v>
      </c>
      <c r="O740" t="s">
        <v>681</v>
      </c>
      <c r="P740">
        <v>223</v>
      </c>
      <c r="Q740">
        <v>69</v>
      </c>
      <c r="R740">
        <v>154</v>
      </c>
    </row>
    <row r="741" spans="1:18" x14ac:dyDescent="0.3">
      <c r="A741" t="s">
        <v>1761</v>
      </c>
      <c r="B741">
        <v>2022</v>
      </c>
      <c r="C741">
        <v>0.45831562512777912</v>
      </c>
      <c r="D741">
        <v>0</v>
      </c>
      <c r="E741">
        <v>22</v>
      </c>
      <c r="F741">
        <v>61</v>
      </c>
      <c r="G741">
        <v>2.4751725349765E-3</v>
      </c>
      <c r="H741">
        <v>6</v>
      </c>
      <c r="I741">
        <v>2</v>
      </c>
      <c r="J741">
        <v>0.61603216862152421</v>
      </c>
      <c r="K741">
        <v>-0.24402834656945949</v>
      </c>
      <c r="L741">
        <v>345129134.65068412</v>
      </c>
      <c r="M741" t="s">
        <v>674</v>
      </c>
      <c r="N741" t="s">
        <v>675</v>
      </c>
      <c r="O741" t="s">
        <v>682</v>
      </c>
      <c r="P741">
        <v>2807</v>
      </c>
      <c r="Q741">
        <v>81</v>
      </c>
      <c r="R741">
        <v>2726</v>
      </c>
    </row>
    <row r="742" spans="1:18" x14ac:dyDescent="0.3">
      <c r="A742" t="s">
        <v>1762</v>
      </c>
      <c r="B742">
        <v>2022</v>
      </c>
      <c r="C742">
        <v>0.91771388480939797</v>
      </c>
      <c r="D742">
        <v>0</v>
      </c>
      <c r="E742">
        <v>3</v>
      </c>
      <c r="F742">
        <v>150</v>
      </c>
      <c r="G742">
        <v>1.2422223445844999E-3</v>
      </c>
      <c r="H742">
        <v>4</v>
      </c>
      <c r="I742">
        <v>0</v>
      </c>
      <c r="J742">
        <v>0.49934639767245448</v>
      </c>
      <c r="K742">
        <v>-0.23262270397834359</v>
      </c>
      <c r="L742">
        <v>225069831.39480981</v>
      </c>
      <c r="M742" t="s">
        <v>674</v>
      </c>
      <c r="N742" t="s">
        <v>675</v>
      </c>
      <c r="O742" t="s">
        <v>683</v>
      </c>
      <c r="P742">
        <v>3044</v>
      </c>
      <c r="Q742">
        <v>1423</v>
      </c>
      <c r="R742">
        <v>1621</v>
      </c>
    </row>
    <row r="743" spans="1:18" x14ac:dyDescent="0.3">
      <c r="A743" t="s">
        <v>1763</v>
      </c>
      <c r="B743">
        <v>2022</v>
      </c>
      <c r="C743">
        <v>0.58158150262201924</v>
      </c>
      <c r="D743">
        <v>0</v>
      </c>
      <c r="E743">
        <v>26</v>
      </c>
      <c r="F743">
        <v>14</v>
      </c>
      <c r="G743">
        <v>7.5757575757574996E-3</v>
      </c>
      <c r="H743">
        <v>1</v>
      </c>
      <c r="I743">
        <v>0</v>
      </c>
      <c r="J743">
        <v>0.59404109685050088</v>
      </c>
      <c r="K743">
        <v>-0.25071921594422503</v>
      </c>
      <c r="L743">
        <v>286348069.35850108</v>
      </c>
      <c r="M743" t="s">
        <v>674</v>
      </c>
      <c r="N743" t="s">
        <v>684</v>
      </c>
      <c r="O743" t="s">
        <v>685</v>
      </c>
      <c r="P743">
        <v>165</v>
      </c>
      <c r="Q743">
        <v>30</v>
      </c>
      <c r="R743">
        <v>135</v>
      </c>
    </row>
    <row r="744" spans="1:18" x14ac:dyDescent="0.3">
      <c r="A744" t="s">
        <v>1764</v>
      </c>
      <c r="B744">
        <v>2022</v>
      </c>
      <c r="C744">
        <v>0.58457624578131906</v>
      </c>
      <c r="D744">
        <v>0</v>
      </c>
      <c r="E744">
        <v>138</v>
      </c>
      <c r="F744">
        <v>135</v>
      </c>
      <c r="G744">
        <v>5.9664608358190002E-4</v>
      </c>
      <c r="H744">
        <v>7</v>
      </c>
      <c r="I744">
        <v>3</v>
      </c>
      <c r="J744">
        <v>0.57003561420191107</v>
      </c>
      <c r="K744">
        <v>-0.21918432469735469</v>
      </c>
      <c r="L744">
        <v>683186942.21012533</v>
      </c>
      <c r="M744" t="s">
        <v>674</v>
      </c>
      <c r="N744" t="s">
        <v>684</v>
      </c>
      <c r="O744" t="s">
        <v>687</v>
      </c>
      <c r="P744">
        <v>6557</v>
      </c>
      <c r="Q744">
        <v>465</v>
      </c>
      <c r="R744">
        <v>6092</v>
      </c>
    </row>
    <row r="745" spans="1:18" x14ac:dyDescent="0.3">
      <c r="A745" t="s">
        <v>1765</v>
      </c>
      <c r="B745">
        <v>2022</v>
      </c>
      <c r="C745">
        <v>0.67117967487418151</v>
      </c>
      <c r="D745">
        <v>0</v>
      </c>
      <c r="E745">
        <v>6</v>
      </c>
      <c r="F745">
        <v>38</v>
      </c>
      <c r="G745">
        <v>1.0281311548514E-3</v>
      </c>
      <c r="H745">
        <v>2</v>
      </c>
      <c r="I745">
        <v>0</v>
      </c>
      <c r="J745">
        <v>0.59532569420778902</v>
      </c>
      <c r="K745">
        <v>-0.248654448554085</v>
      </c>
      <c r="L745">
        <v>134946460.37692121</v>
      </c>
      <c r="M745" t="s">
        <v>674</v>
      </c>
      <c r="N745" t="s">
        <v>684</v>
      </c>
      <c r="O745" t="s">
        <v>425</v>
      </c>
      <c r="P745">
        <v>570</v>
      </c>
      <c r="Q745">
        <v>224</v>
      </c>
      <c r="R745">
        <v>346</v>
      </c>
    </row>
    <row r="746" spans="1:18" x14ac:dyDescent="0.3">
      <c r="A746" t="s">
        <v>1766</v>
      </c>
      <c r="B746">
        <v>2022</v>
      </c>
      <c r="C746">
        <v>0.7274174465914367</v>
      </c>
      <c r="D746">
        <v>0</v>
      </c>
      <c r="E746">
        <v>14</v>
      </c>
      <c r="F746">
        <v>22</v>
      </c>
      <c r="G746">
        <v>2.7768381218611E-3</v>
      </c>
      <c r="H746">
        <v>1</v>
      </c>
      <c r="I746">
        <v>0</v>
      </c>
      <c r="J746">
        <v>0.5969418694138563</v>
      </c>
      <c r="K746">
        <v>-0.27018173632560277</v>
      </c>
      <c r="L746">
        <v>54828206.314662218</v>
      </c>
      <c r="M746" t="s">
        <v>674</v>
      </c>
      <c r="N746" t="s">
        <v>684</v>
      </c>
      <c r="O746" t="s">
        <v>689</v>
      </c>
      <c r="P746">
        <v>663</v>
      </c>
      <c r="Q746">
        <v>307</v>
      </c>
      <c r="R746">
        <v>356</v>
      </c>
    </row>
    <row r="747" spans="1:18" x14ac:dyDescent="0.3">
      <c r="A747" t="s">
        <v>1767</v>
      </c>
      <c r="B747">
        <v>2022</v>
      </c>
      <c r="C747">
        <v>0.63743515387341676</v>
      </c>
      <c r="D747">
        <v>0</v>
      </c>
      <c r="E747">
        <v>5</v>
      </c>
      <c r="F747">
        <v>27</v>
      </c>
      <c r="G747">
        <v>1.7315991422752E-3</v>
      </c>
      <c r="H747">
        <v>2</v>
      </c>
      <c r="I747">
        <v>0</v>
      </c>
      <c r="J747">
        <v>0.56735419186660263</v>
      </c>
      <c r="K747">
        <v>-0.26907077829215231</v>
      </c>
      <c r="L747">
        <v>271079032.39605558</v>
      </c>
      <c r="M747" t="s">
        <v>674</v>
      </c>
      <c r="N747" t="s">
        <v>684</v>
      </c>
      <c r="O747" t="s">
        <v>690</v>
      </c>
      <c r="P747">
        <v>125</v>
      </c>
      <c r="Q747">
        <v>33</v>
      </c>
      <c r="R747">
        <v>92</v>
      </c>
    </row>
    <row r="748" spans="1:18" x14ac:dyDescent="0.3">
      <c r="A748" t="s">
        <v>1768</v>
      </c>
      <c r="B748">
        <v>2022</v>
      </c>
      <c r="C748">
        <v>1.40791201761212</v>
      </c>
      <c r="D748">
        <v>0</v>
      </c>
      <c r="E748">
        <v>17</v>
      </c>
      <c r="F748">
        <v>77</v>
      </c>
      <c r="G748">
        <v>6.3673411816849996E-4</v>
      </c>
      <c r="H748">
        <v>3</v>
      </c>
      <c r="I748">
        <v>0</v>
      </c>
      <c r="J748">
        <v>0.61749250422329727</v>
      </c>
      <c r="K748">
        <v>-0.29178994548749271</v>
      </c>
      <c r="L748">
        <v>69716707.771448627</v>
      </c>
      <c r="M748" t="s">
        <v>674</v>
      </c>
      <c r="N748" t="s">
        <v>692</v>
      </c>
      <c r="O748" t="s">
        <v>694</v>
      </c>
      <c r="P748">
        <v>1086</v>
      </c>
      <c r="Q748">
        <v>581</v>
      </c>
      <c r="R748">
        <v>505</v>
      </c>
    </row>
    <row r="749" spans="1:18" x14ac:dyDescent="0.3">
      <c r="A749" t="s">
        <v>1769</v>
      </c>
      <c r="B749">
        <v>2022</v>
      </c>
      <c r="C749">
        <v>0.70376882883515124</v>
      </c>
      <c r="D749">
        <v>0</v>
      </c>
      <c r="E749">
        <v>21</v>
      </c>
      <c r="F749">
        <v>47</v>
      </c>
      <c r="G749">
        <v>1.0335557220083E-3</v>
      </c>
      <c r="H749">
        <v>6</v>
      </c>
      <c r="I749">
        <v>0</v>
      </c>
      <c r="J749">
        <v>0.58054972411955119</v>
      </c>
      <c r="K749">
        <v>-0.21412090163239089</v>
      </c>
      <c r="L749">
        <v>284533393.44226718</v>
      </c>
      <c r="M749" t="s">
        <v>674</v>
      </c>
      <c r="N749" t="s">
        <v>692</v>
      </c>
      <c r="O749" t="s">
        <v>696</v>
      </c>
      <c r="P749">
        <v>818</v>
      </c>
      <c r="Q749">
        <v>152</v>
      </c>
      <c r="R749">
        <v>666</v>
      </c>
    </row>
    <row r="750" spans="1:18" x14ac:dyDescent="0.3">
      <c r="A750" t="s">
        <v>1770</v>
      </c>
      <c r="B750">
        <v>2022</v>
      </c>
      <c r="C750">
        <v>0.82087227033307275</v>
      </c>
      <c r="D750">
        <v>0</v>
      </c>
      <c r="E750">
        <v>3</v>
      </c>
      <c r="F750">
        <v>80</v>
      </c>
      <c r="G750">
        <v>1.2665335465778E-3</v>
      </c>
      <c r="H750">
        <v>1</v>
      </c>
      <c r="I750">
        <v>6</v>
      </c>
      <c r="J750">
        <v>0.47987394189342591</v>
      </c>
      <c r="K750">
        <v>-0.1897570640678338</v>
      </c>
      <c r="L750">
        <v>257379256.7282874</v>
      </c>
      <c r="M750" t="s">
        <v>674</v>
      </c>
      <c r="N750" t="s">
        <v>692</v>
      </c>
      <c r="O750" t="s">
        <v>697</v>
      </c>
      <c r="P750">
        <v>1126</v>
      </c>
      <c r="Q750">
        <v>187</v>
      </c>
      <c r="R750">
        <v>939</v>
      </c>
    </row>
    <row r="751" spans="1:18" x14ac:dyDescent="0.3">
      <c r="A751" t="s">
        <v>1771</v>
      </c>
      <c r="B751">
        <v>2022</v>
      </c>
      <c r="C751">
        <v>0.80493478988611444</v>
      </c>
      <c r="D751">
        <v>0</v>
      </c>
      <c r="E751">
        <v>5</v>
      </c>
      <c r="F751">
        <v>39</v>
      </c>
      <c r="G751">
        <v>4.1748317287211003E-3</v>
      </c>
      <c r="H751">
        <v>1</v>
      </c>
      <c r="I751">
        <v>8</v>
      </c>
      <c r="J751">
        <v>0.68060359477578347</v>
      </c>
      <c r="K751">
        <v>-0.30780268660306298</v>
      </c>
      <c r="L751">
        <v>92486434.238445684</v>
      </c>
      <c r="M751" t="s">
        <v>674</v>
      </c>
      <c r="N751" t="s">
        <v>698</v>
      </c>
      <c r="O751" t="s">
        <v>701</v>
      </c>
      <c r="P751">
        <v>1361</v>
      </c>
      <c r="Q751">
        <v>287</v>
      </c>
      <c r="R751">
        <v>1074</v>
      </c>
    </row>
    <row r="752" spans="1:18" x14ac:dyDescent="0.3">
      <c r="A752" t="s">
        <v>1772</v>
      </c>
      <c r="B752">
        <v>2022</v>
      </c>
      <c r="C752">
        <v>0.6812891224963431</v>
      </c>
      <c r="D752">
        <v>0</v>
      </c>
      <c r="E752">
        <v>29</v>
      </c>
      <c r="F752">
        <v>58</v>
      </c>
      <c r="G752">
        <v>1.1241954624519E-3</v>
      </c>
      <c r="H752">
        <v>1</v>
      </c>
      <c r="I752">
        <v>0</v>
      </c>
      <c r="J752">
        <v>0.50874075986450795</v>
      </c>
      <c r="K752">
        <v>-0.17339340426288469</v>
      </c>
      <c r="L752">
        <v>443269902.20634282</v>
      </c>
      <c r="M752" t="s">
        <v>674</v>
      </c>
      <c r="N752" t="s">
        <v>121</v>
      </c>
      <c r="O752" t="s">
        <v>703</v>
      </c>
      <c r="P752">
        <v>443</v>
      </c>
      <c r="Q752">
        <v>162</v>
      </c>
      <c r="R752">
        <v>281</v>
      </c>
    </row>
    <row r="753" spans="1:18" x14ac:dyDescent="0.3">
      <c r="A753" t="s">
        <v>1773</v>
      </c>
      <c r="B753">
        <v>2022</v>
      </c>
      <c r="C753">
        <v>0.68129693274714442</v>
      </c>
      <c r="D753">
        <v>0</v>
      </c>
      <c r="E753">
        <v>20</v>
      </c>
      <c r="F753">
        <v>76</v>
      </c>
      <c r="G753">
        <v>8.3991596682330002E-4</v>
      </c>
      <c r="H753">
        <v>2</v>
      </c>
      <c r="I753">
        <v>0</v>
      </c>
      <c r="J753">
        <v>0.55176510505697718</v>
      </c>
      <c r="K753">
        <v>-0.17535368223004799</v>
      </c>
      <c r="L753">
        <v>256783520.24205649</v>
      </c>
      <c r="M753" t="s">
        <v>674</v>
      </c>
      <c r="N753" t="s">
        <v>121</v>
      </c>
      <c r="O753" t="s">
        <v>705</v>
      </c>
      <c r="P753">
        <v>1820</v>
      </c>
      <c r="Q753">
        <v>426</v>
      </c>
      <c r="R753">
        <v>1394</v>
      </c>
    </row>
    <row r="754" spans="1:18" x14ac:dyDescent="0.3">
      <c r="A754" t="s">
        <v>1774</v>
      </c>
      <c r="B754">
        <v>2022</v>
      </c>
      <c r="C754">
        <v>1.050536370019195</v>
      </c>
      <c r="D754">
        <v>0</v>
      </c>
      <c r="E754">
        <v>5</v>
      </c>
      <c r="F754">
        <v>70</v>
      </c>
      <c r="G754">
        <v>4.0468332547539997E-3</v>
      </c>
      <c r="H754">
        <v>11</v>
      </c>
      <c r="I754">
        <v>0</v>
      </c>
      <c r="J754">
        <v>0.56717978256370138</v>
      </c>
      <c r="K754">
        <v>-0.21613344277630331</v>
      </c>
      <c r="L754">
        <v>57401336.173095226</v>
      </c>
      <c r="M754" t="s">
        <v>674</v>
      </c>
      <c r="N754" t="s">
        <v>121</v>
      </c>
      <c r="O754" t="s">
        <v>706</v>
      </c>
      <c r="P754">
        <v>596</v>
      </c>
      <c r="Q754">
        <v>247</v>
      </c>
      <c r="R754">
        <v>349</v>
      </c>
    </row>
    <row r="755" spans="1:18" x14ac:dyDescent="0.3">
      <c r="A755" t="s">
        <v>1775</v>
      </c>
      <c r="B755">
        <v>2022</v>
      </c>
      <c r="C755">
        <v>0.77767598731054266</v>
      </c>
      <c r="D755">
        <v>0</v>
      </c>
      <c r="E755">
        <v>6</v>
      </c>
      <c r="F755">
        <v>109</v>
      </c>
      <c r="G755">
        <v>1.1748034463464E-3</v>
      </c>
      <c r="H755">
        <v>1</v>
      </c>
      <c r="I755">
        <v>0</v>
      </c>
      <c r="J755">
        <v>0.5295674168120692</v>
      </c>
      <c r="K755">
        <v>-0.2036385802543271</v>
      </c>
      <c r="L755">
        <v>95034498.100122258</v>
      </c>
      <c r="M755" t="s">
        <v>674</v>
      </c>
      <c r="N755" t="s">
        <v>121</v>
      </c>
      <c r="O755" t="s">
        <v>707</v>
      </c>
      <c r="P755">
        <v>1606</v>
      </c>
      <c r="Q755">
        <v>620</v>
      </c>
      <c r="R755">
        <v>986</v>
      </c>
    </row>
    <row r="756" spans="1:18" x14ac:dyDescent="0.3">
      <c r="A756" t="s">
        <v>1776</v>
      </c>
      <c r="B756">
        <v>2022</v>
      </c>
      <c r="C756">
        <v>0.70122442426459553</v>
      </c>
      <c r="D756">
        <v>0</v>
      </c>
      <c r="E756">
        <v>3</v>
      </c>
      <c r="F756">
        <v>54</v>
      </c>
      <c r="G756">
        <v>2.2963786923742E-3</v>
      </c>
      <c r="H756">
        <v>5</v>
      </c>
      <c r="I756">
        <v>2</v>
      </c>
      <c r="J756">
        <v>0.53968402344484845</v>
      </c>
      <c r="K756">
        <v>-0.19537765502149509</v>
      </c>
      <c r="L756">
        <v>126796381.4109447</v>
      </c>
      <c r="M756" t="s">
        <v>674</v>
      </c>
      <c r="N756" t="s">
        <v>121</v>
      </c>
      <c r="O756" t="s">
        <v>708</v>
      </c>
      <c r="P756">
        <v>1157</v>
      </c>
      <c r="Q756">
        <v>150</v>
      </c>
      <c r="R756">
        <v>1007</v>
      </c>
    </row>
    <row r="757" spans="1:18" x14ac:dyDescent="0.3">
      <c r="A757" t="s">
        <v>1777</v>
      </c>
      <c r="B757">
        <v>2022</v>
      </c>
      <c r="C757">
        <v>0.67275851337925408</v>
      </c>
      <c r="D757">
        <v>0</v>
      </c>
      <c r="E757">
        <v>68</v>
      </c>
      <c r="F757">
        <v>64</v>
      </c>
      <c r="G757">
        <v>1.33420513183E-3</v>
      </c>
      <c r="H757">
        <v>6</v>
      </c>
      <c r="I757">
        <v>1</v>
      </c>
      <c r="J757">
        <v>0.45227916300562349</v>
      </c>
      <c r="K757">
        <v>-0.18368017842344261</v>
      </c>
      <c r="L757">
        <v>196076772.22706029</v>
      </c>
      <c r="M757" t="s">
        <v>674</v>
      </c>
      <c r="N757" t="s">
        <v>709</v>
      </c>
      <c r="O757" t="s">
        <v>111</v>
      </c>
      <c r="P757">
        <v>2419</v>
      </c>
      <c r="Q757">
        <v>141</v>
      </c>
      <c r="R757">
        <v>2278</v>
      </c>
    </row>
    <row r="758" spans="1:18" x14ac:dyDescent="0.3">
      <c r="A758" t="s">
        <v>1778</v>
      </c>
      <c r="B758">
        <v>2022</v>
      </c>
      <c r="C758">
        <v>0.88304103395439026</v>
      </c>
      <c r="D758">
        <v>0</v>
      </c>
      <c r="E758">
        <v>42</v>
      </c>
      <c r="F758">
        <v>123</v>
      </c>
      <c r="G758">
        <v>9.8317551652939996E-4</v>
      </c>
      <c r="H758">
        <v>3</v>
      </c>
      <c r="I758">
        <v>2</v>
      </c>
      <c r="J758">
        <v>0.57802234551821052</v>
      </c>
      <c r="K758">
        <v>-0.23203173958967921</v>
      </c>
      <c r="L758">
        <v>223000012.51833591</v>
      </c>
      <c r="M758" t="s">
        <v>674</v>
      </c>
      <c r="N758" t="s">
        <v>709</v>
      </c>
      <c r="O758" t="s">
        <v>710</v>
      </c>
      <c r="P758">
        <v>3398</v>
      </c>
      <c r="Q758">
        <v>1209</v>
      </c>
      <c r="R758">
        <v>2189</v>
      </c>
    </row>
    <row r="759" spans="1:18" x14ac:dyDescent="0.3">
      <c r="A759" t="s">
        <v>1779</v>
      </c>
      <c r="B759">
        <v>2022</v>
      </c>
      <c r="C759">
        <v>1.37558701130159</v>
      </c>
      <c r="D759">
        <v>0</v>
      </c>
      <c r="E759">
        <v>4</v>
      </c>
      <c r="F759">
        <v>89</v>
      </c>
      <c r="G759">
        <v>3.2713049662201998E-3</v>
      </c>
      <c r="H759">
        <v>10</v>
      </c>
      <c r="I759">
        <v>0</v>
      </c>
      <c r="J759">
        <v>0.52847825020191541</v>
      </c>
      <c r="K759">
        <v>-0.23165103710338381</v>
      </c>
      <c r="L759">
        <v>58317488.118660897</v>
      </c>
      <c r="M759" t="s">
        <v>674</v>
      </c>
      <c r="N759" t="s">
        <v>709</v>
      </c>
      <c r="O759" t="s">
        <v>711</v>
      </c>
      <c r="P759">
        <v>1378</v>
      </c>
      <c r="Q759">
        <v>961</v>
      </c>
      <c r="R759">
        <v>417</v>
      </c>
    </row>
    <row r="760" spans="1:18" x14ac:dyDescent="0.3">
      <c r="A760" t="s">
        <v>1780</v>
      </c>
      <c r="B760">
        <v>2022</v>
      </c>
      <c r="C760">
        <v>0.6197797150576978</v>
      </c>
      <c r="D760">
        <v>0</v>
      </c>
      <c r="E760">
        <v>70</v>
      </c>
      <c r="F760">
        <v>209</v>
      </c>
      <c r="G760">
        <v>1.0052941982216001E-3</v>
      </c>
      <c r="H760">
        <v>5</v>
      </c>
      <c r="I760">
        <v>27</v>
      </c>
      <c r="J760">
        <v>0.61828620149027269</v>
      </c>
      <c r="K760">
        <v>-0.26756282949049631</v>
      </c>
      <c r="L760">
        <v>471400371.4161101</v>
      </c>
      <c r="M760" t="s">
        <v>674</v>
      </c>
      <c r="N760" t="s">
        <v>712</v>
      </c>
      <c r="O760" t="s">
        <v>713</v>
      </c>
      <c r="P760">
        <v>6741</v>
      </c>
      <c r="Q760">
        <v>358</v>
      </c>
      <c r="R760">
        <v>6383</v>
      </c>
    </row>
    <row r="761" spans="1:18" x14ac:dyDescent="0.3">
      <c r="A761" t="s">
        <v>1781</v>
      </c>
      <c r="B761">
        <v>2022</v>
      </c>
      <c r="C761">
        <v>0.4355579539818647</v>
      </c>
      <c r="D761">
        <v>0</v>
      </c>
      <c r="E761">
        <v>761</v>
      </c>
      <c r="F761">
        <v>105</v>
      </c>
      <c r="G761">
        <v>1.1812812358019001E-3</v>
      </c>
      <c r="H761">
        <v>13</v>
      </c>
      <c r="I761">
        <v>0</v>
      </c>
      <c r="J761">
        <v>0.58960662202093617</v>
      </c>
      <c r="K761">
        <v>-0.2226259547502705</v>
      </c>
      <c r="L761">
        <v>1252865881.8658309</v>
      </c>
      <c r="M761" t="s">
        <v>674</v>
      </c>
      <c r="N761" t="s">
        <v>719</v>
      </c>
      <c r="O761" t="s">
        <v>720</v>
      </c>
      <c r="P761">
        <v>2069</v>
      </c>
      <c r="Q761">
        <v>0</v>
      </c>
      <c r="R761">
        <v>2069</v>
      </c>
    </row>
    <row r="762" spans="1:18" x14ac:dyDescent="0.3">
      <c r="A762" t="s">
        <v>1782</v>
      </c>
      <c r="B762">
        <v>2022</v>
      </c>
      <c r="C762">
        <v>0.46886882500630539</v>
      </c>
      <c r="D762">
        <v>0</v>
      </c>
      <c r="E762">
        <v>314</v>
      </c>
      <c r="F762">
        <v>100</v>
      </c>
      <c r="G762">
        <v>1.3620308535452999E-3</v>
      </c>
      <c r="H762">
        <v>10</v>
      </c>
      <c r="I762">
        <v>3</v>
      </c>
      <c r="J762">
        <v>0.62896813377763161</v>
      </c>
      <c r="K762">
        <v>-0.25134108592756338</v>
      </c>
      <c r="L762">
        <v>1268687972.1922519</v>
      </c>
      <c r="M762" t="s">
        <v>674</v>
      </c>
      <c r="N762" t="s">
        <v>719</v>
      </c>
      <c r="O762" t="s">
        <v>721</v>
      </c>
      <c r="P762">
        <v>7360</v>
      </c>
      <c r="Q762">
        <v>12</v>
      </c>
      <c r="R762">
        <v>7348</v>
      </c>
    </row>
    <row r="763" spans="1:18" x14ac:dyDescent="0.3">
      <c r="A763" t="s">
        <v>1783</v>
      </c>
      <c r="B763">
        <v>2022</v>
      </c>
      <c r="C763">
        <v>0.51116995489401806</v>
      </c>
      <c r="D763">
        <v>0</v>
      </c>
      <c r="E763">
        <v>99</v>
      </c>
      <c r="F763">
        <v>94</v>
      </c>
      <c r="G763">
        <v>2.8545999218512002E-3</v>
      </c>
      <c r="H763">
        <v>4</v>
      </c>
      <c r="I763">
        <v>2</v>
      </c>
      <c r="J763">
        <v>0.6401446336727491</v>
      </c>
      <c r="K763">
        <v>-0.27446266753285148</v>
      </c>
      <c r="L763">
        <v>959002617.52584577</v>
      </c>
      <c r="M763" t="s">
        <v>674</v>
      </c>
      <c r="N763" t="s">
        <v>719</v>
      </c>
      <c r="O763" t="s">
        <v>722</v>
      </c>
      <c r="P763">
        <v>5224</v>
      </c>
      <c r="Q763">
        <v>26</v>
      </c>
      <c r="R763">
        <v>5198</v>
      </c>
    </row>
    <row r="764" spans="1:18" x14ac:dyDescent="0.3">
      <c r="A764" t="s">
        <v>1784</v>
      </c>
      <c r="B764">
        <v>2022</v>
      </c>
      <c r="C764">
        <v>0.46262186537677658</v>
      </c>
      <c r="D764">
        <v>0</v>
      </c>
      <c r="E764">
        <v>942</v>
      </c>
      <c r="F764">
        <v>52</v>
      </c>
      <c r="G764">
        <v>4.6400762752263998E-3</v>
      </c>
      <c r="H764">
        <v>13</v>
      </c>
      <c r="I764">
        <v>0</v>
      </c>
      <c r="J764">
        <v>0.63719791700788442</v>
      </c>
      <c r="K764">
        <v>-0.26377389558658509</v>
      </c>
      <c r="L764">
        <v>1328664074.015554</v>
      </c>
      <c r="M764" t="s">
        <v>674</v>
      </c>
      <c r="N764" t="s">
        <v>719</v>
      </c>
      <c r="O764" t="s">
        <v>723</v>
      </c>
      <c r="P764">
        <v>4225</v>
      </c>
      <c r="Q764">
        <v>0</v>
      </c>
      <c r="R764">
        <v>4225</v>
      </c>
    </row>
    <row r="765" spans="1:18" x14ac:dyDescent="0.3">
      <c r="A765" t="s">
        <v>1785</v>
      </c>
      <c r="B765">
        <v>2022</v>
      </c>
      <c r="C765">
        <v>1.518821865784405</v>
      </c>
      <c r="D765">
        <v>0</v>
      </c>
      <c r="E765">
        <v>7</v>
      </c>
      <c r="F765">
        <v>69</v>
      </c>
      <c r="G765">
        <v>2.7600578795569002E-3</v>
      </c>
      <c r="H765">
        <v>4</v>
      </c>
      <c r="I765">
        <v>0</v>
      </c>
      <c r="J765">
        <v>0.57494222936997808</v>
      </c>
      <c r="K765">
        <v>-0.2673232256902025</v>
      </c>
      <c r="L765">
        <v>54971295.141918793</v>
      </c>
      <c r="M765" t="s">
        <v>674</v>
      </c>
      <c r="N765" t="s">
        <v>724</v>
      </c>
      <c r="O765" t="s">
        <v>724</v>
      </c>
      <c r="P765">
        <v>2604</v>
      </c>
      <c r="Q765">
        <v>1194</v>
      </c>
      <c r="R765">
        <v>1410</v>
      </c>
    </row>
    <row r="766" spans="1:18" x14ac:dyDescent="0.3">
      <c r="A766" t="s">
        <v>1786</v>
      </c>
      <c r="B766">
        <v>2022</v>
      </c>
      <c r="C766">
        <v>0.66321764208877432</v>
      </c>
      <c r="D766">
        <v>0</v>
      </c>
      <c r="E766">
        <v>26</v>
      </c>
      <c r="F766">
        <v>62</v>
      </c>
      <c r="G766">
        <v>1.8728733357531E-3</v>
      </c>
      <c r="H766">
        <v>2</v>
      </c>
      <c r="I766">
        <v>0</v>
      </c>
      <c r="J766">
        <v>0.58952565993574513</v>
      </c>
      <c r="K766">
        <v>-0.22038743463563121</v>
      </c>
      <c r="L766">
        <v>265219065.20832491</v>
      </c>
      <c r="M766" t="s">
        <v>674</v>
      </c>
      <c r="N766" t="s">
        <v>724</v>
      </c>
      <c r="O766" t="s">
        <v>726</v>
      </c>
      <c r="P766">
        <v>2674</v>
      </c>
      <c r="Q766">
        <v>58</v>
      </c>
      <c r="R766">
        <v>2616</v>
      </c>
    </row>
    <row r="767" spans="1:18" x14ac:dyDescent="0.3">
      <c r="A767" t="s">
        <v>1787</v>
      </c>
      <c r="B767">
        <v>2022</v>
      </c>
      <c r="C767">
        <v>0.59831085046623111</v>
      </c>
      <c r="D767">
        <v>0</v>
      </c>
      <c r="E767">
        <v>89</v>
      </c>
      <c r="F767">
        <v>126</v>
      </c>
      <c r="G767">
        <v>1.1231659809952999E-3</v>
      </c>
      <c r="H767">
        <v>3</v>
      </c>
      <c r="I767">
        <v>9</v>
      </c>
      <c r="J767">
        <v>0.63649179660355482</v>
      </c>
      <c r="K767">
        <v>-0.2387237649295503</v>
      </c>
      <c r="L767">
        <v>648735609.53570533</v>
      </c>
      <c r="M767" t="s">
        <v>674</v>
      </c>
      <c r="N767" t="s">
        <v>728</v>
      </c>
      <c r="O767" t="s">
        <v>121</v>
      </c>
      <c r="P767">
        <v>5511</v>
      </c>
      <c r="Q767">
        <v>556</v>
      </c>
      <c r="R767">
        <v>4955</v>
      </c>
    </row>
    <row r="768" spans="1:18" x14ac:dyDescent="0.3">
      <c r="A768" t="s">
        <v>1788</v>
      </c>
      <c r="B768">
        <v>2022</v>
      </c>
      <c r="C768">
        <v>0.59834770048463892</v>
      </c>
      <c r="D768">
        <v>0</v>
      </c>
      <c r="E768">
        <v>1</v>
      </c>
      <c r="F768">
        <v>108</v>
      </c>
      <c r="G768">
        <v>1.2886557236211999E-3</v>
      </c>
      <c r="H768">
        <v>1</v>
      </c>
      <c r="I768">
        <v>5</v>
      </c>
      <c r="J768">
        <v>0.65024981004515447</v>
      </c>
      <c r="K768">
        <v>-0.267644493931806</v>
      </c>
      <c r="L768">
        <v>532462675.68424249</v>
      </c>
      <c r="M768" t="s">
        <v>674</v>
      </c>
      <c r="N768" t="s">
        <v>728</v>
      </c>
      <c r="O768" t="s">
        <v>729</v>
      </c>
      <c r="P768">
        <v>3758</v>
      </c>
      <c r="Q768">
        <v>57</v>
      </c>
      <c r="R768">
        <v>3701</v>
      </c>
    </row>
    <row r="769" spans="1:18" x14ac:dyDescent="0.3">
      <c r="A769" t="s">
        <v>1789</v>
      </c>
      <c r="B769">
        <v>2022</v>
      </c>
      <c r="C769">
        <v>0.64981460033519811</v>
      </c>
      <c r="D769">
        <v>0</v>
      </c>
      <c r="E769">
        <v>106</v>
      </c>
      <c r="F769">
        <v>174</v>
      </c>
      <c r="G769">
        <v>1.1359672602670001E-3</v>
      </c>
      <c r="H769">
        <v>9</v>
      </c>
      <c r="I769">
        <v>6</v>
      </c>
      <c r="J769">
        <v>0.64646461698630242</v>
      </c>
      <c r="K769">
        <v>-0.27049134820727061</v>
      </c>
      <c r="L769">
        <v>429335679.01755577</v>
      </c>
      <c r="M769" t="s">
        <v>730</v>
      </c>
      <c r="N769" t="s">
        <v>731</v>
      </c>
      <c r="O769" t="s">
        <v>732</v>
      </c>
      <c r="P769">
        <v>7465</v>
      </c>
      <c r="Q769">
        <v>692</v>
      </c>
      <c r="R769">
        <v>6773</v>
      </c>
    </row>
    <row r="770" spans="1:18" x14ac:dyDescent="0.3">
      <c r="A770" t="s">
        <v>1790</v>
      </c>
      <c r="B770">
        <v>2022</v>
      </c>
      <c r="C770">
        <v>0.72996166066307966</v>
      </c>
      <c r="D770">
        <v>0</v>
      </c>
      <c r="E770">
        <v>93</v>
      </c>
      <c r="F770">
        <v>142</v>
      </c>
      <c r="G770">
        <v>6.7383131329790005E-4</v>
      </c>
      <c r="H770">
        <v>9</v>
      </c>
      <c r="I770">
        <v>0</v>
      </c>
      <c r="J770">
        <v>0.57814035478774661</v>
      </c>
      <c r="K770">
        <v>-0.2339673256724257</v>
      </c>
      <c r="L770">
        <v>963305715.7413044</v>
      </c>
      <c r="M770" t="s">
        <v>730</v>
      </c>
      <c r="N770" t="s">
        <v>731</v>
      </c>
      <c r="O770" t="s">
        <v>733</v>
      </c>
      <c r="P770">
        <v>8718</v>
      </c>
      <c r="Q770">
        <v>225</v>
      </c>
      <c r="R770">
        <v>8493</v>
      </c>
    </row>
    <row r="771" spans="1:18" x14ac:dyDescent="0.3">
      <c r="A771" t="s">
        <v>1791</v>
      </c>
      <c r="B771">
        <v>2022</v>
      </c>
      <c r="C771">
        <v>0.55906790147619689</v>
      </c>
      <c r="D771">
        <v>0</v>
      </c>
      <c r="E771">
        <v>2</v>
      </c>
      <c r="F771">
        <v>96</v>
      </c>
      <c r="G771">
        <v>1.3394434454282E-3</v>
      </c>
      <c r="H771">
        <v>5</v>
      </c>
      <c r="I771">
        <v>2</v>
      </c>
      <c r="J771">
        <v>0.52684517316310886</v>
      </c>
      <c r="K771">
        <v>-0.2399149020778851</v>
      </c>
      <c r="L771">
        <v>793394049.87602115</v>
      </c>
      <c r="M771" t="s">
        <v>730</v>
      </c>
      <c r="N771" t="s">
        <v>731</v>
      </c>
      <c r="O771" t="s">
        <v>734</v>
      </c>
      <c r="P771">
        <v>2179</v>
      </c>
      <c r="Q771">
        <v>628</v>
      </c>
      <c r="R771">
        <v>1551</v>
      </c>
    </row>
    <row r="772" spans="1:18" x14ac:dyDescent="0.3">
      <c r="A772" t="s">
        <v>1792</v>
      </c>
      <c r="B772">
        <v>2022</v>
      </c>
      <c r="C772">
        <v>0.54485172702069684</v>
      </c>
      <c r="D772">
        <v>0</v>
      </c>
      <c r="E772">
        <v>12</v>
      </c>
      <c r="F772">
        <v>105</v>
      </c>
      <c r="G772">
        <v>1.1573039615152001E-3</v>
      </c>
      <c r="H772">
        <v>5</v>
      </c>
      <c r="I772">
        <v>0</v>
      </c>
      <c r="J772">
        <v>0.50585025014384366</v>
      </c>
      <c r="K772">
        <v>-0.2325037715091135</v>
      </c>
      <c r="L772">
        <v>918943832.23936045</v>
      </c>
      <c r="M772" t="s">
        <v>730</v>
      </c>
      <c r="N772" t="s">
        <v>731</v>
      </c>
      <c r="O772" t="s">
        <v>737</v>
      </c>
      <c r="P772">
        <v>3527</v>
      </c>
      <c r="Q772">
        <v>663</v>
      </c>
      <c r="R772">
        <v>2864</v>
      </c>
    </row>
    <row r="773" spans="1:18" x14ac:dyDescent="0.3">
      <c r="A773" t="s">
        <v>1793</v>
      </c>
      <c r="B773">
        <v>2022</v>
      </c>
      <c r="C773">
        <v>1.0953312719169459</v>
      </c>
      <c r="D773">
        <v>0</v>
      </c>
      <c r="E773">
        <v>36</v>
      </c>
      <c r="F773">
        <v>155</v>
      </c>
      <c r="G773">
        <v>1.9250885029624999E-3</v>
      </c>
      <c r="H773">
        <v>6</v>
      </c>
      <c r="I773">
        <v>1</v>
      </c>
      <c r="J773">
        <v>0.61639726539829032</v>
      </c>
      <c r="K773">
        <v>-0.25566591293389468</v>
      </c>
      <c r="L773">
        <v>162386011.32969889</v>
      </c>
      <c r="M773" t="s">
        <v>730</v>
      </c>
      <c r="N773" t="s">
        <v>731</v>
      </c>
      <c r="O773" t="s">
        <v>738</v>
      </c>
      <c r="P773">
        <v>7280</v>
      </c>
      <c r="Q773">
        <v>2285</v>
      </c>
      <c r="R773">
        <v>4995</v>
      </c>
    </row>
    <row r="774" spans="1:18" x14ac:dyDescent="0.3">
      <c r="A774" t="s">
        <v>1794</v>
      </c>
      <c r="B774">
        <v>2022</v>
      </c>
      <c r="C774">
        <v>0.57709660649718586</v>
      </c>
      <c r="D774">
        <v>0</v>
      </c>
      <c r="E774">
        <v>168</v>
      </c>
      <c r="F774">
        <v>194</v>
      </c>
      <c r="G774">
        <v>4.7729328445770002E-4</v>
      </c>
      <c r="H774">
        <v>14</v>
      </c>
      <c r="I774">
        <v>1</v>
      </c>
      <c r="J774">
        <v>0.59130459298515392</v>
      </c>
      <c r="K774">
        <v>-0.26653416366965149</v>
      </c>
      <c r="L774">
        <v>1531555252.4703519</v>
      </c>
      <c r="M774" t="s">
        <v>730</v>
      </c>
      <c r="N774" t="s">
        <v>739</v>
      </c>
      <c r="O774" t="s">
        <v>740</v>
      </c>
      <c r="P774">
        <v>6879</v>
      </c>
      <c r="Q774">
        <v>674</v>
      </c>
      <c r="R774">
        <v>6205</v>
      </c>
    </row>
    <row r="775" spans="1:18" x14ac:dyDescent="0.3">
      <c r="A775" t="s">
        <v>1795</v>
      </c>
      <c r="B775">
        <v>2022</v>
      </c>
      <c r="C775">
        <v>0.58994539306499361</v>
      </c>
      <c r="D775">
        <v>0</v>
      </c>
      <c r="E775">
        <v>135</v>
      </c>
      <c r="F775">
        <v>41</v>
      </c>
      <c r="G775">
        <v>1.1279357713649999E-3</v>
      </c>
      <c r="H775">
        <v>1</v>
      </c>
      <c r="I775">
        <v>0</v>
      </c>
      <c r="J775">
        <v>0.60546656516932795</v>
      </c>
      <c r="K775">
        <v>-0.23820735820348099</v>
      </c>
      <c r="L775">
        <v>392965897.0310505</v>
      </c>
      <c r="M775" t="s">
        <v>730</v>
      </c>
      <c r="N775" t="s">
        <v>739</v>
      </c>
      <c r="O775" t="s">
        <v>742</v>
      </c>
      <c r="P775">
        <v>2633</v>
      </c>
      <c r="Q775">
        <v>152</v>
      </c>
      <c r="R775">
        <v>2481</v>
      </c>
    </row>
    <row r="776" spans="1:18" x14ac:dyDescent="0.3">
      <c r="A776" t="s">
        <v>1796</v>
      </c>
      <c r="B776">
        <v>2022</v>
      </c>
      <c r="C776">
        <v>0.55456740876849153</v>
      </c>
      <c r="D776">
        <v>0</v>
      </c>
      <c r="E776">
        <v>25</v>
      </c>
      <c r="F776">
        <v>58</v>
      </c>
      <c r="G776">
        <v>2.6549631556132998E-3</v>
      </c>
      <c r="H776">
        <v>3</v>
      </c>
      <c r="I776">
        <v>0</v>
      </c>
      <c r="J776">
        <v>0.4964577177229848</v>
      </c>
      <c r="K776">
        <v>-0.24487730437171359</v>
      </c>
      <c r="L776">
        <v>818879900.57068932</v>
      </c>
      <c r="M776" t="s">
        <v>730</v>
      </c>
      <c r="N776" t="s">
        <v>743</v>
      </c>
      <c r="O776" t="s">
        <v>746</v>
      </c>
      <c r="P776">
        <v>697</v>
      </c>
      <c r="Q776">
        <v>450</v>
      </c>
      <c r="R776">
        <v>247</v>
      </c>
    </row>
    <row r="777" spans="1:18" x14ac:dyDescent="0.3">
      <c r="A777" t="s">
        <v>1797</v>
      </c>
      <c r="B777">
        <v>2022</v>
      </c>
      <c r="C777">
        <v>0.60631659728456477</v>
      </c>
      <c r="D777">
        <v>0</v>
      </c>
      <c r="E777">
        <v>8</v>
      </c>
      <c r="F777">
        <v>45</v>
      </c>
      <c r="G777">
        <v>2.4690613647667999E-3</v>
      </c>
      <c r="H777">
        <v>1</v>
      </c>
      <c r="I777">
        <v>0</v>
      </c>
      <c r="J777">
        <v>0.55938463528628801</v>
      </c>
      <c r="K777">
        <v>-0.25637659429308018</v>
      </c>
      <c r="L777">
        <v>127024934.05733819</v>
      </c>
      <c r="M777" t="s">
        <v>730</v>
      </c>
      <c r="N777" t="s">
        <v>743</v>
      </c>
      <c r="O777" t="s">
        <v>747</v>
      </c>
      <c r="P777">
        <v>585</v>
      </c>
      <c r="Q777">
        <v>291</v>
      </c>
      <c r="R777">
        <v>294</v>
      </c>
    </row>
    <row r="778" spans="1:18" x14ac:dyDescent="0.3">
      <c r="A778" t="s">
        <v>1798</v>
      </c>
      <c r="B778">
        <v>2022</v>
      </c>
      <c r="C778">
        <v>0.51059774094061094</v>
      </c>
      <c r="D778">
        <v>0</v>
      </c>
      <c r="E778">
        <v>28</v>
      </c>
      <c r="F778">
        <v>54</v>
      </c>
      <c r="G778">
        <v>1.6934776670835001E-3</v>
      </c>
      <c r="H778">
        <v>15</v>
      </c>
      <c r="I778">
        <v>1</v>
      </c>
      <c r="J778">
        <v>0.48870707676280639</v>
      </c>
      <c r="K778">
        <v>-0.22531593904936589</v>
      </c>
      <c r="L778">
        <v>480777489.04022533</v>
      </c>
      <c r="M778" t="s">
        <v>730</v>
      </c>
      <c r="N778" t="s">
        <v>748</v>
      </c>
      <c r="O778" t="s">
        <v>750</v>
      </c>
      <c r="P778">
        <v>471</v>
      </c>
      <c r="Q778">
        <v>137</v>
      </c>
      <c r="R778">
        <v>334</v>
      </c>
    </row>
    <row r="779" spans="1:18" x14ac:dyDescent="0.3">
      <c r="A779" t="s">
        <v>1799</v>
      </c>
      <c r="B779">
        <v>2022</v>
      </c>
      <c r="C779">
        <v>0.98314130481007644</v>
      </c>
      <c r="D779">
        <v>0</v>
      </c>
      <c r="E779">
        <v>149</v>
      </c>
      <c r="F779">
        <v>184</v>
      </c>
      <c r="G779">
        <v>4.10314067957E-4</v>
      </c>
      <c r="H779">
        <v>6</v>
      </c>
      <c r="I779">
        <v>0</v>
      </c>
      <c r="J779">
        <v>0.44082964371240418</v>
      </c>
      <c r="K779">
        <v>-0.28736407298795752</v>
      </c>
      <c r="L779">
        <v>315333821.58113861</v>
      </c>
      <c r="M779" t="s">
        <v>730</v>
      </c>
      <c r="N779" t="s">
        <v>748</v>
      </c>
      <c r="O779" t="s">
        <v>752</v>
      </c>
      <c r="P779">
        <v>635</v>
      </c>
      <c r="Q779">
        <v>424</v>
      </c>
      <c r="R779">
        <v>211</v>
      </c>
    </row>
    <row r="780" spans="1:18" x14ac:dyDescent="0.3">
      <c r="A780" t="s">
        <v>1800</v>
      </c>
      <c r="B780">
        <v>2022</v>
      </c>
      <c r="C780">
        <v>0.53045600996637765</v>
      </c>
      <c r="D780">
        <v>0</v>
      </c>
      <c r="E780">
        <v>2</v>
      </c>
      <c r="F780">
        <v>29</v>
      </c>
      <c r="G780">
        <v>3.3276751651231998E-3</v>
      </c>
      <c r="H780">
        <v>4</v>
      </c>
      <c r="I780">
        <v>0</v>
      </c>
      <c r="J780">
        <v>0.59797183968199441</v>
      </c>
      <c r="K780">
        <v>-0.2439959576339652</v>
      </c>
      <c r="L780">
        <v>285719813.62933612</v>
      </c>
      <c r="M780" t="s">
        <v>730</v>
      </c>
      <c r="N780" t="s">
        <v>748</v>
      </c>
      <c r="O780" t="s">
        <v>754</v>
      </c>
      <c r="P780">
        <v>132</v>
      </c>
      <c r="Q780">
        <v>67</v>
      </c>
      <c r="R780">
        <v>65</v>
      </c>
    </row>
    <row r="781" spans="1:18" x14ac:dyDescent="0.3">
      <c r="A781" t="s">
        <v>1801</v>
      </c>
      <c r="B781">
        <v>2022</v>
      </c>
      <c r="C781">
        <v>0.53720274934939893</v>
      </c>
      <c r="D781">
        <v>0</v>
      </c>
      <c r="E781">
        <v>22</v>
      </c>
      <c r="F781">
        <v>50</v>
      </c>
      <c r="G781">
        <v>3.2462855496562999E-3</v>
      </c>
      <c r="H781">
        <v>6</v>
      </c>
      <c r="I781">
        <v>2</v>
      </c>
      <c r="J781">
        <v>0.6908520161632945</v>
      </c>
      <c r="K781">
        <v>-0.27409857375806479</v>
      </c>
      <c r="L781">
        <v>453452020.2999844</v>
      </c>
      <c r="M781" t="s">
        <v>756</v>
      </c>
      <c r="N781" t="s">
        <v>756</v>
      </c>
      <c r="O781" t="s">
        <v>758</v>
      </c>
      <c r="P781">
        <v>2689</v>
      </c>
      <c r="Q781">
        <v>34</v>
      </c>
      <c r="R781">
        <v>2655</v>
      </c>
    </row>
    <row r="782" spans="1:18" x14ac:dyDescent="0.3">
      <c r="A782" t="s">
        <v>1802</v>
      </c>
      <c r="B782">
        <v>2022</v>
      </c>
      <c r="C782">
        <v>0.86254533176971748</v>
      </c>
      <c r="D782">
        <v>0</v>
      </c>
      <c r="E782">
        <v>10</v>
      </c>
      <c r="F782">
        <v>77</v>
      </c>
      <c r="G782">
        <v>1.3782249766026999E-3</v>
      </c>
      <c r="H782">
        <v>1</v>
      </c>
      <c r="I782">
        <v>4</v>
      </c>
      <c r="J782">
        <v>0.6117326129223406</v>
      </c>
      <c r="K782">
        <v>-0.2761817930655957</v>
      </c>
      <c r="L782">
        <v>94631515.101365402</v>
      </c>
      <c r="M782" t="s">
        <v>756</v>
      </c>
      <c r="N782" t="s">
        <v>756</v>
      </c>
      <c r="O782" t="s">
        <v>667</v>
      </c>
      <c r="P782">
        <v>1402</v>
      </c>
      <c r="Q782">
        <v>376</v>
      </c>
      <c r="R782">
        <v>1026</v>
      </c>
    </row>
    <row r="783" spans="1:18" x14ac:dyDescent="0.3">
      <c r="A783" t="s">
        <v>1803</v>
      </c>
      <c r="B783">
        <v>2022</v>
      </c>
      <c r="C783">
        <v>1.2802278100879469</v>
      </c>
      <c r="D783">
        <v>0</v>
      </c>
      <c r="E783">
        <v>10</v>
      </c>
      <c r="F783">
        <v>74</v>
      </c>
      <c r="G783">
        <v>1.8365012980725E-3</v>
      </c>
      <c r="H783">
        <v>3</v>
      </c>
      <c r="I783">
        <v>2</v>
      </c>
      <c r="J783">
        <v>0.68082413830850541</v>
      </c>
      <c r="K783">
        <v>-0.3266627836076304</v>
      </c>
      <c r="L783">
        <v>71076966.075193718</v>
      </c>
      <c r="M783" t="s">
        <v>756</v>
      </c>
      <c r="N783" t="s">
        <v>756</v>
      </c>
      <c r="O783" t="s">
        <v>759</v>
      </c>
      <c r="P783">
        <v>1642</v>
      </c>
      <c r="Q783">
        <v>789</v>
      </c>
      <c r="R783">
        <v>853</v>
      </c>
    </row>
    <row r="784" spans="1:18" x14ac:dyDescent="0.3">
      <c r="A784" t="s">
        <v>1804</v>
      </c>
      <c r="B784">
        <v>2022</v>
      </c>
      <c r="C784">
        <v>0.76954743750627264</v>
      </c>
      <c r="D784">
        <v>0</v>
      </c>
      <c r="E784">
        <v>13</v>
      </c>
      <c r="F784">
        <v>27</v>
      </c>
      <c r="G784">
        <v>4.8543689320387998E-3</v>
      </c>
      <c r="H784">
        <v>3</v>
      </c>
      <c r="I784">
        <v>0</v>
      </c>
      <c r="J784">
        <v>0.67854333891946106</v>
      </c>
      <c r="K784">
        <v>-0.27996126059957938</v>
      </c>
      <c r="L784">
        <v>55175775.681451783</v>
      </c>
      <c r="M784" t="s">
        <v>756</v>
      </c>
      <c r="N784" t="s">
        <v>756</v>
      </c>
      <c r="O784" t="s">
        <v>760</v>
      </c>
      <c r="P784">
        <v>284</v>
      </c>
      <c r="Q784">
        <v>33</v>
      </c>
      <c r="R784">
        <v>251</v>
      </c>
    </row>
    <row r="785" spans="1:18" x14ac:dyDescent="0.3">
      <c r="A785" t="s">
        <v>1805</v>
      </c>
      <c r="B785">
        <v>2022</v>
      </c>
      <c r="C785">
        <v>0.4895999445933904</v>
      </c>
      <c r="D785">
        <v>0</v>
      </c>
      <c r="E785">
        <v>26</v>
      </c>
      <c r="F785">
        <v>0</v>
      </c>
      <c r="G785">
        <v>0</v>
      </c>
      <c r="H785">
        <v>0</v>
      </c>
      <c r="I785">
        <v>0</v>
      </c>
      <c r="J785">
        <v>0.61074068359175504</v>
      </c>
      <c r="K785">
        <v>-0.2405848138961155</v>
      </c>
      <c r="L785">
        <v>1098255302.585052</v>
      </c>
      <c r="M785" t="s">
        <v>756</v>
      </c>
      <c r="N785" t="s">
        <v>756</v>
      </c>
      <c r="O785" t="s">
        <v>761</v>
      </c>
      <c r="P785">
        <v>457</v>
      </c>
      <c r="Q785">
        <v>0</v>
      </c>
      <c r="R785">
        <v>457</v>
      </c>
    </row>
    <row r="786" spans="1:18" x14ac:dyDescent="0.3">
      <c r="A786" t="s">
        <v>1806</v>
      </c>
      <c r="B786">
        <v>2022</v>
      </c>
      <c r="C786">
        <v>0.45139074369233928</v>
      </c>
      <c r="D786">
        <v>0</v>
      </c>
      <c r="E786">
        <v>89</v>
      </c>
      <c r="F786">
        <v>3</v>
      </c>
      <c r="G786">
        <v>0.2</v>
      </c>
      <c r="H786">
        <v>3</v>
      </c>
      <c r="I786">
        <v>20</v>
      </c>
      <c r="J786">
        <v>0.6152507546406164</v>
      </c>
      <c r="K786">
        <v>-0.24604967998387939</v>
      </c>
      <c r="L786">
        <v>2855782275.3515348</v>
      </c>
      <c r="M786" t="s">
        <v>756</v>
      </c>
      <c r="N786" t="s">
        <v>756</v>
      </c>
      <c r="O786" t="s">
        <v>763</v>
      </c>
      <c r="P786">
        <v>4072</v>
      </c>
      <c r="Q786">
        <v>20</v>
      </c>
      <c r="R786">
        <v>4052</v>
      </c>
    </row>
    <row r="787" spans="1:18" x14ac:dyDescent="0.3">
      <c r="A787" t="s">
        <v>1807</v>
      </c>
      <c r="B787">
        <v>2022</v>
      </c>
      <c r="C787">
        <v>0.50301813537065609</v>
      </c>
      <c r="D787">
        <v>0</v>
      </c>
      <c r="E787">
        <v>26</v>
      </c>
      <c r="F787">
        <v>56</v>
      </c>
      <c r="G787">
        <v>1.8015787226410001E-3</v>
      </c>
      <c r="H787">
        <v>1</v>
      </c>
      <c r="I787">
        <v>6</v>
      </c>
      <c r="J787">
        <v>0.65453235224428419</v>
      </c>
      <c r="K787">
        <v>-0.25652102547077699</v>
      </c>
      <c r="L787">
        <v>1026353122.979234</v>
      </c>
      <c r="M787" t="s">
        <v>756</v>
      </c>
      <c r="N787" t="s">
        <v>756</v>
      </c>
      <c r="O787" t="s">
        <v>54</v>
      </c>
      <c r="P787">
        <v>7679</v>
      </c>
      <c r="Q787">
        <v>270</v>
      </c>
      <c r="R787">
        <v>7409</v>
      </c>
    </row>
    <row r="788" spans="1:18" x14ac:dyDescent="0.3">
      <c r="A788" t="s">
        <v>1808</v>
      </c>
      <c r="B788">
        <v>2022</v>
      </c>
      <c r="C788">
        <v>0.71943905611527459</v>
      </c>
      <c r="D788">
        <v>0</v>
      </c>
      <c r="E788">
        <v>1</v>
      </c>
      <c r="F788">
        <v>46</v>
      </c>
      <c r="G788">
        <v>1.4133876074173999E-3</v>
      </c>
      <c r="H788">
        <v>10</v>
      </c>
      <c r="I788">
        <v>1</v>
      </c>
      <c r="J788">
        <v>0.68451661798684216</v>
      </c>
      <c r="K788">
        <v>-0.30790982292295688</v>
      </c>
      <c r="L788">
        <v>104862768.75322931</v>
      </c>
      <c r="M788" t="s">
        <v>756</v>
      </c>
      <c r="N788" t="s">
        <v>756</v>
      </c>
      <c r="O788" t="s">
        <v>764</v>
      </c>
      <c r="P788">
        <v>1187</v>
      </c>
      <c r="Q788">
        <v>274</v>
      </c>
      <c r="R788">
        <v>913</v>
      </c>
    </row>
    <row r="789" spans="1:18" x14ac:dyDescent="0.3">
      <c r="A789" t="s">
        <v>1809</v>
      </c>
      <c r="B789">
        <v>2022</v>
      </c>
      <c r="C789">
        <v>1.110112814751981</v>
      </c>
      <c r="D789">
        <v>0</v>
      </c>
      <c r="E789">
        <v>1</v>
      </c>
      <c r="F789">
        <v>102</v>
      </c>
      <c r="G789">
        <v>9.7841089489029997E-4</v>
      </c>
      <c r="H789">
        <v>3</v>
      </c>
      <c r="I789">
        <v>1</v>
      </c>
      <c r="J789">
        <v>0.70403676142578087</v>
      </c>
      <c r="K789">
        <v>-0.31635250370195178</v>
      </c>
      <c r="L789">
        <v>170026379.63544369</v>
      </c>
      <c r="M789" t="s">
        <v>756</v>
      </c>
      <c r="N789" t="s">
        <v>756</v>
      </c>
      <c r="O789" t="s">
        <v>765</v>
      </c>
      <c r="P789">
        <v>2354</v>
      </c>
      <c r="Q789">
        <v>995</v>
      </c>
      <c r="R789">
        <v>1359</v>
      </c>
    </row>
    <row r="790" spans="1:18" x14ac:dyDescent="0.3">
      <c r="A790" t="s">
        <v>1810</v>
      </c>
      <c r="B790">
        <v>2022</v>
      </c>
      <c r="C790">
        <v>0.65760728497566268</v>
      </c>
      <c r="D790">
        <v>0</v>
      </c>
      <c r="E790">
        <v>3</v>
      </c>
      <c r="F790">
        <v>37</v>
      </c>
      <c r="G790">
        <v>1.640656262505E-3</v>
      </c>
      <c r="H790">
        <v>1</v>
      </c>
      <c r="I790">
        <v>2</v>
      </c>
      <c r="J790">
        <v>0.6381820064863597</v>
      </c>
      <c r="K790">
        <v>-0.25430795629741709</v>
      </c>
      <c r="L790">
        <v>237282249.60357249</v>
      </c>
      <c r="M790" t="s">
        <v>756</v>
      </c>
      <c r="N790" t="s">
        <v>756</v>
      </c>
      <c r="O790" t="s">
        <v>426</v>
      </c>
      <c r="P790">
        <v>1288</v>
      </c>
      <c r="Q790">
        <v>672</v>
      </c>
      <c r="R790">
        <v>616</v>
      </c>
    </row>
    <row r="791" spans="1:18" x14ac:dyDescent="0.3">
      <c r="A791" t="s">
        <v>1811</v>
      </c>
      <c r="B791">
        <v>2022</v>
      </c>
      <c r="C791">
        <v>0.89146730642550231</v>
      </c>
      <c r="D791">
        <v>0</v>
      </c>
      <c r="E791">
        <v>7</v>
      </c>
      <c r="F791">
        <v>88</v>
      </c>
      <c r="G791">
        <v>1.1473461160783E-3</v>
      </c>
      <c r="H791">
        <v>15</v>
      </c>
      <c r="I791">
        <v>0</v>
      </c>
      <c r="J791">
        <v>0.64928720179567934</v>
      </c>
      <c r="K791">
        <v>-0.29964368876045427</v>
      </c>
      <c r="L791">
        <v>136332825.26503551</v>
      </c>
      <c r="M791" t="s">
        <v>756</v>
      </c>
      <c r="N791" t="s">
        <v>766</v>
      </c>
      <c r="O791" t="s">
        <v>767</v>
      </c>
      <c r="P791">
        <v>3605</v>
      </c>
      <c r="Q791">
        <v>440</v>
      </c>
      <c r="R791">
        <v>3165</v>
      </c>
    </row>
    <row r="792" spans="1:18" x14ac:dyDescent="0.3">
      <c r="A792" t="s">
        <v>1812</v>
      </c>
      <c r="B792">
        <v>2022</v>
      </c>
      <c r="C792">
        <v>0.49680240377974261</v>
      </c>
      <c r="D792">
        <v>0</v>
      </c>
      <c r="E792">
        <v>117</v>
      </c>
      <c r="F792">
        <v>64</v>
      </c>
      <c r="G792">
        <v>1.4285670397325E-3</v>
      </c>
      <c r="H792">
        <v>12</v>
      </c>
      <c r="I792">
        <v>6</v>
      </c>
      <c r="J792">
        <v>0.59942544357849459</v>
      </c>
      <c r="K792">
        <v>-0.22818757241625581</v>
      </c>
      <c r="L792">
        <v>8219493298.7348366</v>
      </c>
      <c r="M792" t="s">
        <v>756</v>
      </c>
      <c r="N792" t="s">
        <v>770</v>
      </c>
      <c r="O792" t="s">
        <v>771</v>
      </c>
      <c r="P792">
        <v>3844</v>
      </c>
      <c r="Q792">
        <v>115</v>
      </c>
      <c r="R792">
        <v>3729</v>
      </c>
    </row>
    <row r="793" spans="1:18" x14ac:dyDescent="0.3">
      <c r="A793" t="s">
        <v>1813</v>
      </c>
      <c r="B793">
        <v>2022</v>
      </c>
      <c r="C793">
        <v>4.1391415044661626</v>
      </c>
      <c r="D793">
        <v>0</v>
      </c>
      <c r="E793">
        <v>7</v>
      </c>
      <c r="F793">
        <v>110</v>
      </c>
      <c r="G793">
        <v>7.1122364561650002E-4</v>
      </c>
      <c r="H793">
        <v>5</v>
      </c>
      <c r="I793">
        <v>3</v>
      </c>
      <c r="J793">
        <v>0.54923407808496916</v>
      </c>
      <c r="K793">
        <v>-0.25469258463185218</v>
      </c>
      <c r="L793">
        <v>70300295.810930669</v>
      </c>
      <c r="M793" t="s">
        <v>652</v>
      </c>
      <c r="N793" t="s">
        <v>772</v>
      </c>
      <c r="O793" t="s">
        <v>295</v>
      </c>
      <c r="P793">
        <v>1446</v>
      </c>
      <c r="Q793">
        <v>890</v>
      </c>
      <c r="R793">
        <v>556</v>
      </c>
    </row>
    <row r="794" spans="1:18" x14ac:dyDescent="0.3">
      <c r="A794" t="s">
        <v>1814</v>
      </c>
      <c r="B794">
        <v>2022</v>
      </c>
      <c r="C794">
        <v>0.81213088239744746</v>
      </c>
      <c r="D794">
        <v>0</v>
      </c>
      <c r="E794">
        <v>2</v>
      </c>
      <c r="F794">
        <v>109</v>
      </c>
      <c r="G794">
        <v>3.5285793170180001E-4</v>
      </c>
      <c r="H794">
        <v>3</v>
      </c>
      <c r="I794">
        <v>10</v>
      </c>
      <c r="L794">
        <v>120941885.94146471</v>
      </c>
      <c r="M794" t="s">
        <v>652</v>
      </c>
      <c r="N794" t="s">
        <v>772</v>
      </c>
      <c r="O794" t="s">
        <v>781</v>
      </c>
      <c r="P794">
        <v>1704</v>
      </c>
      <c r="Q794">
        <v>550</v>
      </c>
      <c r="R794">
        <v>1154</v>
      </c>
    </row>
    <row r="795" spans="1:18" x14ac:dyDescent="0.3">
      <c r="A795" t="s">
        <v>1815</v>
      </c>
      <c r="B795">
        <v>2022</v>
      </c>
      <c r="C795">
        <v>0.98806523887974362</v>
      </c>
      <c r="D795">
        <v>0</v>
      </c>
      <c r="E795">
        <v>280</v>
      </c>
      <c r="F795">
        <v>291</v>
      </c>
      <c r="G795">
        <v>1.521108761442E-4</v>
      </c>
      <c r="H795">
        <v>13</v>
      </c>
      <c r="I795">
        <v>4</v>
      </c>
      <c r="L795">
        <v>541895860.25428343</v>
      </c>
      <c r="M795" t="s">
        <v>652</v>
      </c>
      <c r="N795" t="s">
        <v>772</v>
      </c>
      <c r="O795" t="s">
        <v>786</v>
      </c>
      <c r="P795">
        <v>1959</v>
      </c>
      <c r="Q795">
        <v>1061</v>
      </c>
      <c r="R795">
        <v>898</v>
      </c>
    </row>
    <row r="796" spans="1:18" x14ac:dyDescent="0.3">
      <c r="A796" t="s">
        <v>1816</v>
      </c>
      <c r="B796">
        <v>2022</v>
      </c>
      <c r="C796">
        <v>0.80961961067062882</v>
      </c>
      <c r="D796">
        <v>0</v>
      </c>
      <c r="E796">
        <v>25</v>
      </c>
      <c r="F796">
        <v>149</v>
      </c>
      <c r="G796">
        <v>2.67522643817E-4</v>
      </c>
      <c r="H796">
        <v>8</v>
      </c>
      <c r="I796">
        <v>8</v>
      </c>
      <c r="L796">
        <v>245992331.976798</v>
      </c>
      <c r="M796" t="s">
        <v>652</v>
      </c>
      <c r="N796" t="s">
        <v>772</v>
      </c>
      <c r="O796" t="s">
        <v>787</v>
      </c>
      <c r="P796">
        <v>2958</v>
      </c>
      <c r="Q796">
        <v>1780</v>
      </c>
      <c r="R796">
        <v>1178</v>
      </c>
    </row>
    <row r="797" spans="1:18" x14ac:dyDescent="0.3">
      <c r="A797" t="s">
        <v>1817</v>
      </c>
      <c r="B797">
        <v>2022</v>
      </c>
      <c r="C797">
        <v>0.97408810260856959</v>
      </c>
      <c r="D797">
        <v>0</v>
      </c>
      <c r="E797">
        <v>17</v>
      </c>
      <c r="F797">
        <v>158</v>
      </c>
      <c r="G797">
        <v>3.813793254951E-4</v>
      </c>
      <c r="H797">
        <v>2</v>
      </c>
      <c r="I797">
        <v>8</v>
      </c>
      <c r="L797">
        <v>125280064.8017083</v>
      </c>
      <c r="M797" t="s">
        <v>652</v>
      </c>
      <c r="N797" t="s">
        <v>772</v>
      </c>
      <c r="O797" t="s">
        <v>788</v>
      </c>
      <c r="P797">
        <v>2774</v>
      </c>
      <c r="Q797">
        <v>1649</v>
      </c>
      <c r="R797">
        <v>1125</v>
      </c>
    </row>
    <row r="798" spans="1:18" x14ac:dyDescent="0.3">
      <c r="A798" t="s">
        <v>1818</v>
      </c>
      <c r="B798">
        <v>2022</v>
      </c>
      <c r="C798">
        <v>0.75307004458725468</v>
      </c>
      <c r="D798">
        <v>0</v>
      </c>
      <c r="E798">
        <v>577</v>
      </c>
      <c r="F798">
        <v>258</v>
      </c>
      <c r="G798">
        <v>1.9107297990849999E-4</v>
      </c>
      <c r="H798">
        <v>4</v>
      </c>
      <c r="I798">
        <v>8</v>
      </c>
      <c r="L798">
        <v>346530576.59557348</v>
      </c>
      <c r="M798" t="s">
        <v>652</v>
      </c>
      <c r="N798" t="s">
        <v>772</v>
      </c>
      <c r="O798" t="s">
        <v>791</v>
      </c>
      <c r="P798">
        <v>3896</v>
      </c>
      <c r="Q798">
        <v>1575</v>
      </c>
      <c r="R798">
        <v>2321</v>
      </c>
    </row>
    <row r="799" spans="1:18" x14ac:dyDescent="0.3">
      <c r="A799" t="s">
        <v>1819</v>
      </c>
      <c r="B799">
        <v>2022</v>
      </c>
      <c r="C799">
        <v>5.8537964563653144</v>
      </c>
      <c r="D799">
        <v>0</v>
      </c>
      <c r="E799">
        <v>34</v>
      </c>
      <c r="F799">
        <v>60</v>
      </c>
      <c r="G799">
        <v>1.5573510155841E-3</v>
      </c>
      <c r="H799">
        <v>2</v>
      </c>
      <c r="I799">
        <v>2</v>
      </c>
      <c r="L799">
        <v>9825844.7440294344</v>
      </c>
      <c r="M799" t="s">
        <v>652</v>
      </c>
      <c r="N799" t="s">
        <v>772</v>
      </c>
      <c r="O799" t="s">
        <v>792</v>
      </c>
      <c r="P799">
        <v>704</v>
      </c>
      <c r="Q799">
        <v>527</v>
      </c>
      <c r="R799">
        <v>177</v>
      </c>
    </row>
    <row r="800" spans="1:18" x14ac:dyDescent="0.3">
      <c r="A800" t="s">
        <v>1820</v>
      </c>
      <c r="B800">
        <v>2022</v>
      </c>
      <c r="C800">
        <v>1.001314564766143</v>
      </c>
      <c r="D800">
        <v>0</v>
      </c>
      <c r="E800">
        <v>1</v>
      </c>
      <c r="F800">
        <v>276</v>
      </c>
      <c r="G800">
        <v>1.701772244407E-4</v>
      </c>
      <c r="H800">
        <v>10</v>
      </c>
      <c r="I800">
        <v>12</v>
      </c>
      <c r="L800">
        <v>294462787.91670787</v>
      </c>
      <c r="M800" t="s">
        <v>652</v>
      </c>
      <c r="N800" t="s">
        <v>772</v>
      </c>
      <c r="O800" t="s">
        <v>798</v>
      </c>
      <c r="P800">
        <v>5581</v>
      </c>
      <c r="Q800">
        <v>3094</v>
      </c>
      <c r="R800">
        <v>2487</v>
      </c>
    </row>
    <row r="801" spans="1:18" x14ac:dyDescent="0.3">
      <c r="A801" t="s">
        <v>1821</v>
      </c>
      <c r="B801">
        <v>2022</v>
      </c>
      <c r="C801">
        <v>6.9661621836815399</v>
      </c>
      <c r="D801">
        <v>0</v>
      </c>
      <c r="E801">
        <v>6</v>
      </c>
      <c r="F801">
        <v>223</v>
      </c>
      <c r="G801">
        <v>1.0324837581209001E-3</v>
      </c>
      <c r="H801">
        <v>3</v>
      </c>
      <c r="I801">
        <v>3</v>
      </c>
      <c r="J801">
        <v>0.47100809118643072</v>
      </c>
      <c r="K801">
        <v>-0.32547547458177112</v>
      </c>
      <c r="L801">
        <v>34578032.36276263</v>
      </c>
      <c r="M801" t="s">
        <v>652</v>
      </c>
      <c r="N801" t="s">
        <v>803</v>
      </c>
      <c r="O801" t="s">
        <v>804</v>
      </c>
      <c r="P801">
        <v>7850</v>
      </c>
      <c r="Q801">
        <v>6245</v>
      </c>
      <c r="R801">
        <v>1605</v>
      </c>
    </row>
    <row r="802" spans="1:18" x14ac:dyDescent="0.3">
      <c r="A802" t="s">
        <v>1822</v>
      </c>
      <c r="B802">
        <v>2022</v>
      </c>
      <c r="C802">
        <v>0.98960998817708523</v>
      </c>
      <c r="D802">
        <v>0</v>
      </c>
      <c r="E802">
        <v>3791</v>
      </c>
      <c r="F802">
        <v>345</v>
      </c>
      <c r="G802">
        <v>2.3436037469220001E-4</v>
      </c>
      <c r="H802">
        <v>6</v>
      </c>
      <c r="I802">
        <v>4</v>
      </c>
      <c r="J802">
        <v>0.4609657130882725</v>
      </c>
      <c r="K802">
        <v>-0.26108145943233307</v>
      </c>
      <c r="L802">
        <v>399235029.82033598</v>
      </c>
      <c r="M802" t="s">
        <v>652</v>
      </c>
      <c r="N802" t="s">
        <v>803</v>
      </c>
      <c r="O802" t="s">
        <v>584</v>
      </c>
      <c r="P802">
        <v>6515</v>
      </c>
      <c r="Q802">
        <v>2870</v>
      </c>
      <c r="R802">
        <v>3645</v>
      </c>
    </row>
    <row r="803" spans="1:18" x14ac:dyDescent="0.3">
      <c r="A803" t="s">
        <v>1823</v>
      </c>
      <c r="B803">
        <v>2022</v>
      </c>
      <c r="C803">
        <v>0.81982556748750002</v>
      </c>
      <c r="D803">
        <v>0</v>
      </c>
      <c r="E803">
        <v>35</v>
      </c>
      <c r="F803">
        <v>196</v>
      </c>
      <c r="G803">
        <v>5.2336561917090002E-4</v>
      </c>
      <c r="H803">
        <v>10</v>
      </c>
      <c r="I803">
        <v>2</v>
      </c>
      <c r="L803">
        <v>142599812.30502471</v>
      </c>
      <c r="M803" t="s">
        <v>652</v>
      </c>
      <c r="N803" t="s">
        <v>809</v>
      </c>
      <c r="O803" t="s">
        <v>814</v>
      </c>
      <c r="P803">
        <v>1420</v>
      </c>
      <c r="Q803">
        <v>811</v>
      </c>
      <c r="R803">
        <v>609</v>
      </c>
    </row>
    <row r="804" spans="1:18" x14ac:dyDescent="0.3">
      <c r="A804" t="s">
        <v>1824</v>
      </c>
      <c r="B804">
        <v>2022</v>
      </c>
      <c r="C804">
        <v>0.74636794482974245</v>
      </c>
      <c r="D804">
        <v>0</v>
      </c>
      <c r="E804">
        <v>99</v>
      </c>
      <c r="F804">
        <v>235</v>
      </c>
      <c r="G804">
        <v>1.626412172917E-4</v>
      </c>
      <c r="H804">
        <v>19</v>
      </c>
      <c r="I804">
        <v>12</v>
      </c>
      <c r="L804">
        <v>493660561.22225642</v>
      </c>
      <c r="M804" t="s">
        <v>652</v>
      </c>
      <c r="N804" t="s">
        <v>809</v>
      </c>
      <c r="O804" t="s">
        <v>815</v>
      </c>
      <c r="P804">
        <v>3339</v>
      </c>
      <c r="Q804">
        <v>1279</v>
      </c>
      <c r="R804">
        <v>2060</v>
      </c>
    </row>
    <row r="805" spans="1:18" x14ac:dyDescent="0.3">
      <c r="A805" t="s">
        <v>1825</v>
      </c>
      <c r="B805">
        <v>2022</v>
      </c>
      <c r="C805">
        <v>3.4277930788521802</v>
      </c>
      <c r="D805">
        <v>0</v>
      </c>
      <c r="E805">
        <v>291</v>
      </c>
      <c r="F805">
        <v>190</v>
      </c>
      <c r="G805">
        <v>6.7929186717860003E-4</v>
      </c>
      <c r="H805">
        <v>4</v>
      </c>
      <c r="I805">
        <v>2</v>
      </c>
      <c r="J805">
        <v>0.42505060642863651</v>
      </c>
      <c r="K805">
        <v>-0.3088498887701181</v>
      </c>
      <c r="L805">
        <v>43254589.420010082</v>
      </c>
      <c r="M805" t="s">
        <v>652</v>
      </c>
      <c r="N805" t="s">
        <v>817</v>
      </c>
      <c r="O805" t="s">
        <v>821</v>
      </c>
      <c r="P805">
        <v>6290</v>
      </c>
      <c r="Q805">
        <v>1944</v>
      </c>
      <c r="R805">
        <v>4346</v>
      </c>
    </row>
    <row r="806" spans="1:18" x14ac:dyDescent="0.3">
      <c r="A806" t="s">
        <v>1826</v>
      </c>
      <c r="B806">
        <v>2022</v>
      </c>
      <c r="C806">
        <v>1.008866043220733</v>
      </c>
      <c r="D806">
        <v>0</v>
      </c>
      <c r="E806">
        <v>6</v>
      </c>
      <c r="F806">
        <v>75</v>
      </c>
      <c r="G806">
        <v>7.1402961392049997E-4</v>
      </c>
      <c r="H806">
        <v>11</v>
      </c>
      <c r="I806">
        <v>1</v>
      </c>
      <c r="L806">
        <v>42156378.943922587</v>
      </c>
      <c r="M806" t="s">
        <v>652</v>
      </c>
      <c r="N806" t="s">
        <v>822</v>
      </c>
      <c r="O806" t="s">
        <v>825</v>
      </c>
      <c r="P806">
        <v>657</v>
      </c>
      <c r="Q806">
        <v>455</v>
      </c>
      <c r="R806">
        <v>202</v>
      </c>
    </row>
    <row r="807" spans="1:18" x14ac:dyDescent="0.3">
      <c r="A807" t="s">
        <v>1827</v>
      </c>
      <c r="B807">
        <v>2022</v>
      </c>
      <c r="C807">
        <v>0.93586840576006558</v>
      </c>
      <c r="D807">
        <v>0</v>
      </c>
      <c r="E807">
        <v>69</v>
      </c>
      <c r="F807">
        <v>425</v>
      </c>
      <c r="G807">
        <v>1.216254369648E-4</v>
      </c>
      <c r="H807">
        <v>9</v>
      </c>
      <c r="I807">
        <v>29</v>
      </c>
      <c r="J807">
        <v>0.40948738788217548</v>
      </c>
      <c r="K807">
        <v>-0.20210641346199551</v>
      </c>
      <c r="L807">
        <v>586883559.0167613</v>
      </c>
      <c r="M807" t="s">
        <v>652</v>
      </c>
      <c r="N807" t="s">
        <v>826</v>
      </c>
      <c r="O807" t="s">
        <v>826</v>
      </c>
      <c r="P807">
        <v>10691</v>
      </c>
      <c r="Q807">
        <v>6156</v>
      </c>
      <c r="R807">
        <v>4535</v>
      </c>
    </row>
    <row r="808" spans="1:18" x14ac:dyDescent="0.3">
      <c r="A808" t="s">
        <v>1828</v>
      </c>
      <c r="B808">
        <v>2022</v>
      </c>
      <c r="C808">
        <v>0.91124930070642318</v>
      </c>
      <c r="D808">
        <v>0</v>
      </c>
      <c r="E808">
        <v>186</v>
      </c>
      <c r="F808">
        <v>348</v>
      </c>
      <c r="G808">
        <v>4.6826731847939999E-4</v>
      </c>
      <c r="H808">
        <v>9</v>
      </c>
      <c r="I808">
        <v>7</v>
      </c>
      <c r="L808">
        <v>268575062.33276671</v>
      </c>
      <c r="M808" t="s">
        <v>652</v>
      </c>
      <c r="N808" t="s">
        <v>826</v>
      </c>
      <c r="O808" t="s">
        <v>827</v>
      </c>
      <c r="P808">
        <v>2879</v>
      </c>
      <c r="Q808">
        <v>1610</v>
      </c>
      <c r="R808">
        <v>1269</v>
      </c>
    </row>
    <row r="809" spans="1:18" x14ac:dyDescent="0.3">
      <c r="A809" t="s">
        <v>1829</v>
      </c>
      <c r="B809">
        <v>2022</v>
      </c>
      <c r="C809">
        <v>0.93762546226592536</v>
      </c>
      <c r="D809">
        <v>0</v>
      </c>
      <c r="E809">
        <v>64</v>
      </c>
      <c r="F809">
        <v>787</v>
      </c>
      <c r="G809">
        <v>1.153662418598E-4</v>
      </c>
      <c r="H809">
        <v>6</v>
      </c>
      <c r="I809">
        <v>10</v>
      </c>
      <c r="J809">
        <v>0.34711767658851123</v>
      </c>
      <c r="K809">
        <v>-0.149945052723165</v>
      </c>
      <c r="L809">
        <v>618607086.65221083</v>
      </c>
      <c r="M809" t="s">
        <v>652</v>
      </c>
      <c r="N809" t="s">
        <v>828</v>
      </c>
      <c r="O809" t="s">
        <v>828</v>
      </c>
      <c r="P809">
        <v>15456</v>
      </c>
      <c r="Q809">
        <v>7274</v>
      </c>
      <c r="R809">
        <v>8182</v>
      </c>
    </row>
    <row r="810" spans="1:18" x14ac:dyDescent="0.3">
      <c r="A810" t="s">
        <v>1830</v>
      </c>
      <c r="B810">
        <v>2022</v>
      </c>
      <c r="C810">
        <v>0.9576925801299272</v>
      </c>
      <c r="D810">
        <v>0</v>
      </c>
      <c r="E810">
        <v>54</v>
      </c>
      <c r="F810">
        <v>144</v>
      </c>
      <c r="G810">
        <v>6.5967103646070004E-4</v>
      </c>
      <c r="H810">
        <v>9</v>
      </c>
      <c r="I810">
        <v>2</v>
      </c>
      <c r="J810">
        <v>0.3869909059765746</v>
      </c>
      <c r="K810">
        <v>-0.26210832355293567</v>
      </c>
      <c r="L810">
        <v>106049486.16446389</v>
      </c>
      <c r="M810" t="s">
        <v>830</v>
      </c>
      <c r="N810" t="s">
        <v>831</v>
      </c>
      <c r="O810" t="s">
        <v>69</v>
      </c>
      <c r="P810">
        <v>2035</v>
      </c>
      <c r="Q810">
        <v>242</v>
      </c>
      <c r="R810">
        <v>1793</v>
      </c>
    </row>
    <row r="811" spans="1:18" x14ac:dyDescent="0.3">
      <c r="A811" t="s">
        <v>1831</v>
      </c>
      <c r="B811">
        <v>2022</v>
      </c>
      <c r="C811">
        <v>3.3969790972014362</v>
      </c>
      <c r="D811">
        <v>0</v>
      </c>
      <c r="E811">
        <v>27</v>
      </c>
      <c r="F811">
        <v>31</v>
      </c>
      <c r="G811">
        <v>1.9436345966958E-3</v>
      </c>
      <c r="H811">
        <v>5</v>
      </c>
      <c r="I811">
        <v>0</v>
      </c>
      <c r="J811">
        <v>0.54671029303371721</v>
      </c>
      <c r="K811">
        <v>-0.26649032119562388</v>
      </c>
      <c r="L811">
        <v>8864364.257012818</v>
      </c>
      <c r="M811" t="s">
        <v>830</v>
      </c>
      <c r="N811" t="s">
        <v>846</v>
      </c>
      <c r="O811" t="s">
        <v>847</v>
      </c>
      <c r="P811">
        <v>343</v>
      </c>
      <c r="Q811">
        <v>184</v>
      </c>
      <c r="R811">
        <v>159</v>
      </c>
    </row>
    <row r="812" spans="1:18" x14ac:dyDescent="0.3">
      <c r="A812" t="s">
        <v>1832</v>
      </c>
      <c r="B812">
        <v>2022</v>
      </c>
      <c r="C812">
        <v>0.68509161050810063</v>
      </c>
      <c r="D812">
        <v>0</v>
      </c>
      <c r="E812">
        <v>38</v>
      </c>
      <c r="F812">
        <v>91</v>
      </c>
      <c r="G812">
        <v>1.4607374637424001E-3</v>
      </c>
      <c r="H812">
        <v>3</v>
      </c>
      <c r="I812">
        <v>1</v>
      </c>
      <c r="J812">
        <v>0.39162206328687599</v>
      </c>
      <c r="K812">
        <v>-0.1421502959961628</v>
      </c>
      <c r="L812">
        <v>629724353.10393226</v>
      </c>
      <c r="M812" t="s">
        <v>830</v>
      </c>
      <c r="N812" t="s">
        <v>846</v>
      </c>
      <c r="O812" t="s">
        <v>848</v>
      </c>
      <c r="P812">
        <v>1257</v>
      </c>
      <c r="Q812">
        <v>813</v>
      </c>
      <c r="R812">
        <v>444</v>
      </c>
    </row>
    <row r="813" spans="1:18" x14ac:dyDescent="0.3">
      <c r="A813" t="s">
        <v>1833</v>
      </c>
      <c r="B813">
        <v>2022</v>
      </c>
      <c r="C813">
        <v>0.78989556761082735</v>
      </c>
      <c r="D813">
        <v>0</v>
      </c>
      <c r="E813">
        <v>3</v>
      </c>
      <c r="F813">
        <v>88</v>
      </c>
      <c r="G813">
        <v>1.8484256864728999E-3</v>
      </c>
      <c r="H813">
        <v>11</v>
      </c>
      <c r="I813">
        <v>0</v>
      </c>
      <c r="J813">
        <v>0.40119496492597839</v>
      </c>
      <c r="K813">
        <v>-0.14735285215080149</v>
      </c>
      <c r="L813">
        <v>250255082.2428138</v>
      </c>
      <c r="M813" t="s">
        <v>830</v>
      </c>
      <c r="N813" t="s">
        <v>846</v>
      </c>
      <c r="O813" t="s">
        <v>849</v>
      </c>
      <c r="P813">
        <v>1337</v>
      </c>
      <c r="Q813">
        <v>793</v>
      </c>
      <c r="R813">
        <v>544</v>
      </c>
    </row>
    <row r="814" spans="1:18" x14ac:dyDescent="0.3">
      <c r="A814" t="s">
        <v>1834</v>
      </c>
      <c r="B814">
        <v>2022</v>
      </c>
      <c r="C814">
        <v>1.9816619868635721</v>
      </c>
      <c r="D814">
        <v>0</v>
      </c>
      <c r="E814">
        <v>203</v>
      </c>
      <c r="F814">
        <v>141</v>
      </c>
      <c r="G814">
        <v>5.4138221872990005E-4</v>
      </c>
      <c r="H814">
        <v>5</v>
      </c>
      <c r="I814">
        <v>4</v>
      </c>
      <c r="J814">
        <v>0.48892957921346791</v>
      </c>
      <c r="K814">
        <v>-0.1563618073379304</v>
      </c>
      <c r="L814">
        <v>95548367.761111006</v>
      </c>
      <c r="M814" t="s">
        <v>830</v>
      </c>
      <c r="N814" t="s">
        <v>846</v>
      </c>
      <c r="O814" t="s">
        <v>850</v>
      </c>
      <c r="P814">
        <v>2829</v>
      </c>
      <c r="Q814">
        <v>1779</v>
      </c>
      <c r="R814">
        <v>1050</v>
      </c>
    </row>
    <row r="815" spans="1:18" x14ac:dyDescent="0.3">
      <c r="A815" t="s">
        <v>1835</v>
      </c>
      <c r="B815">
        <v>2022</v>
      </c>
      <c r="C815">
        <v>2.9084110641375269</v>
      </c>
      <c r="D815">
        <v>0</v>
      </c>
      <c r="E815">
        <v>135</v>
      </c>
      <c r="F815">
        <v>159</v>
      </c>
      <c r="G815">
        <v>1.5384236839916E-3</v>
      </c>
      <c r="H815">
        <v>9</v>
      </c>
      <c r="I815">
        <v>3</v>
      </c>
      <c r="J815">
        <v>0.58865854396540629</v>
      </c>
      <c r="K815">
        <v>-0.29855178179510711</v>
      </c>
      <c r="L815">
        <v>16307051.32591524</v>
      </c>
      <c r="M815" t="s">
        <v>830</v>
      </c>
      <c r="N815" t="s">
        <v>854</v>
      </c>
      <c r="O815" t="s">
        <v>168</v>
      </c>
      <c r="P815">
        <v>1368</v>
      </c>
      <c r="Q815">
        <v>583</v>
      </c>
      <c r="R815">
        <v>785</v>
      </c>
    </row>
    <row r="816" spans="1:18" x14ac:dyDescent="0.3">
      <c r="A816" t="s">
        <v>1836</v>
      </c>
      <c r="B816">
        <v>2022</v>
      </c>
      <c r="C816">
        <v>1.5388112715153051</v>
      </c>
      <c r="D816">
        <v>0</v>
      </c>
      <c r="E816">
        <v>60</v>
      </c>
      <c r="F816">
        <v>160</v>
      </c>
      <c r="G816">
        <v>1.1096448777476E-3</v>
      </c>
      <c r="H816">
        <v>9</v>
      </c>
      <c r="I816">
        <v>3</v>
      </c>
      <c r="J816">
        <v>0.56130020024614946</v>
      </c>
      <c r="K816">
        <v>-0.31052513524729258</v>
      </c>
      <c r="L816">
        <v>56488235.694636211</v>
      </c>
      <c r="M816" t="s">
        <v>830</v>
      </c>
      <c r="N816" t="s">
        <v>854</v>
      </c>
      <c r="O816" t="s">
        <v>656</v>
      </c>
      <c r="P816">
        <v>2391</v>
      </c>
      <c r="Q816">
        <v>775</v>
      </c>
      <c r="R816">
        <v>1616</v>
      </c>
    </row>
    <row r="817" spans="1:18" x14ac:dyDescent="0.3">
      <c r="A817" t="s">
        <v>1837</v>
      </c>
      <c r="B817">
        <v>2022</v>
      </c>
      <c r="C817">
        <v>2.6843748241967731</v>
      </c>
      <c r="D817">
        <v>0</v>
      </c>
      <c r="E817">
        <v>16</v>
      </c>
      <c r="F817">
        <v>68</v>
      </c>
      <c r="G817">
        <v>9.6072620591799995E-4</v>
      </c>
      <c r="H817">
        <v>1</v>
      </c>
      <c r="I817">
        <v>1</v>
      </c>
      <c r="J817">
        <v>0.31866838715155549</v>
      </c>
      <c r="K817">
        <v>-0.19253154480448151</v>
      </c>
      <c r="L817">
        <v>35264575.580487363</v>
      </c>
      <c r="M817" t="s">
        <v>830</v>
      </c>
      <c r="N817" t="s">
        <v>855</v>
      </c>
      <c r="O817" t="s">
        <v>825</v>
      </c>
      <c r="P817">
        <v>3007</v>
      </c>
      <c r="Q817">
        <v>1365</v>
      </c>
      <c r="R817">
        <v>1642</v>
      </c>
    </row>
    <row r="818" spans="1:18" x14ac:dyDescent="0.3">
      <c r="A818" t="s">
        <v>1838</v>
      </c>
      <c r="B818">
        <v>2022</v>
      </c>
      <c r="C818">
        <v>5.2701032325487764</v>
      </c>
      <c r="D818">
        <v>0</v>
      </c>
      <c r="E818">
        <v>57</v>
      </c>
      <c r="F818">
        <v>93</v>
      </c>
      <c r="G818">
        <v>1.1557657967055E-3</v>
      </c>
      <c r="H818">
        <v>5</v>
      </c>
      <c r="I818">
        <v>2</v>
      </c>
      <c r="J818">
        <v>0.5064914726264419</v>
      </c>
      <c r="K818">
        <v>-0.26801196882800971</v>
      </c>
      <c r="L818">
        <v>10782488.49406809</v>
      </c>
      <c r="M818" t="s">
        <v>830</v>
      </c>
      <c r="N818" t="s">
        <v>857</v>
      </c>
      <c r="O818" t="s">
        <v>97</v>
      </c>
      <c r="P818">
        <v>2925</v>
      </c>
      <c r="Q818">
        <v>1849</v>
      </c>
      <c r="R818">
        <v>1076</v>
      </c>
    </row>
    <row r="819" spans="1:18" x14ac:dyDescent="0.3">
      <c r="A819" t="s">
        <v>1839</v>
      </c>
      <c r="B819">
        <v>2022</v>
      </c>
      <c r="C819">
        <v>2.2316580017012781</v>
      </c>
      <c r="D819">
        <v>0</v>
      </c>
      <c r="E819">
        <v>261</v>
      </c>
      <c r="F819">
        <v>126</v>
      </c>
      <c r="G819">
        <v>5.5230660958490005E-4</v>
      </c>
      <c r="H819">
        <v>6</v>
      </c>
      <c r="I819">
        <v>0</v>
      </c>
      <c r="J819">
        <v>0.45426112027910959</v>
      </c>
      <c r="K819">
        <v>-0.22309567830141919</v>
      </c>
      <c r="L819">
        <v>44629508.080888137</v>
      </c>
      <c r="M819" t="s">
        <v>830</v>
      </c>
      <c r="N819" t="s">
        <v>857</v>
      </c>
      <c r="O819" t="s">
        <v>860</v>
      </c>
      <c r="P819">
        <v>2186</v>
      </c>
      <c r="Q819">
        <v>1405</v>
      </c>
      <c r="R819">
        <v>781</v>
      </c>
    </row>
    <row r="820" spans="1:18" x14ac:dyDescent="0.3">
      <c r="A820" t="s">
        <v>1840</v>
      </c>
      <c r="B820">
        <v>2022</v>
      </c>
      <c r="C820">
        <v>5.1962218492252754</v>
      </c>
      <c r="D820">
        <v>0</v>
      </c>
      <c r="E820">
        <v>298</v>
      </c>
      <c r="F820">
        <v>217</v>
      </c>
      <c r="G820">
        <v>6.5139507111059997E-4</v>
      </c>
      <c r="H820">
        <v>5</v>
      </c>
      <c r="I820">
        <v>4</v>
      </c>
      <c r="J820">
        <v>0.40976445231205139</v>
      </c>
      <c r="K820">
        <v>-0.22266974485608679</v>
      </c>
      <c r="L820">
        <v>25644144.791615311</v>
      </c>
      <c r="M820" t="s">
        <v>830</v>
      </c>
      <c r="N820" t="s">
        <v>857</v>
      </c>
      <c r="O820" t="s">
        <v>862</v>
      </c>
      <c r="P820">
        <v>8443</v>
      </c>
      <c r="Q820">
        <v>5462</v>
      </c>
      <c r="R820">
        <v>2981</v>
      </c>
    </row>
    <row r="821" spans="1:18" x14ac:dyDescent="0.3">
      <c r="A821" t="s">
        <v>1841</v>
      </c>
      <c r="B821">
        <v>2022</v>
      </c>
      <c r="C821">
        <v>1.286622685690813</v>
      </c>
      <c r="D821">
        <v>0</v>
      </c>
      <c r="E821">
        <v>56</v>
      </c>
      <c r="F821">
        <v>22</v>
      </c>
      <c r="G821">
        <v>5.9168535449369997E-3</v>
      </c>
      <c r="H821">
        <v>1</v>
      </c>
      <c r="I821">
        <v>1</v>
      </c>
      <c r="J821">
        <v>0.5290511835073578</v>
      </c>
      <c r="K821">
        <v>-0.31413733512793579</v>
      </c>
      <c r="L821">
        <v>26528365.659865189</v>
      </c>
      <c r="M821" t="s">
        <v>830</v>
      </c>
      <c r="N821" t="s">
        <v>864</v>
      </c>
      <c r="O821" t="s">
        <v>866</v>
      </c>
      <c r="P821">
        <v>239</v>
      </c>
      <c r="Q821">
        <v>106</v>
      </c>
      <c r="R821">
        <v>133</v>
      </c>
    </row>
    <row r="822" spans="1:18" x14ac:dyDescent="0.3">
      <c r="A822" t="s">
        <v>1842</v>
      </c>
      <c r="B822">
        <v>2022</v>
      </c>
      <c r="C822">
        <v>3.3524969637112489</v>
      </c>
      <c r="D822">
        <v>0</v>
      </c>
      <c r="E822">
        <v>426</v>
      </c>
      <c r="F822">
        <v>57</v>
      </c>
      <c r="G822">
        <v>1.9027637999187001E-3</v>
      </c>
      <c r="H822">
        <v>8</v>
      </c>
      <c r="I822">
        <v>1</v>
      </c>
      <c r="J822">
        <v>0.51845401497390087</v>
      </c>
      <c r="K822">
        <v>-0.31517286435826358</v>
      </c>
      <c r="L822">
        <v>16725652.21213123</v>
      </c>
      <c r="M822" t="s">
        <v>830</v>
      </c>
      <c r="N822" t="s">
        <v>864</v>
      </c>
      <c r="O822" t="s">
        <v>867</v>
      </c>
      <c r="P822">
        <v>1531</v>
      </c>
      <c r="Q822">
        <v>663</v>
      </c>
      <c r="R822">
        <v>868</v>
      </c>
    </row>
    <row r="823" spans="1:18" x14ac:dyDescent="0.3">
      <c r="A823" t="s">
        <v>1843</v>
      </c>
      <c r="B823">
        <v>2022</v>
      </c>
      <c r="C823">
        <v>2.0431876603388619</v>
      </c>
      <c r="D823">
        <v>0</v>
      </c>
      <c r="E823">
        <v>6</v>
      </c>
      <c r="F823">
        <v>111</v>
      </c>
      <c r="G823">
        <v>7.91113539489E-4</v>
      </c>
      <c r="H823">
        <v>13</v>
      </c>
      <c r="I823">
        <v>1</v>
      </c>
      <c r="J823">
        <v>0.41969002292848651</v>
      </c>
      <c r="K823">
        <v>-0.33646311484168551</v>
      </c>
      <c r="L823">
        <v>163283442.5317992</v>
      </c>
      <c r="M823" t="s">
        <v>830</v>
      </c>
      <c r="N823" t="s">
        <v>864</v>
      </c>
      <c r="O823" t="s">
        <v>870</v>
      </c>
      <c r="P823">
        <v>1807</v>
      </c>
      <c r="Q823">
        <v>686</v>
      </c>
      <c r="R823">
        <v>1121</v>
      </c>
    </row>
    <row r="824" spans="1:18" x14ac:dyDescent="0.3">
      <c r="A824" t="s">
        <v>1844</v>
      </c>
      <c r="B824">
        <v>2022</v>
      </c>
      <c r="C824">
        <v>5.7830604705458981</v>
      </c>
      <c r="D824">
        <v>0</v>
      </c>
      <c r="E824">
        <v>585</v>
      </c>
      <c r="F824">
        <v>162</v>
      </c>
      <c r="G824">
        <v>8.8042472129680005E-4</v>
      </c>
      <c r="H824">
        <v>13</v>
      </c>
      <c r="I824">
        <v>2</v>
      </c>
      <c r="J824">
        <v>0.54717915029800379</v>
      </c>
      <c r="K824">
        <v>-0.34335494069740718</v>
      </c>
      <c r="L824">
        <v>22048827.579132888</v>
      </c>
      <c r="M824" t="s">
        <v>830</v>
      </c>
      <c r="N824" t="s">
        <v>864</v>
      </c>
      <c r="O824" t="s">
        <v>871</v>
      </c>
      <c r="P824">
        <v>5146</v>
      </c>
      <c r="Q824">
        <v>2863</v>
      </c>
      <c r="R824">
        <v>2283</v>
      </c>
    </row>
    <row r="825" spans="1:18" x14ac:dyDescent="0.3">
      <c r="A825" t="s">
        <v>1845</v>
      </c>
      <c r="B825">
        <v>2022</v>
      </c>
      <c r="C825">
        <v>0.94898816718221723</v>
      </c>
      <c r="D825">
        <v>0</v>
      </c>
      <c r="E825">
        <v>13</v>
      </c>
      <c r="F825">
        <v>175</v>
      </c>
      <c r="G825">
        <v>4.1296011032129998E-4</v>
      </c>
      <c r="H825">
        <v>4</v>
      </c>
      <c r="I825">
        <v>5</v>
      </c>
      <c r="J825">
        <v>0.65213271090785019</v>
      </c>
      <c r="K825">
        <v>-0.29494207948623252</v>
      </c>
      <c r="L825">
        <v>150236423.46558669</v>
      </c>
      <c r="M825" t="s">
        <v>874</v>
      </c>
      <c r="N825" t="s">
        <v>875</v>
      </c>
      <c r="O825" t="s">
        <v>876</v>
      </c>
      <c r="P825">
        <v>3617</v>
      </c>
      <c r="Q825">
        <v>2000</v>
      </c>
      <c r="R825">
        <v>1617</v>
      </c>
    </row>
    <row r="826" spans="1:18" x14ac:dyDescent="0.3">
      <c r="A826" t="s">
        <v>1846</v>
      </c>
      <c r="B826">
        <v>2022</v>
      </c>
      <c r="C826">
        <v>0.7193332965714142</v>
      </c>
      <c r="D826">
        <v>0</v>
      </c>
      <c r="E826">
        <v>5</v>
      </c>
      <c r="F826">
        <v>195</v>
      </c>
      <c r="G826">
        <v>9.9011116248050009E-4</v>
      </c>
      <c r="H826">
        <v>1</v>
      </c>
      <c r="I826">
        <v>5</v>
      </c>
      <c r="J826">
        <v>0.6293804181433692</v>
      </c>
      <c r="K826">
        <v>-0.27457154459575628</v>
      </c>
      <c r="L826">
        <v>252978649.76791099</v>
      </c>
      <c r="M826" t="s">
        <v>874</v>
      </c>
      <c r="N826" t="s">
        <v>875</v>
      </c>
      <c r="O826" t="s">
        <v>877</v>
      </c>
      <c r="P826">
        <v>3472</v>
      </c>
      <c r="Q826">
        <v>1296</v>
      </c>
      <c r="R826">
        <v>2176</v>
      </c>
    </row>
    <row r="827" spans="1:18" x14ac:dyDescent="0.3">
      <c r="A827" t="s">
        <v>1847</v>
      </c>
      <c r="B827">
        <v>2022</v>
      </c>
      <c r="C827">
        <v>0.72908225590845277</v>
      </c>
      <c r="D827">
        <v>0</v>
      </c>
      <c r="E827">
        <v>4</v>
      </c>
      <c r="F827">
        <v>79</v>
      </c>
      <c r="G827">
        <v>6.2597772225740005E-4</v>
      </c>
      <c r="H827">
        <v>4</v>
      </c>
      <c r="I827">
        <v>3</v>
      </c>
      <c r="J827">
        <v>0.57391055257304646</v>
      </c>
      <c r="K827">
        <v>-0.24734621915756511</v>
      </c>
      <c r="L827">
        <v>307175121.57665539</v>
      </c>
      <c r="M827" t="s">
        <v>874</v>
      </c>
      <c r="N827" t="s">
        <v>875</v>
      </c>
      <c r="O827" t="s">
        <v>438</v>
      </c>
      <c r="P827">
        <v>621</v>
      </c>
      <c r="Q827">
        <v>28</v>
      </c>
      <c r="R827">
        <v>593</v>
      </c>
    </row>
    <row r="828" spans="1:18" x14ac:dyDescent="0.3">
      <c r="A828" t="s">
        <v>1848</v>
      </c>
      <c r="B828">
        <v>2022</v>
      </c>
      <c r="C828">
        <v>0.64057967875443278</v>
      </c>
      <c r="D828">
        <v>0</v>
      </c>
      <c r="E828">
        <v>3</v>
      </c>
      <c r="F828">
        <v>135</v>
      </c>
      <c r="G828">
        <v>7.3683449735289998E-4</v>
      </c>
      <c r="H828">
        <v>3</v>
      </c>
      <c r="I828">
        <v>7</v>
      </c>
      <c r="J828">
        <v>0.57920904143212704</v>
      </c>
      <c r="K828">
        <v>-0.2361726816428798</v>
      </c>
      <c r="L828">
        <v>306102985.56712037</v>
      </c>
      <c r="M828" t="s">
        <v>874</v>
      </c>
      <c r="N828" t="s">
        <v>875</v>
      </c>
      <c r="O828" t="s">
        <v>879</v>
      </c>
      <c r="P828">
        <v>1705</v>
      </c>
      <c r="Q828">
        <v>829</v>
      </c>
      <c r="R828">
        <v>876</v>
      </c>
    </row>
    <row r="829" spans="1:18" x14ac:dyDescent="0.3">
      <c r="A829" t="s">
        <v>1849</v>
      </c>
      <c r="B829">
        <v>2022</v>
      </c>
      <c r="C829">
        <v>0.66462643756289874</v>
      </c>
      <c r="D829">
        <v>0</v>
      </c>
      <c r="E829">
        <v>105</v>
      </c>
      <c r="F829">
        <v>47</v>
      </c>
      <c r="G829">
        <v>8.6125398580329997E-4</v>
      </c>
      <c r="H829">
        <v>1</v>
      </c>
      <c r="I829">
        <v>8</v>
      </c>
      <c r="J829">
        <v>0.56859643330161636</v>
      </c>
      <c r="K829">
        <v>-0.2288324351018643</v>
      </c>
      <c r="L829">
        <v>148947135.89562199</v>
      </c>
      <c r="M829" t="s">
        <v>874</v>
      </c>
      <c r="N829" t="s">
        <v>875</v>
      </c>
      <c r="O829" t="s">
        <v>880</v>
      </c>
      <c r="P829">
        <v>1937</v>
      </c>
      <c r="Q829">
        <v>582</v>
      </c>
      <c r="R829">
        <v>1355</v>
      </c>
    </row>
    <row r="830" spans="1:18" x14ac:dyDescent="0.3">
      <c r="A830" t="s">
        <v>1850</v>
      </c>
      <c r="B830">
        <v>2022</v>
      </c>
      <c r="C830">
        <v>0.5806354685898415</v>
      </c>
      <c r="D830">
        <v>0</v>
      </c>
      <c r="E830">
        <v>44</v>
      </c>
      <c r="F830">
        <v>61</v>
      </c>
      <c r="G830">
        <v>3.2206072507999999E-4</v>
      </c>
      <c r="H830">
        <v>4</v>
      </c>
      <c r="I830">
        <v>8</v>
      </c>
      <c r="J830">
        <v>0.62185465758412406</v>
      </c>
      <c r="K830">
        <v>-0.28138097033052167</v>
      </c>
      <c r="L830">
        <v>308708337.24385422</v>
      </c>
      <c r="M830" t="s">
        <v>874</v>
      </c>
      <c r="N830" t="s">
        <v>881</v>
      </c>
      <c r="O830" t="s">
        <v>883</v>
      </c>
      <c r="P830">
        <v>1495</v>
      </c>
      <c r="Q830">
        <v>259</v>
      </c>
      <c r="R830">
        <v>1236</v>
      </c>
    </row>
    <row r="831" spans="1:18" x14ac:dyDescent="0.3">
      <c r="A831" t="s">
        <v>1851</v>
      </c>
      <c r="B831">
        <v>2022</v>
      </c>
      <c r="C831">
        <v>0.81917782054728516</v>
      </c>
      <c r="D831">
        <v>0</v>
      </c>
      <c r="E831">
        <v>2</v>
      </c>
      <c r="F831">
        <v>17</v>
      </c>
      <c r="G831">
        <v>3.7584719654959E-3</v>
      </c>
      <c r="H831">
        <v>1</v>
      </c>
      <c r="I831">
        <v>2</v>
      </c>
      <c r="J831">
        <v>0.67401180831093677</v>
      </c>
      <c r="K831">
        <v>-0.359823109195826</v>
      </c>
      <c r="L831">
        <v>13741030.37590397</v>
      </c>
      <c r="M831" t="s">
        <v>874</v>
      </c>
      <c r="N831" t="s">
        <v>881</v>
      </c>
      <c r="O831" t="s">
        <v>884</v>
      </c>
      <c r="P831">
        <v>152</v>
      </c>
      <c r="Q831">
        <v>91</v>
      </c>
      <c r="R831">
        <v>61</v>
      </c>
    </row>
    <row r="832" spans="1:18" x14ac:dyDescent="0.3">
      <c r="A832" t="s">
        <v>1852</v>
      </c>
      <c r="B832">
        <v>2022</v>
      </c>
      <c r="C832">
        <v>0.62955385079298543</v>
      </c>
      <c r="D832">
        <v>0</v>
      </c>
      <c r="E832">
        <v>7</v>
      </c>
      <c r="F832">
        <v>17</v>
      </c>
      <c r="G832">
        <v>1.6051364365970999E-3</v>
      </c>
      <c r="H832">
        <v>2</v>
      </c>
      <c r="I832">
        <v>3</v>
      </c>
      <c r="J832">
        <v>0.64899790114316613</v>
      </c>
      <c r="K832">
        <v>-0.3611748232547648</v>
      </c>
      <c r="L832">
        <v>18019074.811879169</v>
      </c>
      <c r="M832" t="s">
        <v>874</v>
      </c>
      <c r="N832" t="s">
        <v>881</v>
      </c>
      <c r="O832" t="s">
        <v>885</v>
      </c>
      <c r="P832">
        <v>241</v>
      </c>
      <c r="Q832">
        <v>55</v>
      </c>
      <c r="R832">
        <v>186</v>
      </c>
    </row>
    <row r="833" spans="1:18" x14ac:dyDescent="0.3">
      <c r="A833" t="s">
        <v>1853</v>
      </c>
      <c r="B833">
        <v>2022</v>
      </c>
      <c r="C833">
        <v>0.56906039257798136</v>
      </c>
      <c r="D833">
        <v>0</v>
      </c>
      <c r="E833">
        <v>11</v>
      </c>
      <c r="F833">
        <v>21</v>
      </c>
      <c r="G833">
        <v>2.3391179576034002E-3</v>
      </c>
      <c r="H833">
        <v>1</v>
      </c>
      <c r="I833">
        <v>1</v>
      </c>
      <c r="J833">
        <v>0.63733412950364532</v>
      </c>
      <c r="K833">
        <v>-0.35462025684539011</v>
      </c>
      <c r="L833">
        <v>25083339.949534431</v>
      </c>
      <c r="M833" t="s">
        <v>874</v>
      </c>
      <c r="N833" t="s">
        <v>881</v>
      </c>
      <c r="O833" t="s">
        <v>886</v>
      </c>
      <c r="P833">
        <v>91</v>
      </c>
      <c r="Q833">
        <v>21</v>
      </c>
      <c r="R833">
        <v>70</v>
      </c>
    </row>
    <row r="834" spans="1:18" x14ac:dyDescent="0.3">
      <c r="A834" t="s">
        <v>1854</v>
      </c>
      <c r="B834">
        <v>2022</v>
      </c>
      <c r="C834">
        <v>0.49390248163512102</v>
      </c>
      <c r="D834">
        <v>0</v>
      </c>
      <c r="E834">
        <v>1</v>
      </c>
      <c r="F834">
        <v>51</v>
      </c>
      <c r="G834">
        <v>9.3895562745210004E-4</v>
      </c>
      <c r="H834">
        <v>2</v>
      </c>
      <c r="I834">
        <v>2</v>
      </c>
      <c r="J834">
        <v>0.50669057905512949</v>
      </c>
      <c r="K834">
        <v>-0.2643388940306301</v>
      </c>
      <c r="L834">
        <v>311519609.95332968</v>
      </c>
      <c r="M834" t="s">
        <v>874</v>
      </c>
      <c r="N834" t="s">
        <v>881</v>
      </c>
      <c r="O834" t="s">
        <v>273</v>
      </c>
      <c r="P834">
        <v>357</v>
      </c>
      <c r="Q834">
        <v>92</v>
      </c>
      <c r="R834">
        <v>265</v>
      </c>
    </row>
    <row r="835" spans="1:18" x14ac:dyDescent="0.3">
      <c r="A835" t="s">
        <v>1855</v>
      </c>
      <c r="B835">
        <v>2022</v>
      </c>
      <c r="C835">
        <v>0.63631409312531884</v>
      </c>
      <c r="D835">
        <v>0</v>
      </c>
      <c r="E835">
        <v>250</v>
      </c>
      <c r="F835">
        <v>128</v>
      </c>
      <c r="G835">
        <v>1.206037117649E-3</v>
      </c>
      <c r="H835">
        <v>3</v>
      </c>
      <c r="I835">
        <v>1</v>
      </c>
      <c r="J835">
        <v>0.60783918792179437</v>
      </c>
      <c r="K835">
        <v>-0.25492371648249862</v>
      </c>
      <c r="L835">
        <v>318287331.0807451</v>
      </c>
      <c r="M835" t="s">
        <v>874</v>
      </c>
      <c r="N835" t="s">
        <v>892</v>
      </c>
      <c r="O835" t="s">
        <v>186</v>
      </c>
      <c r="P835">
        <v>2230</v>
      </c>
      <c r="Q835">
        <v>797</v>
      </c>
      <c r="R835">
        <v>1433</v>
      </c>
    </row>
    <row r="836" spans="1:18" x14ac:dyDescent="0.3">
      <c r="A836" t="s">
        <v>1856</v>
      </c>
      <c r="B836">
        <v>2022</v>
      </c>
      <c r="C836">
        <v>0.57578705506273631</v>
      </c>
      <c r="D836">
        <v>0</v>
      </c>
      <c r="E836">
        <v>16</v>
      </c>
      <c r="F836">
        <v>69</v>
      </c>
      <c r="G836">
        <v>4.315925766076E-4</v>
      </c>
      <c r="H836">
        <v>7</v>
      </c>
      <c r="I836">
        <v>2</v>
      </c>
      <c r="J836">
        <v>0.48922771373808199</v>
      </c>
      <c r="K836">
        <v>-0.27463981633314588</v>
      </c>
      <c r="L836">
        <v>504778600.50674582</v>
      </c>
      <c r="M836" t="s">
        <v>874</v>
      </c>
      <c r="N836" t="s">
        <v>892</v>
      </c>
      <c r="O836" t="s">
        <v>894</v>
      </c>
      <c r="P836">
        <v>1182</v>
      </c>
      <c r="Q836">
        <v>213</v>
      </c>
      <c r="R836">
        <v>969</v>
      </c>
    </row>
    <row r="837" spans="1:18" x14ac:dyDescent="0.3">
      <c r="A837" t="s">
        <v>1857</v>
      </c>
      <c r="B837">
        <v>2022</v>
      </c>
      <c r="C837">
        <v>0.80972445778105062</v>
      </c>
      <c r="D837">
        <v>0</v>
      </c>
      <c r="E837">
        <v>84</v>
      </c>
      <c r="F837">
        <v>58</v>
      </c>
      <c r="G837">
        <v>1.1552724005554E-3</v>
      </c>
      <c r="H837">
        <v>3</v>
      </c>
      <c r="I837">
        <v>2</v>
      </c>
      <c r="J837">
        <v>0.63380214795184764</v>
      </c>
      <c r="K837">
        <v>-0.30310620603860111</v>
      </c>
      <c r="L837">
        <v>94677646.620314762</v>
      </c>
      <c r="M837" t="s">
        <v>874</v>
      </c>
      <c r="N837" t="s">
        <v>898</v>
      </c>
      <c r="O837" t="s">
        <v>899</v>
      </c>
      <c r="P837">
        <v>1621</v>
      </c>
      <c r="Q837">
        <v>511</v>
      </c>
      <c r="R837">
        <v>1110</v>
      </c>
    </row>
    <row r="838" spans="1:18" x14ac:dyDescent="0.3">
      <c r="A838" t="s">
        <v>1858</v>
      </c>
      <c r="B838">
        <v>2022</v>
      </c>
      <c r="C838">
        <v>1.2311720393824199</v>
      </c>
      <c r="D838">
        <v>0</v>
      </c>
      <c r="E838">
        <v>124</v>
      </c>
      <c r="F838">
        <v>108</v>
      </c>
      <c r="G838">
        <v>9.9151603881589994E-4</v>
      </c>
      <c r="H838">
        <v>4</v>
      </c>
      <c r="I838">
        <v>4</v>
      </c>
      <c r="J838">
        <v>0.48831108449108462</v>
      </c>
      <c r="K838">
        <v>-0.14030474505950749</v>
      </c>
      <c r="L838">
        <v>254974215.64316669</v>
      </c>
      <c r="M838" t="s">
        <v>874</v>
      </c>
      <c r="N838" t="s">
        <v>898</v>
      </c>
      <c r="O838" t="s">
        <v>901</v>
      </c>
      <c r="P838">
        <v>999</v>
      </c>
      <c r="Q838">
        <v>375</v>
      </c>
      <c r="R838">
        <v>624</v>
      </c>
    </row>
    <row r="839" spans="1:18" x14ac:dyDescent="0.3">
      <c r="A839" t="s">
        <v>1859</v>
      </c>
      <c r="B839">
        <v>2022</v>
      </c>
      <c r="C839">
        <v>1.133754211210622</v>
      </c>
      <c r="D839">
        <v>0</v>
      </c>
      <c r="E839">
        <v>3</v>
      </c>
      <c r="F839">
        <v>187</v>
      </c>
      <c r="G839">
        <v>7.6934301835390002E-4</v>
      </c>
      <c r="H839">
        <v>6</v>
      </c>
      <c r="I839">
        <v>4</v>
      </c>
      <c r="J839">
        <v>0.62368524404822867</v>
      </c>
      <c r="K839">
        <v>-0.2810567498730297</v>
      </c>
      <c r="L839">
        <v>164921734.9192048</v>
      </c>
      <c r="M839" t="s">
        <v>874</v>
      </c>
      <c r="N839" t="s">
        <v>902</v>
      </c>
      <c r="O839" t="s">
        <v>903</v>
      </c>
      <c r="P839">
        <v>5178</v>
      </c>
      <c r="Q839">
        <v>2557</v>
      </c>
      <c r="R839">
        <v>2621</v>
      </c>
    </row>
    <row r="840" spans="1:18" x14ac:dyDescent="0.3">
      <c r="A840" t="s">
        <v>1860</v>
      </c>
      <c r="B840">
        <v>2022</v>
      </c>
      <c r="C840">
        <v>0.55218537479285279</v>
      </c>
      <c r="D840">
        <v>0</v>
      </c>
      <c r="E840">
        <v>550</v>
      </c>
      <c r="F840">
        <v>124</v>
      </c>
      <c r="G840">
        <v>4.294391246859E-4</v>
      </c>
      <c r="H840">
        <v>4</v>
      </c>
      <c r="I840">
        <v>15</v>
      </c>
      <c r="J840">
        <v>0.57083879435382923</v>
      </c>
      <c r="K840">
        <v>-0.28221342524902909</v>
      </c>
      <c r="L840">
        <v>441532963.88239121</v>
      </c>
      <c r="M840" t="s">
        <v>874</v>
      </c>
      <c r="N840" t="s">
        <v>906</v>
      </c>
      <c r="O840" t="s">
        <v>906</v>
      </c>
      <c r="P840">
        <v>3997</v>
      </c>
      <c r="Q840">
        <v>1817</v>
      </c>
      <c r="R840">
        <v>2180</v>
      </c>
    </row>
    <row r="841" spans="1:18" x14ac:dyDescent="0.3">
      <c r="A841" t="s">
        <v>1861</v>
      </c>
      <c r="B841">
        <v>2022</v>
      </c>
      <c r="C841">
        <v>0.48750989446729792</v>
      </c>
      <c r="D841">
        <v>0</v>
      </c>
      <c r="E841">
        <v>224</v>
      </c>
      <c r="F841">
        <v>84</v>
      </c>
      <c r="G841">
        <v>5.9275420186520004E-4</v>
      </c>
      <c r="H841">
        <v>4</v>
      </c>
      <c r="I841">
        <v>15</v>
      </c>
      <c r="J841">
        <v>0.57160769163695357</v>
      </c>
      <c r="K841">
        <v>-0.22145583147985509</v>
      </c>
      <c r="L841">
        <v>528858751.28350502</v>
      </c>
      <c r="M841" t="s">
        <v>874</v>
      </c>
      <c r="N841" t="s">
        <v>906</v>
      </c>
      <c r="O841" t="s">
        <v>907</v>
      </c>
      <c r="P841">
        <v>1558</v>
      </c>
      <c r="Q841">
        <v>280</v>
      </c>
      <c r="R841">
        <v>1278</v>
      </c>
    </row>
    <row r="842" spans="1:18" x14ac:dyDescent="0.3">
      <c r="A842" t="s">
        <v>1862</v>
      </c>
      <c r="B842">
        <v>2022</v>
      </c>
      <c r="C842">
        <v>0.48662648957532528</v>
      </c>
      <c r="D842">
        <v>0</v>
      </c>
      <c r="E842">
        <v>57</v>
      </c>
      <c r="F842">
        <v>56</v>
      </c>
      <c r="G842">
        <v>6.4223837295800004E-4</v>
      </c>
      <c r="H842">
        <v>6</v>
      </c>
      <c r="I842">
        <v>8</v>
      </c>
      <c r="J842">
        <v>0.54733098309158923</v>
      </c>
      <c r="K842">
        <v>-0.22005271244403199</v>
      </c>
      <c r="L842">
        <v>246983258.71121651</v>
      </c>
      <c r="M842" t="s">
        <v>874</v>
      </c>
      <c r="N842" t="s">
        <v>906</v>
      </c>
      <c r="O842" t="s">
        <v>908</v>
      </c>
      <c r="P842">
        <v>1603</v>
      </c>
      <c r="Q842">
        <v>229</v>
      </c>
      <c r="R842">
        <v>1374</v>
      </c>
    </row>
    <row r="843" spans="1:18" x14ac:dyDescent="0.3">
      <c r="A843" t="s">
        <v>1863</v>
      </c>
      <c r="B843">
        <v>2022</v>
      </c>
      <c r="C843">
        <v>0.47866223091297599</v>
      </c>
      <c r="D843">
        <v>0</v>
      </c>
      <c r="E843">
        <v>314</v>
      </c>
      <c r="F843">
        <v>62</v>
      </c>
      <c r="G843">
        <v>6.5354293703660002E-4</v>
      </c>
      <c r="H843">
        <v>2</v>
      </c>
      <c r="I843">
        <v>9</v>
      </c>
      <c r="J843">
        <v>0.54591798361839794</v>
      </c>
      <c r="K843">
        <v>-0.25415110021193971</v>
      </c>
      <c r="L843">
        <v>582274236.70057774</v>
      </c>
      <c r="M843" t="s">
        <v>874</v>
      </c>
      <c r="N843" t="s">
        <v>906</v>
      </c>
      <c r="O843" t="s">
        <v>909</v>
      </c>
      <c r="P843">
        <v>1257</v>
      </c>
      <c r="Q843">
        <v>598</v>
      </c>
      <c r="R843">
        <v>659</v>
      </c>
    </row>
    <row r="844" spans="1:18" x14ac:dyDescent="0.3">
      <c r="A844" t="s">
        <v>1864</v>
      </c>
      <c r="B844">
        <v>2022</v>
      </c>
      <c r="C844">
        <v>0.65415382407696154</v>
      </c>
      <c r="D844">
        <v>0</v>
      </c>
      <c r="E844">
        <v>19</v>
      </c>
      <c r="F844">
        <v>58</v>
      </c>
      <c r="G844">
        <v>1.5612011110885001E-3</v>
      </c>
      <c r="H844">
        <v>2</v>
      </c>
      <c r="I844">
        <v>1</v>
      </c>
      <c r="J844">
        <v>0.47594255899162269</v>
      </c>
      <c r="K844">
        <v>-0.1562574552959696</v>
      </c>
      <c r="L844">
        <v>166114287.11292821</v>
      </c>
      <c r="M844" t="s">
        <v>874</v>
      </c>
      <c r="N844" t="s">
        <v>911</v>
      </c>
      <c r="O844" t="s">
        <v>911</v>
      </c>
      <c r="P844">
        <v>2253</v>
      </c>
      <c r="Q844">
        <v>1202</v>
      </c>
      <c r="R844">
        <v>1051</v>
      </c>
    </row>
    <row r="845" spans="1:18" x14ac:dyDescent="0.3">
      <c r="A845" t="s">
        <v>1865</v>
      </c>
      <c r="B845">
        <v>2022</v>
      </c>
      <c r="C845">
        <v>21.1729756796902</v>
      </c>
      <c r="D845">
        <v>0</v>
      </c>
      <c r="E845">
        <v>1242</v>
      </c>
      <c r="F845">
        <v>265</v>
      </c>
      <c r="G845">
        <v>3.031736852251E-3</v>
      </c>
      <c r="H845">
        <v>3</v>
      </c>
      <c r="I845">
        <v>4</v>
      </c>
      <c r="J845">
        <v>0.22944559816573309</v>
      </c>
      <c r="K845">
        <v>-0.187634407430158</v>
      </c>
      <c r="L845">
        <v>2807232.544663283</v>
      </c>
      <c r="M845" t="s">
        <v>913</v>
      </c>
      <c r="N845" t="s">
        <v>64</v>
      </c>
      <c r="O845" t="s">
        <v>914</v>
      </c>
      <c r="P845">
        <v>7243</v>
      </c>
      <c r="Q845">
        <v>6002</v>
      </c>
      <c r="R845">
        <v>1241</v>
      </c>
    </row>
    <row r="846" spans="1:18" x14ac:dyDescent="0.3">
      <c r="A846" t="s">
        <v>1866</v>
      </c>
      <c r="B846">
        <v>2022</v>
      </c>
      <c r="C846">
        <v>0.66301895554285728</v>
      </c>
      <c r="D846">
        <v>0</v>
      </c>
      <c r="E846">
        <v>521</v>
      </c>
      <c r="F846">
        <v>231</v>
      </c>
      <c r="G846">
        <v>4.8885778214039996E-4</v>
      </c>
      <c r="H846">
        <v>20</v>
      </c>
      <c r="I846">
        <v>0</v>
      </c>
      <c r="J846">
        <v>0.20712741820434599</v>
      </c>
      <c r="K846">
        <v>-0.15321309336981989</v>
      </c>
      <c r="L846">
        <v>566921593.84276283</v>
      </c>
      <c r="M846" t="s">
        <v>913</v>
      </c>
      <c r="N846" t="s">
        <v>64</v>
      </c>
      <c r="O846" t="s">
        <v>57</v>
      </c>
      <c r="P846">
        <v>847</v>
      </c>
      <c r="Q846">
        <v>416</v>
      </c>
      <c r="R846">
        <v>431</v>
      </c>
    </row>
    <row r="847" spans="1:18" x14ac:dyDescent="0.3">
      <c r="A847" t="s">
        <v>1867</v>
      </c>
      <c r="B847">
        <v>2022</v>
      </c>
      <c r="C847">
        <v>0.53567469160514813</v>
      </c>
      <c r="D847">
        <v>0</v>
      </c>
      <c r="E847">
        <v>177</v>
      </c>
      <c r="F847">
        <v>92</v>
      </c>
      <c r="G847">
        <v>2.1364787759383E-3</v>
      </c>
      <c r="H847">
        <v>3</v>
      </c>
      <c r="I847">
        <v>1</v>
      </c>
      <c r="J847">
        <v>0.1968733914511416</v>
      </c>
      <c r="K847">
        <v>-0.17176665624500531</v>
      </c>
      <c r="L847">
        <v>177121877.36183181</v>
      </c>
      <c r="M847" t="s">
        <v>913</v>
      </c>
      <c r="N847" t="s">
        <v>64</v>
      </c>
      <c r="O847" t="s">
        <v>915</v>
      </c>
      <c r="P847">
        <v>145</v>
      </c>
      <c r="Q847">
        <v>69</v>
      </c>
      <c r="R847">
        <v>76</v>
      </c>
    </row>
    <row r="848" spans="1:18" x14ac:dyDescent="0.3">
      <c r="A848" t="s">
        <v>1868</v>
      </c>
      <c r="B848">
        <v>2022</v>
      </c>
      <c r="C848">
        <v>10.934643879389441</v>
      </c>
      <c r="D848">
        <v>0</v>
      </c>
      <c r="E848">
        <v>285</v>
      </c>
      <c r="F848">
        <v>117</v>
      </c>
      <c r="G848">
        <v>5.3568275023054999E-3</v>
      </c>
      <c r="H848">
        <v>1</v>
      </c>
      <c r="I848">
        <v>2</v>
      </c>
      <c r="J848">
        <v>0.13919563233225291</v>
      </c>
      <c r="K848">
        <v>-7.8652023505312404E-2</v>
      </c>
      <c r="L848">
        <v>1573597.2543837789</v>
      </c>
      <c r="M848" t="s">
        <v>913</v>
      </c>
      <c r="N848" t="s">
        <v>916</v>
      </c>
      <c r="O848" t="s">
        <v>917</v>
      </c>
      <c r="P848">
        <v>2746</v>
      </c>
      <c r="Q848">
        <v>2110</v>
      </c>
      <c r="R848">
        <v>636</v>
      </c>
    </row>
    <row r="849" spans="1:18" x14ac:dyDescent="0.3">
      <c r="A849" t="s">
        <v>1869</v>
      </c>
      <c r="B849">
        <v>2022</v>
      </c>
      <c r="C849">
        <v>11.056356911320391</v>
      </c>
      <c r="D849">
        <v>0</v>
      </c>
      <c r="E849">
        <v>52</v>
      </c>
      <c r="F849">
        <v>161</v>
      </c>
      <c r="G849">
        <v>7.5410765888659997E-4</v>
      </c>
      <c r="H849">
        <v>14</v>
      </c>
      <c r="I849">
        <v>0</v>
      </c>
      <c r="J849">
        <v>6.5930441107125995E-2</v>
      </c>
      <c r="K849">
        <v>-2.0162650565224002E-3</v>
      </c>
      <c r="L849">
        <v>4854893578.5913839</v>
      </c>
      <c r="M849" t="s">
        <v>913</v>
      </c>
      <c r="N849" t="s">
        <v>916</v>
      </c>
      <c r="O849" t="s">
        <v>918</v>
      </c>
      <c r="P849">
        <v>295</v>
      </c>
      <c r="Q849">
        <v>17</v>
      </c>
      <c r="R849">
        <v>278</v>
      </c>
    </row>
    <row r="850" spans="1:18" x14ac:dyDescent="0.3">
      <c r="A850" t="s">
        <v>1870</v>
      </c>
      <c r="B850">
        <v>2022</v>
      </c>
      <c r="C850">
        <v>13.424762892615799</v>
      </c>
      <c r="D850">
        <v>0</v>
      </c>
      <c r="E850">
        <v>1216</v>
      </c>
      <c r="F850">
        <v>430</v>
      </c>
      <c r="G850">
        <v>2.0543120426675002E-3</v>
      </c>
      <c r="H850">
        <v>8</v>
      </c>
      <c r="I850">
        <v>5</v>
      </c>
      <c r="J850">
        <v>0.1609671576028118</v>
      </c>
      <c r="K850">
        <v>-0.16416178125296921</v>
      </c>
      <c r="L850">
        <v>2900585.603168577</v>
      </c>
      <c r="M850" t="s">
        <v>913</v>
      </c>
      <c r="N850" t="s">
        <v>919</v>
      </c>
      <c r="O850" t="s">
        <v>920</v>
      </c>
      <c r="P850">
        <v>12678</v>
      </c>
      <c r="Q850">
        <v>9485</v>
      </c>
      <c r="R850">
        <v>3193</v>
      </c>
    </row>
    <row r="851" spans="1:18" x14ac:dyDescent="0.3">
      <c r="A851" t="s">
        <v>1871</v>
      </c>
      <c r="B851">
        <v>2022</v>
      </c>
      <c r="C851">
        <v>0.65517240921818964</v>
      </c>
      <c r="D851">
        <v>0</v>
      </c>
      <c r="E851">
        <v>1004</v>
      </c>
      <c r="F851">
        <v>519</v>
      </c>
      <c r="G851">
        <v>5.7817585041880005E-4</v>
      </c>
      <c r="H851">
        <v>24</v>
      </c>
      <c r="I851">
        <v>2</v>
      </c>
      <c r="J851">
        <v>0.2130496376817109</v>
      </c>
      <c r="K851">
        <v>-0.12277458351323289</v>
      </c>
      <c r="L851">
        <v>444287194.97659862</v>
      </c>
      <c r="M851" t="s">
        <v>913</v>
      </c>
      <c r="N851" t="s">
        <v>919</v>
      </c>
      <c r="O851" t="s">
        <v>921</v>
      </c>
      <c r="P851">
        <v>3928</v>
      </c>
      <c r="Q851">
        <v>1406</v>
      </c>
      <c r="R851">
        <v>2522</v>
      </c>
    </row>
    <row r="852" spans="1:18" x14ac:dyDescent="0.3">
      <c r="A852" t="s">
        <v>1872</v>
      </c>
      <c r="B852">
        <v>2022</v>
      </c>
      <c r="C852">
        <v>0.50174522134102639</v>
      </c>
      <c r="D852">
        <v>0</v>
      </c>
      <c r="E852">
        <v>378</v>
      </c>
      <c r="F852">
        <v>291</v>
      </c>
      <c r="G852">
        <v>5.8340100277609998E-4</v>
      </c>
      <c r="H852">
        <v>9</v>
      </c>
      <c r="I852">
        <v>1</v>
      </c>
      <c r="J852">
        <v>0.26360636438169738</v>
      </c>
      <c r="K852">
        <v>-0.16861056561253329</v>
      </c>
      <c r="L852">
        <v>586921513.33640969</v>
      </c>
      <c r="M852" t="s">
        <v>913</v>
      </c>
      <c r="N852" t="s">
        <v>919</v>
      </c>
      <c r="O852" t="s">
        <v>330</v>
      </c>
      <c r="P852">
        <v>560</v>
      </c>
      <c r="Q852">
        <v>8</v>
      </c>
      <c r="R852">
        <v>552</v>
      </c>
    </row>
    <row r="853" spans="1:18" x14ac:dyDescent="0.3">
      <c r="A853" t="s">
        <v>1873</v>
      </c>
      <c r="B853">
        <v>2022</v>
      </c>
      <c r="C853">
        <v>4.63891530637994</v>
      </c>
      <c r="D853">
        <v>0</v>
      </c>
      <c r="E853">
        <v>41</v>
      </c>
      <c r="F853">
        <v>112</v>
      </c>
      <c r="G853">
        <v>1.3504315391106999E-3</v>
      </c>
      <c r="H853">
        <v>16</v>
      </c>
      <c r="I853">
        <v>7</v>
      </c>
      <c r="J853">
        <v>0.62900136764498071</v>
      </c>
      <c r="K853">
        <v>-0.2774629618649726</v>
      </c>
      <c r="L853">
        <v>246060948.73768979</v>
      </c>
      <c r="M853" t="s">
        <v>922</v>
      </c>
      <c r="N853" t="s">
        <v>923</v>
      </c>
      <c r="O853" t="s">
        <v>925</v>
      </c>
      <c r="P853">
        <v>3145</v>
      </c>
      <c r="Q853">
        <v>587</v>
      </c>
      <c r="R853">
        <v>2558</v>
      </c>
    </row>
    <row r="854" spans="1:18" x14ac:dyDescent="0.3">
      <c r="A854" t="s">
        <v>1874</v>
      </c>
      <c r="B854">
        <v>2022</v>
      </c>
      <c r="C854">
        <v>3.866109752102906</v>
      </c>
      <c r="D854">
        <v>0</v>
      </c>
      <c r="E854">
        <v>14</v>
      </c>
      <c r="F854">
        <v>181</v>
      </c>
      <c r="G854">
        <v>5.7831576729950001E-4</v>
      </c>
      <c r="H854">
        <v>7</v>
      </c>
      <c r="I854">
        <v>4</v>
      </c>
      <c r="J854">
        <v>0.59646513695143588</v>
      </c>
      <c r="K854">
        <v>-0.28546421302664388</v>
      </c>
      <c r="L854">
        <v>438959963.96727401</v>
      </c>
      <c r="M854" t="s">
        <v>922</v>
      </c>
      <c r="N854" t="s">
        <v>923</v>
      </c>
      <c r="O854" t="s">
        <v>927</v>
      </c>
      <c r="P854">
        <v>6915</v>
      </c>
      <c r="Q854">
        <v>1228</v>
      </c>
      <c r="R854">
        <v>5687</v>
      </c>
    </row>
    <row r="855" spans="1:18" x14ac:dyDescent="0.3">
      <c r="A855" t="s">
        <v>1875</v>
      </c>
      <c r="B855">
        <v>2022</v>
      </c>
      <c r="C855">
        <v>3.0686297500484172</v>
      </c>
      <c r="D855">
        <v>0</v>
      </c>
      <c r="E855">
        <v>91</v>
      </c>
      <c r="F855">
        <v>458</v>
      </c>
      <c r="G855">
        <v>2.6704281561239999E-4</v>
      </c>
      <c r="H855">
        <v>11</v>
      </c>
      <c r="I855">
        <v>9</v>
      </c>
      <c r="J855">
        <v>0.67099231417392369</v>
      </c>
      <c r="K855">
        <v>-0.30054419937950289</v>
      </c>
      <c r="L855">
        <v>884219418.46103084</v>
      </c>
      <c r="M855" t="s">
        <v>922</v>
      </c>
      <c r="N855" t="s">
        <v>923</v>
      </c>
      <c r="O855" t="s">
        <v>928</v>
      </c>
      <c r="P855">
        <v>8423</v>
      </c>
      <c r="Q855">
        <v>2186</v>
      </c>
      <c r="R855">
        <v>6237</v>
      </c>
    </row>
    <row r="856" spans="1:18" x14ac:dyDescent="0.3">
      <c r="A856" t="s">
        <v>1876</v>
      </c>
      <c r="B856">
        <v>2022</v>
      </c>
      <c r="C856">
        <v>0.55369004042993997</v>
      </c>
      <c r="D856">
        <v>0</v>
      </c>
      <c r="E856">
        <v>1</v>
      </c>
      <c r="F856">
        <v>137</v>
      </c>
      <c r="G856">
        <v>9.5033690778489996E-4</v>
      </c>
      <c r="H856">
        <v>12</v>
      </c>
      <c r="I856">
        <v>1</v>
      </c>
      <c r="J856">
        <v>0.69026408742309642</v>
      </c>
      <c r="K856">
        <v>-0.30734518790093512</v>
      </c>
      <c r="L856">
        <v>444201812.87294048</v>
      </c>
      <c r="M856" t="s">
        <v>922</v>
      </c>
      <c r="N856" t="s">
        <v>923</v>
      </c>
      <c r="O856" t="s">
        <v>332</v>
      </c>
      <c r="P856">
        <v>3473</v>
      </c>
      <c r="Q856">
        <v>839</v>
      </c>
      <c r="R856">
        <v>2634</v>
      </c>
    </row>
    <row r="857" spans="1:18" x14ac:dyDescent="0.3">
      <c r="A857" t="s">
        <v>1877</v>
      </c>
      <c r="B857">
        <v>2022</v>
      </c>
      <c r="C857">
        <v>0.5472076343069493</v>
      </c>
      <c r="D857">
        <v>0</v>
      </c>
      <c r="E857">
        <v>24</v>
      </c>
      <c r="F857">
        <v>70</v>
      </c>
      <c r="G857">
        <v>1.4568490609338999E-3</v>
      </c>
      <c r="H857">
        <v>4</v>
      </c>
      <c r="I857">
        <v>0</v>
      </c>
      <c r="J857">
        <v>0.6560918845324708</v>
      </c>
      <c r="K857">
        <v>-0.26656363589590137</v>
      </c>
      <c r="L857">
        <v>769669676.40913105</v>
      </c>
      <c r="M857" t="s">
        <v>922</v>
      </c>
      <c r="N857" t="s">
        <v>931</v>
      </c>
      <c r="O857" t="s">
        <v>934</v>
      </c>
      <c r="P857">
        <v>1558</v>
      </c>
      <c r="Q857">
        <v>585</v>
      </c>
      <c r="R857">
        <v>973</v>
      </c>
    </row>
    <row r="858" spans="1:18" x14ac:dyDescent="0.3">
      <c r="A858" t="s">
        <v>1878</v>
      </c>
      <c r="B858">
        <v>2022</v>
      </c>
      <c r="C858">
        <v>0.56446561738387735</v>
      </c>
      <c r="D858">
        <v>0</v>
      </c>
      <c r="E858">
        <v>9</v>
      </c>
      <c r="F858">
        <v>20</v>
      </c>
      <c r="G858">
        <v>2.2752533507682002E-3</v>
      </c>
      <c r="H858">
        <v>6</v>
      </c>
      <c r="I858">
        <v>0</v>
      </c>
      <c r="J858">
        <v>0.63426257215041415</v>
      </c>
      <c r="K858">
        <v>-0.25566619150069808</v>
      </c>
      <c r="L858">
        <v>600782911.43349707</v>
      </c>
      <c r="M858" t="s">
        <v>922</v>
      </c>
      <c r="N858" t="s">
        <v>935</v>
      </c>
      <c r="O858" t="s">
        <v>937</v>
      </c>
      <c r="P858">
        <v>1085</v>
      </c>
      <c r="Q858">
        <v>108</v>
      </c>
      <c r="R858">
        <v>977</v>
      </c>
    </row>
    <row r="859" spans="1:18" x14ac:dyDescent="0.3">
      <c r="A859" t="s">
        <v>1879</v>
      </c>
      <c r="B859">
        <v>2022</v>
      </c>
      <c r="C859">
        <v>0.51059451124785116</v>
      </c>
      <c r="D859">
        <v>0</v>
      </c>
      <c r="E859">
        <v>52</v>
      </c>
      <c r="F859">
        <v>2</v>
      </c>
      <c r="G859">
        <v>7.1428571428571397E-2</v>
      </c>
      <c r="H859">
        <v>1</v>
      </c>
      <c r="I859">
        <v>0</v>
      </c>
      <c r="J859">
        <v>0.65248519636380098</v>
      </c>
      <c r="K859">
        <v>-0.26858402521067259</v>
      </c>
      <c r="L859">
        <v>446985738.45903271</v>
      </c>
      <c r="M859" t="s">
        <v>922</v>
      </c>
      <c r="N859" t="s">
        <v>935</v>
      </c>
      <c r="O859" t="s">
        <v>938</v>
      </c>
      <c r="P859">
        <v>76</v>
      </c>
      <c r="Q859">
        <v>0</v>
      </c>
      <c r="R859">
        <v>76</v>
      </c>
    </row>
    <row r="860" spans="1:18" x14ac:dyDescent="0.3">
      <c r="A860" t="s">
        <v>1880</v>
      </c>
      <c r="B860">
        <v>2022</v>
      </c>
      <c r="C860">
        <v>1.6298508032879231</v>
      </c>
      <c r="D860">
        <v>0</v>
      </c>
      <c r="E860">
        <v>1</v>
      </c>
      <c r="F860">
        <v>33</v>
      </c>
      <c r="G860">
        <v>2.6178010471203999E-3</v>
      </c>
      <c r="H860">
        <v>3</v>
      </c>
      <c r="I860">
        <v>4</v>
      </c>
      <c r="J860">
        <v>0.63463094744745308</v>
      </c>
      <c r="K860">
        <v>-0.26576474654063181</v>
      </c>
      <c r="L860">
        <v>545927302.08133411</v>
      </c>
      <c r="M860" t="s">
        <v>922</v>
      </c>
      <c r="N860" t="s">
        <v>935</v>
      </c>
      <c r="O860" t="s">
        <v>940</v>
      </c>
      <c r="P860">
        <v>1797</v>
      </c>
      <c r="Q860">
        <v>13</v>
      </c>
      <c r="R860">
        <v>1784</v>
      </c>
    </row>
    <row r="861" spans="1:18" x14ac:dyDescent="0.3">
      <c r="A861" t="s">
        <v>1881</v>
      </c>
      <c r="B861">
        <v>2022</v>
      </c>
      <c r="C861">
        <v>7.3282924940597889</v>
      </c>
      <c r="D861">
        <v>0</v>
      </c>
      <c r="E861">
        <v>279</v>
      </c>
      <c r="F861">
        <v>170</v>
      </c>
      <c r="G861">
        <v>1.6254917909477001E-3</v>
      </c>
      <c r="H861">
        <v>18</v>
      </c>
      <c r="I861">
        <v>3</v>
      </c>
      <c r="J861">
        <v>0.61905769549856926</v>
      </c>
      <c r="K861">
        <v>-0.2413536345538087</v>
      </c>
      <c r="L861">
        <v>541839249.43046999</v>
      </c>
      <c r="M861" t="s">
        <v>922</v>
      </c>
      <c r="N861" t="s">
        <v>942</v>
      </c>
      <c r="O861" t="s">
        <v>943</v>
      </c>
      <c r="P861">
        <v>6852</v>
      </c>
      <c r="Q861">
        <v>431</v>
      </c>
      <c r="R861">
        <v>6421</v>
      </c>
    </row>
    <row r="862" spans="1:18" x14ac:dyDescent="0.3">
      <c r="A862" t="s">
        <v>1882</v>
      </c>
      <c r="B862">
        <v>2022</v>
      </c>
      <c r="C862">
        <v>0.81559538149818078</v>
      </c>
      <c r="D862">
        <v>0</v>
      </c>
      <c r="E862">
        <v>32</v>
      </c>
      <c r="F862">
        <v>25</v>
      </c>
      <c r="G862">
        <v>5.8608058608058001E-3</v>
      </c>
      <c r="H862">
        <v>3</v>
      </c>
      <c r="I862">
        <v>1</v>
      </c>
      <c r="J862">
        <v>0.58523011562214222</v>
      </c>
      <c r="K862">
        <v>-0.20293724261525981</v>
      </c>
      <c r="L862">
        <v>609598789.25019407</v>
      </c>
      <c r="M862" t="s">
        <v>922</v>
      </c>
      <c r="N862" t="s">
        <v>942</v>
      </c>
      <c r="O862" t="s">
        <v>944</v>
      </c>
      <c r="P862">
        <v>746</v>
      </c>
      <c r="Q862">
        <v>57</v>
      </c>
      <c r="R862">
        <v>689</v>
      </c>
    </row>
    <row r="863" spans="1:18" x14ac:dyDescent="0.3">
      <c r="A863" t="s">
        <v>1883</v>
      </c>
      <c r="B863">
        <v>2022</v>
      </c>
      <c r="C863">
        <v>1.0395166527247419</v>
      </c>
      <c r="D863">
        <v>0</v>
      </c>
      <c r="E863">
        <v>81</v>
      </c>
      <c r="F863">
        <v>368</v>
      </c>
      <c r="G863">
        <v>4.029679541659E-4</v>
      </c>
      <c r="H863">
        <v>9</v>
      </c>
      <c r="I863">
        <v>1</v>
      </c>
      <c r="J863">
        <v>0.62719063521526242</v>
      </c>
      <c r="K863">
        <v>-0.27242235846930851</v>
      </c>
      <c r="L863">
        <v>672060804.99508429</v>
      </c>
      <c r="M863" t="s">
        <v>922</v>
      </c>
      <c r="N863" t="s">
        <v>942</v>
      </c>
      <c r="O863" t="s">
        <v>324</v>
      </c>
      <c r="P863">
        <v>4469</v>
      </c>
      <c r="Q863">
        <v>777</v>
      </c>
      <c r="R863">
        <v>3692</v>
      </c>
    </row>
    <row r="864" spans="1:18" x14ac:dyDescent="0.3">
      <c r="A864" t="s">
        <v>1884</v>
      </c>
      <c r="B864">
        <v>2022</v>
      </c>
      <c r="C864">
        <v>1.0039888264999239</v>
      </c>
      <c r="D864">
        <v>0</v>
      </c>
      <c r="E864">
        <v>5</v>
      </c>
      <c r="F864">
        <v>146</v>
      </c>
      <c r="G864">
        <v>1.0322185596832001E-3</v>
      </c>
      <c r="H864">
        <v>6</v>
      </c>
      <c r="I864">
        <v>1</v>
      </c>
      <c r="J864">
        <v>0.69754253871776961</v>
      </c>
      <c r="K864">
        <v>-0.28968002778422858</v>
      </c>
      <c r="L864">
        <v>713147778.95061409</v>
      </c>
      <c r="M864" t="s">
        <v>922</v>
      </c>
      <c r="N864" t="s">
        <v>952</v>
      </c>
      <c r="O864" t="s">
        <v>953</v>
      </c>
      <c r="P864">
        <v>3801</v>
      </c>
      <c r="Q864">
        <v>2223</v>
      </c>
      <c r="R864">
        <v>1578</v>
      </c>
    </row>
    <row r="865" spans="1:18" x14ac:dyDescent="0.3">
      <c r="A865" t="s">
        <v>1885</v>
      </c>
      <c r="B865">
        <v>2022</v>
      </c>
      <c r="C865">
        <v>0.72486146366239079</v>
      </c>
      <c r="D865">
        <v>0</v>
      </c>
      <c r="E865">
        <v>1</v>
      </c>
      <c r="F865">
        <v>149</v>
      </c>
      <c r="G865">
        <v>1.1540099469193E-3</v>
      </c>
      <c r="H865">
        <v>6</v>
      </c>
      <c r="I865">
        <v>0</v>
      </c>
      <c r="J865">
        <v>0.67393903785060905</v>
      </c>
      <c r="K865">
        <v>-0.3281338089963699</v>
      </c>
      <c r="L865">
        <v>118040653.9065161</v>
      </c>
      <c r="M865" t="s">
        <v>922</v>
      </c>
      <c r="N865" t="s">
        <v>952</v>
      </c>
      <c r="O865" t="s">
        <v>251</v>
      </c>
      <c r="P865">
        <v>3103</v>
      </c>
      <c r="Q865">
        <v>1271</v>
      </c>
      <c r="R865">
        <v>1832</v>
      </c>
    </row>
    <row r="866" spans="1:18" x14ac:dyDescent="0.3">
      <c r="A866" t="s">
        <v>1886</v>
      </c>
      <c r="B866">
        <v>2022</v>
      </c>
      <c r="C866">
        <v>0.55558102183751268</v>
      </c>
      <c r="D866">
        <v>0</v>
      </c>
      <c r="E866">
        <v>1398</v>
      </c>
      <c r="F866">
        <v>149</v>
      </c>
      <c r="G866">
        <v>9.6419905678790001E-4</v>
      </c>
      <c r="H866">
        <v>1</v>
      </c>
      <c r="I866">
        <v>1</v>
      </c>
      <c r="J866">
        <v>0.68545478472664689</v>
      </c>
      <c r="K866">
        <v>-0.31513083445447271</v>
      </c>
      <c r="L866">
        <v>372194216.44688791</v>
      </c>
      <c r="M866" t="s">
        <v>922</v>
      </c>
      <c r="N866" t="s">
        <v>952</v>
      </c>
      <c r="O866" t="s">
        <v>955</v>
      </c>
      <c r="P866">
        <v>4234</v>
      </c>
      <c r="Q866">
        <v>474</v>
      </c>
      <c r="R866">
        <v>3760</v>
      </c>
    </row>
    <row r="867" spans="1:18" x14ac:dyDescent="0.3">
      <c r="A867" t="s">
        <v>1887</v>
      </c>
      <c r="B867">
        <v>2022</v>
      </c>
      <c r="C867">
        <v>0.48205638429800152</v>
      </c>
      <c r="D867">
        <v>0</v>
      </c>
      <c r="E867">
        <v>90</v>
      </c>
      <c r="F867">
        <v>13</v>
      </c>
      <c r="G867">
        <v>1.46551724137931E-2</v>
      </c>
      <c r="H867">
        <v>2</v>
      </c>
      <c r="I867">
        <v>0</v>
      </c>
      <c r="J867">
        <v>0.57514151126306512</v>
      </c>
      <c r="K867">
        <v>-0.19983348598295589</v>
      </c>
      <c r="L867">
        <v>2267544996.8578529</v>
      </c>
      <c r="M867" t="s">
        <v>922</v>
      </c>
      <c r="N867" t="s">
        <v>956</v>
      </c>
      <c r="O867" t="s">
        <v>956</v>
      </c>
      <c r="P867">
        <v>435</v>
      </c>
      <c r="Q867">
        <v>185</v>
      </c>
      <c r="R867">
        <v>250</v>
      </c>
    </row>
    <row r="868" spans="1:18" x14ac:dyDescent="0.3">
      <c r="A868" t="s">
        <v>1888</v>
      </c>
      <c r="B868">
        <v>2022</v>
      </c>
      <c r="C868">
        <v>5.6393302727095476</v>
      </c>
      <c r="D868">
        <v>0</v>
      </c>
      <c r="E868">
        <v>43</v>
      </c>
      <c r="F868">
        <v>215</v>
      </c>
      <c r="G868">
        <v>3.194281982937E-4</v>
      </c>
      <c r="H868">
        <v>4</v>
      </c>
      <c r="I868">
        <v>7</v>
      </c>
      <c r="J868">
        <v>0.6230662053328212</v>
      </c>
      <c r="K868">
        <v>-0.26747183205570291</v>
      </c>
      <c r="L868">
        <v>1238449566.7895081</v>
      </c>
      <c r="M868" t="s">
        <v>959</v>
      </c>
      <c r="N868" t="s">
        <v>960</v>
      </c>
      <c r="O868" t="s">
        <v>962</v>
      </c>
      <c r="P868">
        <v>7248</v>
      </c>
      <c r="Q868">
        <v>1592</v>
      </c>
      <c r="R868">
        <v>5656</v>
      </c>
    </row>
    <row r="869" spans="1:18" x14ac:dyDescent="0.3">
      <c r="A869" t="s">
        <v>1889</v>
      </c>
      <c r="B869">
        <v>2022</v>
      </c>
      <c r="C869">
        <v>5.9831496355680418</v>
      </c>
      <c r="D869">
        <v>0</v>
      </c>
      <c r="E869">
        <v>32</v>
      </c>
      <c r="F869">
        <v>150</v>
      </c>
      <c r="G869">
        <v>7.328666252538E-4</v>
      </c>
      <c r="H869">
        <v>4</v>
      </c>
      <c r="I869">
        <v>1</v>
      </c>
      <c r="J869">
        <v>0.60787432976087885</v>
      </c>
      <c r="K869">
        <v>-0.25405081178363831</v>
      </c>
      <c r="L869">
        <v>408319512.25487357</v>
      </c>
      <c r="M869" t="s">
        <v>959</v>
      </c>
      <c r="N869" t="s">
        <v>960</v>
      </c>
      <c r="O869" t="s">
        <v>963</v>
      </c>
      <c r="P869">
        <v>3107</v>
      </c>
      <c r="Q869">
        <v>892</v>
      </c>
      <c r="R869">
        <v>2215</v>
      </c>
    </row>
    <row r="870" spans="1:18" x14ac:dyDescent="0.3">
      <c r="A870" t="s">
        <v>1890</v>
      </c>
      <c r="B870">
        <v>2022</v>
      </c>
      <c r="C870">
        <v>0.59728706153514599</v>
      </c>
      <c r="D870">
        <v>0</v>
      </c>
      <c r="E870">
        <v>13</v>
      </c>
      <c r="F870">
        <v>60</v>
      </c>
      <c r="G870">
        <v>9.3670628171629996E-4</v>
      </c>
      <c r="H870">
        <v>4</v>
      </c>
      <c r="I870">
        <v>2</v>
      </c>
      <c r="J870">
        <v>0.61583599026614322</v>
      </c>
      <c r="K870">
        <v>-0.2474725968795938</v>
      </c>
      <c r="L870">
        <v>982094826.70175695</v>
      </c>
      <c r="M870" t="s">
        <v>959</v>
      </c>
      <c r="N870" t="s">
        <v>960</v>
      </c>
      <c r="O870" t="s">
        <v>964</v>
      </c>
      <c r="P870">
        <v>1559</v>
      </c>
      <c r="Q870">
        <v>21</v>
      </c>
      <c r="R870">
        <v>1538</v>
      </c>
    </row>
    <row r="871" spans="1:18" x14ac:dyDescent="0.3">
      <c r="A871" t="s">
        <v>1891</v>
      </c>
      <c r="B871">
        <v>2022</v>
      </c>
      <c r="C871">
        <v>17.27819327855229</v>
      </c>
      <c r="D871">
        <v>0</v>
      </c>
      <c r="E871">
        <v>332</v>
      </c>
      <c r="F871">
        <v>105</v>
      </c>
      <c r="G871">
        <v>8.2939337953659995E-4</v>
      </c>
      <c r="H871">
        <v>3</v>
      </c>
      <c r="I871">
        <v>1</v>
      </c>
      <c r="J871">
        <v>0.6056715047335498</v>
      </c>
      <c r="K871">
        <v>-0.27345317445839562</v>
      </c>
      <c r="L871">
        <v>136803564.21903411</v>
      </c>
      <c r="M871" t="s">
        <v>959</v>
      </c>
      <c r="N871" t="s">
        <v>960</v>
      </c>
      <c r="O871" t="s">
        <v>965</v>
      </c>
      <c r="P871">
        <v>3279</v>
      </c>
      <c r="Q871">
        <v>898</v>
      </c>
      <c r="R871">
        <v>2381</v>
      </c>
    </row>
    <row r="872" spans="1:18" x14ac:dyDescent="0.3">
      <c r="A872" t="s">
        <v>1892</v>
      </c>
      <c r="B872">
        <v>2022</v>
      </c>
      <c r="C872">
        <v>5.53117598043759</v>
      </c>
      <c r="D872">
        <v>0</v>
      </c>
      <c r="E872">
        <v>65</v>
      </c>
      <c r="F872">
        <v>53</v>
      </c>
      <c r="G872">
        <v>2.0261587976780999E-3</v>
      </c>
      <c r="H872">
        <v>3</v>
      </c>
      <c r="I872">
        <v>1</v>
      </c>
      <c r="J872">
        <v>0.6129416879484717</v>
      </c>
      <c r="K872">
        <v>-0.232427191263606</v>
      </c>
      <c r="L872">
        <v>871819078.3671912</v>
      </c>
      <c r="M872" t="s">
        <v>959</v>
      </c>
      <c r="N872" t="s">
        <v>960</v>
      </c>
      <c r="O872" t="s">
        <v>966</v>
      </c>
      <c r="P872">
        <v>1246</v>
      </c>
      <c r="Q872">
        <v>8</v>
      </c>
      <c r="R872">
        <v>1238</v>
      </c>
    </row>
    <row r="873" spans="1:18" x14ac:dyDescent="0.3">
      <c r="A873" t="s">
        <v>1893</v>
      </c>
      <c r="B873">
        <v>2022</v>
      </c>
      <c r="C873">
        <v>1.7769509815786759</v>
      </c>
      <c r="D873">
        <v>0</v>
      </c>
      <c r="E873">
        <v>127</v>
      </c>
      <c r="F873">
        <v>58</v>
      </c>
      <c r="G873">
        <v>1.0729332949519E-3</v>
      </c>
      <c r="H873">
        <v>16</v>
      </c>
      <c r="I873">
        <v>1</v>
      </c>
      <c r="J873">
        <v>0.61999134140540513</v>
      </c>
      <c r="K873">
        <v>-0.27133652621063897</v>
      </c>
      <c r="L873">
        <v>130948424.9244604</v>
      </c>
      <c r="M873" t="s">
        <v>959</v>
      </c>
      <c r="N873" t="s">
        <v>960</v>
      </c>
      <c r="O873" t="s">
        <v>167</v>
      </c>
      <c r="P873">
        <v>1491</v>
      </c>
      <c r="Q873">
        <v>131</v>
      </c>
      <c r="R873">
        <v>1360</v>
      </c>
    </row>
    <row r="874" spans="1:18" x14ac:dyDescent="0.3">
      <c r="A874" t="s">
        <v>1894</v>
      </c>
      <c r="B874">
        <v>2022</v>
      </c>
      <c r="C874">
        <v>1.2667953122292579</v>
      </c>
      <c r="D874">
        <v>0</v>
      </c>
      <c r="E874">
        <v>92</v>
      </c>
      <c r="F874">
        <v>138</v>
      </c>
      <c r="G874">
        <v>5.0798868421979997E-4</v>
      </c>
      <c r="H874">
        <v>4</v>
      </c>
      <c r="I874">
        <v>11</v>
      </c>
      <c r="J874">
        <v>0.59639104987537672</v>
      </c>
      <c r="K874">
        <v>-0.2393029906394771</v>
      </c>
      <c r="L874">
        <v>1478548421.4867339</v>
      </c>
      <c r="M874" t="s">
        <v>959</v>
      </c>
      <c r="N874" t="s">
        <v>960</v>
      </c>
      <c r="O874" t="s">
        <v>967</v>
      </c>
      <c r="P874">
        <v>3639</v>
      </c>
      <c r="Q874">
        <v>246</v>
      </c>
      <c r="R874">
        <v>3393</v>
      </c>
    </row>
    <row r="875" spans="1:18" x14ac:dyDescent="0.3">
      <c r="A875" t="s">
        <v>1895</v>
      </c>
      <c r="B875">
        <v>2022</v>
      </c>
      <c r="C875">
        <v>1.8769811476470291</v>
      </c>
      <c r="D875">
        <v>0</v>
      </c>
      <c r="E875">
        <v>1704</v>
      </c>
      <c r="F875">
        <v>193</v>
      </c>
      <c r="G875">
        <v>8.4097540641930001E-4</v>
      </c>
      <c r="H875">
        <v>20</v>
      </c>
      <c r="I875">
        <v>0</v>
      </c>
      <c r="J875">
        <v>0.64551779027926204</v>
      </c>
      <c r="K875">
        <v>-0.29953878455199701</v>
      </c>
      <c r="L875">
        <v>308387838.13876569</v>
      </c>
      <c r="M875" t="s">
        <v>959</v>
      </c>
      <c r="N875" t="s">
        <v>960</v>
      </c>
      <c r="O875" t="s">
        <v>890</v>
      </c>
      <c r="P875">
        <v>3511</v>
      </c>
      <c r="Q875">
        <v>272</v>
      </c>
      <c r="R875">
        <v>3239</v>
      </c>
    </row>
    <row r="876" spans="1:18" x14ac:dyDescent="0.3">
      <c r="A876" t="s">
        <v>1896</v>
      </c>
      <c r="B876">
        <v>2022</v>
      </c>
      <c r="C876">
        <v>0.59860717409757769</v>
      </c>
      <c r="D876">
        <v>0</v>
      </c>
      <c r="E876">
        <v>1898</v>
      </c>
      <c r="F876">
        <v>83</v>
      </c>
      <c r="G876">
        <v>1.021629867022E-3</v>
      </c>
      <c r="H876">
        <v>10</v>
      </c>
      <c r="I876">
        <v>0</v>
      </c>
      <c r="J876">
        <v>0.65349708365380421</v>
      </c>
      <c r="K876">
        <v>-0.27471105227667741</v>
      </c>
      <c r="L876">
        <v>457599351.78716987</v>
      </c>
      <c r="M876" t="s">
        <v>959</v>
      </c>
      <c r="N876" t="s">
        <v>960</v>
      </c>
      <c r="O876" t="s">
        <v>969</v>
      </c>
      <c r="P876">
        <v>3255</v>
      </c>
      <c r="Q876">
        <v>262</v>
      </c>
      <c r="R876">
        <v>2993</v>
      </c>
    </row>
    <row r="877" spans="1:18" x14ac:dyDescent="0.3">
      <c r="A877" t="s">
        <v>1897</v>
      </c>
      <c r="B877">
        <v>2022</v>
      </c>
      <c r="C877">
        <v>1.1637225223681891</v>
      </c>
      <c r="D877">
        <v>0</v>
      </c>
      <c r="E877">
        <v>22</v>
      </c>
      <c r="F877">
        <v>72</v>
      </c>
      <c r="G877">
        <v>1.5574000740789999E-3</v>
      </c>
      <c r="H877">
        <v>20</v>
      </c>
      <c r="I877">
        <v>0</v>
      </c>
      <c r="J877">
        <v>0.67702399338471442</v>
      </c>
      <c r="K877">
        <v>-0.29430608826731069</v>
      </c>
      <c r="L877">
        <v>313930742.83686417</v>
      </c>
      <c r="M877" t="s">
        <v>959</v>
      </c>
      <c r="N877" t="s">
        <v>960</v>
      </c>
      <c r="O877" t="s">
        <v>970</v>
      </c>
      <c r="P877">
        <v>2496</v>
      </c>
      <c r="Q877">
        <v>0</v>
      </c>
      <c r="R877">
        <v>2496</v>
      </c>
    </row>
    <row r="878" spans="1:18" x14ac:dyDescent="0.3">
      <c r="A878" t="s">
        <v>1898</v>
      </c>
      <c r="B878">
        <v>2022</v>
      </c>
      <c r="C878">
        <v>0.52598693747757319</v>
      </c>
      <c r="D878">
        <v>0</v>
      </c>
      <c r="E878">
        <v>117</v>
      </c>
      <c r="F878">
        <v>18</v>
      </c>
      <c r="G878">
        <v>4.9874686716790996E-3</v>
      </c>
      <c r="H878">
        <v>2</v>
      </c>
      <c r="I878">
        <v>0</v>
      </c>
      <c r="J878">
        <v>0.57501530638721199</v>
      </c>
      <c r="K878">
        <v>-0.18591080125296011</v>
      </c>
      <c r="L878">
        <v>921515864.98987877</v>
      </c>
      <c r="M878" t="s">
        <v>959</v>
      </c>
      <c r="N878" t="s">
        <v>971</v>
      </c>
      <c r="O878" t="s">
        <v>973</v>
      </c>
      <c r="P878">
        <v>1137</v>
      </c>
      <c r="Q878">
        <v>14</v>
      </c>
      <c r="R878">
        <v>1123</v>
      </c>
    </row>
    <row r="879" spans="1:18" x14ac:dyDescent="0.3">
      <c r="A879" t="s">
        <v>1899</v>
      </c>
      <c r="B879">
        <v>2022</v>
      </c>
      <c r="C879">
        <v>0.50920870795834861</v>
      </c>
      <c r="D879">
        <v>0</v>
      </c>
      <c r="E879">
        <v>1</v>
      </c>
      <c r="F879">
        <v>34</v>
      </c>
      <c r="G879">
        <v>7.0771355275199999E-4</v>
      </c>
      <c r="H879">
        <v>2</v>
      </c>
      <c r="I879">
        <v>0</v>
      </c>
      <c r="J879">
        <v>0.6019357702563306</v>
      </c>
      <c r="K879">
        <v>-0.23869858906351391</v>
      </c>
      <c r="L879">
        <v>7124362352.9952555</v>
      </c>
      <c r="M879" t="s">
        <v>959</v>
      </c>
      <c r="N879" t="s">
        <v>971</v>
      </c>
      <c r="O879" t="s">
        <v>974</v>
      </c>
      <c r="P879">
        <v>708</v>
      </c>
      <c r="Q879">
        <v>35</v>
      </c>
      <c r="R879">
        <v>673</v>
      </c>
    </row>
    <row r="880" spans="1:18" x14ac:dyDescent="0.3">
      <c r="A880" t="s">
        <v>1900</v>
      </c>
      <c r="B880">
        <v>2022</v>
      </c>
      <c r="C880">
        <v>0.53150632011650978</v>
      </c>
      <c r="D880">
        <v>0</v>
      </c>
      <c r="E880">
        <v>2</v>
      </c>
      <c r="F880">
        <v>1</v>
      </c>
      <c r="G880">
        <v>4.54545454545454E-2</v>
      </c>
      <c r="H880">
        <v>1</v>
      </c>
      <c r="I880">
        <v>0</v>
      </c>
      <c r="J880">
        <v>0.56484860540036563</v>
      </c>
      <c r="K880">
        <v>-0.17856725063002951</v>
      </c>
      <c r="L880">
        <v>657302441.8760854</v>
      </c>
      <c r="M880" t="s">
        <v>959</v>
      </c>
      <c r="N880" t="s">
        <v>971</v>
      </c>
      <c r="O880" t="s">
        <v>975</v>
      </c>
      <c r="P880">
        <v>938</v>
      </c>
      <c r="Q880">
        <v>78</v>
      </c>
      <c r="R880">
        <v>860</v>
      </c>
    </row>
    <row r="881" spans="1:18" x14ac:dyDescent="0.3">
      <c r="A881" t="s">
        <v>1901</v>
      </c>
      <c r="B881">
        <v>2022</v>
      </c>
      <c r="C881">
        <v>1.4194965369282899</v>
      </c>
      <c r="D881">
        <v>0</v>
      </c>
      <c r="E881">
        <v>7</v>
      </c>
      <c r="F881">
        <v>39</v>
      </c>
      <c r="G881">
        <v>7.5818917924181002E-3</v>
      </c>
      <c r="H881">
        <v>3</v>
      </c>
      <c r="I881">
        <v>1</v>
      </c>
      <c r="J881">
        <v>0.59169232093126067</v>
      </c>
      <c r="K881">
        <v>-0.19653548131586079</v>
      </c>
      <c r="L881">
        <v>97964738.69385384</v>
      </c>
      <c r="M881" t="s">
        <v>959</v>
      </c>
      <c r="N881" t="s">
        <v>977</v>
      </c>
      <c r="O881" t="s">
        <v>979</v>
      </c>
      <c r="P881">
        <v>1652</v>
      </c>
      <c r="Q881">
        <v>13</v>
      </c>
      <c r="R881">
        <v>1639</v>
      </c>
    </row>
    <row r="882" spans="1:18" x14ac:dyDescent="0.3">
      <c r="A882" t="s">
        <v>1902</v>
      </c>
      <c r="B882">
        <v>2022</v>
      </c>
      <c r="C882">
        <v>65.333523134509633</v>
      </c>
      <c r="D882">
        <v>0</v>
      </c>
      <c r="E882">
        <v>141</v>
      </c>
      <c r="F882">
        <v>171</v>
      </c>
      <c r="G882">
        <v>6.8135894266549998E-4</v>
      </c>
      <c r="H882">
        <v>10</v>
      </c>
      <c r="I882">
        <v>1</v>
      </c>
      <c r="J882">
        <v>0.54627480696127861</v>
      </c>
      <c r="K882">
        <v>-0.26399179559172198</v>
      </c>
      <c r="L882">
        <v>133678987.8361751</v>
      </c>
      <c r="M882" t="s">
        <v>959</v>
      </c>
      <c r="N882" t="s">
        <v>977</v>
      </c>
      <c r="O882" t="s">
        <v>431</v>
      </c>
      <c r="P882">
        <v>4243</v>
      </c>
      <c r="Q882">
        <v>493</v>
      </c>
      <c r="R882">
        <v>3750</v>
      </c>
    </row>
    <row r="883" spans="1:18" x14ac:dyDescent="0.3">
      <c r="A883" t="s">
        <v>1903</v>
      </c>
      <c r="B883">
        <v>2022</v>
      </c>
      <c r="C883">
        <v>9.0586049725868687</v>
      </c>
      <c r="D883">
        <v>0</v>
      </c>
      <c r="E883">
        <v>3527</v>
      </c>
      <c r="F883">
        <v>203</v>
      </c>
      <c r="G883">
        <v>1.0609081073848E-3</v>
      </c>
      <c r="H883">
        <v>9</v>
      </c>
      <c r="I883">
        <v>2</v>
      </c>
      <c r="J883">
        <v>0.5898457118780478</v>
      </c>
      <c r="K883">
        <v>-0.25519062943279169</v>
      </c>
      <c r="L883">
        <v>282144379.33992231</v>
      </c>
      <c r="M883" t="s">
        <v>959</v>
      </c>
      <c r="N883" t="s">
        <v>977</v>
      </c>
      <c r="O883" t="s">
        <v>980</v>
      </c>
      <c r="P883">
        <v>5280</v>
      </c>
      <c r="Q883">
        <v>417</v>
      </c>
      <c r="R883">
        <v>4863</v>
      </c>
    </row>
    <row r="884" spans="1:18" x14ac:dyDescent="0.3">
      <c r="A884" t="s">
        <v>1904</v>
      </c>
      <c r="B884">
        <v>2022</v>
      </c>
      <c r="C884">
        <v>2.120264844293549</v>
      </c>
      <c r="D884">
        <v>0</v>
      </c>
      <c r="E884">
        <v>1</v>
      </c>
      <c r="F884">
        <v>109</v>
      </c>
      <c r="G884">
        <v>1.3168351867642999E-3</v>
      </c>
      <c r="H884">
        <v>2</v>
      </c>
      <c r="I884">
        <v>1</v>
      </c>
      <c r="J884">
        <v>0.52616825126455913</v>
      </c>
      <c r="K884">
        <v>-0.26995459830574781</v>
      </c>
      <c r="L884">
        <v>124723771.4622442</v>
      </c>
      <c r="M884" t="s">
        <v>959</v>
      </c>
      <c r="N884" t="s">
        <v>977</v>
      </c>
      <c r="O884" t="s">
        <v>982</v>
      </c>
      <c r="P884">
        <v>3945</v>
      </c>
      <c r="Q884">
        <v>467</v>
      </c>
      <c r="R884">
        <v>3478</v>
      </c>
    </row>
    <row r="885" spans="1:18" x14ac:dyDescent="0.3">
      <c r="A885" t="s">
        <v>1905</v>
      </c>
      <c r="B885">
        <v>2022</v>
      </c>
      <c r="C885">
        <v>2.45541829361524</v>
      </c>
      <c r="D885">
        <v>0</v>
      </c>
      <c r="E885">
        <v>3</v>
      </c>
      <c r="F885">
        <v>96</v>
      </c>
      <c r="G885">
        <v>1.7884973692535999E-3</v>
      </c>
      <c r="H885">
        <v>4</v>
      </c>
      <c r="I885">
        <v>0</v>
      </c>
      <c r="J885">
        <v>0.6126681539609129</v>
      </c>
      <c r="K885">
        <v>-0.2788484289508249</v>
      </c>
      <c r="L885">
        <v>189851663.68595821</v>
      </c>
      <c r="M885" t="s">
        <v>959</v>
      </c>
      <c r="N885" t="s">
        <v>984</v>
      </c>
      <c r="O885" t="s">
        <v>986</v>
      </c>
      <c r="P885">
        <v>3934</v>
      </c>
      <c r="Q885">
        <v>83</v>
      </c>
      <c r="R885">
        <v>3851</v>
      </c>
    </row>
    <row r="886" spans="1:18" x14ac:dyDescent="0.3">
      <c r="A886" t="s">
        <v>1906</v>
      </c>
      <c r="B886">
        <v>2022</v>
      </c>
      <c r="C886">
        <v>0.4603726287138285</v>
      </c>
      <c r="D886">
        <v>0</v>
      </c>
      <c r="E886">
        <v>3</v>
      </c>
      <c r="F886">
        <v>85</v>
      </c>
      <c r="G886">
        <v>8.7144492648830001E-4</v>
      </c>
      <c r="H886">
        <v>6</v>
      </c>
      <c r="I886">
        <v>0</v>
      </c>
      <c r="J886">
        <v>0.68278810063086426</v>
      </c>
      <c r="K886">
        <v>-0.28974754318714713</v>
      </c>
      <c r="L886">
        <v>841107970.33125377</v>
      </c>
      <c r="M886" t="s">
        <v>959</v>
      </c>
      <c r="N886" t="s">
        <v>984</v>
      </c>
      <c r="O886" t="s">
        <v>987</v>
      </c>
      <c r="P886">
        <v>3575</v>
      </c>
      <c r="Q886">
        <v>53</v>
      </c>
      <c r="R886">
        <v>3522</v>
      </c>
    </row>
    <row r="887" spans="1:18" x14ac:dyDescent="0.3">
      <c r="A887" t="s">
        <v>1907</v>
      </c>
      <c r="B887">
        <v>2022</v>
      </c>
      <c r="C887">
        <v>0.92882831561634815</v>
      </c>
      <c r="D887">
        <v>0</v>
      </c>
      <c r="E887">
        <v>178</v>
      </c>
      <c r="F887">
        <v>536</v>
      </c>
      <c r="G887">
        <v>1.222268197227E-4</v>
      </c>
      <c r="H887">
        <v>24</v>
      </c>
      <c r="I887">
        <v>29</v>
      </c>
      <c r="L887">
        <v>678074685.62177205</v>
      </c>
      <c r="M887" t="s">
        <v>990</v>
      </c>
      <c r="N887" t="s">
        <v>991</v>
      </c>
      <c r="O887" t="s">
        <v>993</v>
      </c>
      <c r="P887">
        <v>8600</v>
      </c>
      <c r="Q887">
        <v>1041</v>
      </c>
      <c r="R887">
        <v>7559</v>
      </c>
    </row>
    <row r="888" spans="1:18" x14ac:dyDescent="0.3">
      <c r="A888" t="s">
        <v>1908</v>
      </c>
      <c r="B888">
        <v>2022</v>
      </c>
      <c r="C888">
        <v>1.447581154959249</v>
      </c>
      <c r="D888">
        <v>0</v>
      </c>
      <c r="E888">
        <v>75</v>
      </c>
      <c r="F888">
        <v>358</v>
      </c>
      <c r="G888">
        <v>3.9929244229730001E-4</v>
      </c>
      <c r="H888">
        <v>18</v>
      </c>
      <c r="I888">
        <v>14</v>
      </c>
      <c r="J888">
        <v>0.58075770282116546</v>
      </c>
      <c r="K888">
        <v>-0.29281416834140001</v>
      </c>
      <c r="L888">
        <v>310964368.11171311</v>
      </c>
      <c r="M888" t="s">
        <v>990</v>
      </c>
      <c r="N888" t="s">
        <v>991</v>
      </c>
      <c r="O888" t="s">
        <v>995</v>
      </c>
      <c r="P888">
        <v>11438</v>
      </c>
      <c r="Q888">
        <v>3138</v>
      </c>
      <c r="R888">
        <v>8300</v>
      </c>
    </row>
    <row r="889" spans="1:18" x14ac:dyDescent="0.3">
      <c r="A889" t="s">
        <v>1909</v>
      </c>
      <c r="B889">
        <v>2022</v>
      </c>
      <c r="C889">
        <v>1.388976272130297</v>
      </c>
      <c r="D889">
        <v>0</v>
      </c>
      <c r="E889">
        <v>244</v>
      </c>
      <c r="F889">
        <v>524</v>
      </c>
      <c r="G889">
        <v>3.3235882051949999E-4</v>
      </c>
      <c r="H889">
        <v>8</v>
      </c>
      <c r="I889">
        <v>21</v>
      </c>
      <c r="J889">
        <v>0.43831470335442918</v>
      </c>
      <c r="K889">
        <v>-0.2233135300169205</v>
      </c>
      <c r="L889">
        <v>204159319.6655238</v>
      </c>
      <c r="M889" t="s">
        <v>990</v>
      </c>
      <c r="N889" t="s">
        <v>991</v>
      </c>
      <c r="O889" t="s">
        <v>996</v>
      </c>
      <c r="P889">
        <v>13624</v>
      </c>
      <c r="Q889">
        <v>2543</v>
      </c>
      <c r="R889">
        <v>11081</v>
      </c>
    </row>
    <row r="890" spans="1:18" x14ac:dyDescent="0.3">
      <c r="A890" t="s">
        <v>1910</v>
      </c>
      <c r="B890">
        <v>2022</v>
      </c>
      <c r="C890">
        <v>1.528736259412143</v>
      </c>
      <c r="D890">
        <v>0</v>
      </c>
      <c r="E890">
        <v>830</v>
      </c>
      <c r="F890">
        <v>550</v>
      </c>
      <c r="G890">
        <v>2.5846770707770001E-4</v>
      </c>
      <c r="H890">
        <v>3</v>
      </c>
      <c r="I890">
        <v>27</v>
      </c>
      <c r="J890">
        <v>0.5441000079150764</v>
      </c>
      <c r="K890">
        <v>-0.2485100182080327</v>
      </c>
      <c r="L890">
        <v>310253416.01449829</v>
      </c>
      <c r="M890" t="s">
        <v>990</v>
      </c>
      <c r="N890" t="s">
        <v>991</v>
      </c>
      <c r="O890" t="s">
        <v>997</v>
      </c>
      <c r="P890">
        <v>9865</v>
      </c>
      <c r="Q890">
        <v>2051</v>
      </c>
      <c r="R890">
        <v>7814</v>
      </c>
    </row>
    <row r="891" spans="1:18" x14ac:dyDescent="0.3">
      <c r="A891" t="s">
        <v>1911</v>
      </c>
      <c r="B891">
        <v>2022</v>
      </c>
      <c r="C891">
        <v>0.89562937402625376</v>
      </c>
      <c r="D891">
        <v>0</v>
      </c>
      <c r="E891">
        <v>4</v>
      </c>
      <c r="F891">
        <v>224</v>
      </c>
      <c r="G891">
        <v>4.0423915216950001E-4</v>
      </c>
      <c r="H891">
        <v>3</v>
      </c>
      <c r="I891">
        <v>22</v>
      </c>
      <c r="J891">
        <v>0.54057108662104503</v>
      </c>
      <c r="K891">
        <v>-0.24999127288287221</v>
      </c>
      <c r="L891">
        <v>282755587.33769262</v>
      </c>
      <c r="M891" t="s">
        <v>990</v>
      </c>
      <c r="N891" t="s">
        <v>991</v>
      </c>
      <c r="O891" t="s">
        <v>998</v>
      </c>
      <c r="P891">
        <v>5939</v>
      </c>
      <c r="Q891">
        <v>1532</v>
      </c>
      <c r="R891">
        <v>4407</v>
      </c>
    </row>
    <row r="892" spans="1:18" x14ac:dyDescent="0.3">
      <c r="A892" t="s">
        <v>1912</v>
      </c>
      <c r="B892">
        <v>2022</v>
      </c>
      <c r="C892">
        <v>0.71004517236254805</v>
      </c>
      <c r="D892">
        <v>0</v>
      </c>
      <c r="E892">
        <v>33</v>
      </c>
      <c r="F892">
        <v>212</v>
      </c>
      <c r="G892">
        <v>4.5606579776350003E-4</v>
      </c>
      <c r="H892">
        <v>6</v>
      </c>
      <c r="I892">
        <v>26</v>
      </c>
      <c r="J892">
        <v>0.6274566711802223</v>
      </c>
      <c r="K892">
        <v>-0.31394141585959667</v>
      </c>
      <c r="L892">
        <v>352339824.62275881</v>
      </c>
      <c r="M892" t="s">
        <v>990</v>
      </c>
      <c r="N892" t="s">
        <v>991</v>
      </c>
      <c r="O892" t="s">
        <v>999</v>
      </c>
      <c r="P892">
        <v>7040</v>
      </c>
      <c r="Q892">
        <v>1662</v>
      </c>
      <c r="R892">
        <v>5378</v>
      </c>
    </row>
    <row r="893" spans="1:18" x14ac:dyDescent="0.3">
      <c r="A893" t="s">
        <v>1913</v>
      </c>
      <c r="B893">
        <v>2022</v>
      </c>
      <c r="C893">
        <v>1.3216624137162729</v>
      </c>
      <c r="D893">
        <v>0</v>
      </c>
      <c r="E893">
        <v>207</v>
      </c>
      <c r="F893">
        <v>263</v>
      </c>
      <c r="G893">
        <v>5.2703087371849995E-4</v>
      </c>
      <c r="H893">
        <v>25</v>
      </c>
      <c r="I893">
        <v>10</v>
      </c>
      <c r="J893">
        <v>0.436562365934</v>
      </c>
      <c r="K893">
        <v>-0.1982298887155324</v>
      </c>
      <c r="L893">
        <v>102140525.5603929</v>
      </c>
      <c r="M893" t="s">
        <v>990</v>
      </c>
      <c r="N893" t="s">
        <v>1000</v>
      </c>
      <c r="O893" t="s">
        <v>1001</v>
      </c>
      <c r="P893">
        <v>7386</v>
      </c>
      <c r="Q893">
        <v>1356</v>
      </c>
      <c r="R893">
        <v>6030</v>
      </c>
    </row>
    <row r="894" spans="1:18" x14ac:dyDescent="0.3">
      <c r="A894" t="s">
        <v>1914</v>
      </c>
      <c r="B894">
        <v>2022</v>
      </c>
      <c r="C894">
        <v>1.4695788180136209</v>
      </c>
      <c r="D894">
        <v>0</v>
      </c>
      <c r="E894">
        <v>244</v>
      </c>
      <c r="F894">
        <v>238</v>
      </c>
      <c r="G894">
        <v>1.2108974080376001E-3</v>
      </c>
      <c r="H894">
        <v>13</v>
      </c>
      <c r="I894">
        <v>8</v>
      </c>
      <c r="J894">
        <v>0.40996036351631931</v>
      </c>
      <c r="K894">
        <v>-0.19538461823139719</v>
      </c>
      <c r="L894">
        <v>58505104.55903329</v>
      </c>
      <c r="M894" t="s">
        <v>990</v>
      </c>
      <c r="N894" t="s">
        <v>1000</v>
      </c>
      <c r="O894" t="s">
        <v>1002</v>
      </c>
      <c r="P894">
        <v>4529</v>
      </c>
      <c r="Q894">
        <v>1121</v>
      </c>
      <c r="R894">
        <v>3408</v>
      </c>
    </row>
    <row r="895" spans="1:18" x14ac:dyDescent="0.3">
      <c r="A895" t="s">
        <v>1915</v>
      </c>
      <c r="B895">
        <v>2022</v>
      </c>
      <c r="C895">
        <v>1.844905613388355</v>
      </c>
      <c r="D895">
        <v>0</v>
      </c>
      <c r="E895">
        <v>14</v>
      </c>
      <c r="F895">
        <v>97</v>
      </c>
      <c r="G895">
        <v>1.0388948198664001E-3</v>
      </c>
      <c r="H895">
        <v>9</v>
      </c>
      <c r="I895">
        <v>6</v>
      </c>
      <c r="J895">
        <v>0.5328600504166956</v>
      </c>
      <c r="K895">
        <v>-0.24866006516439479</v>
      </c>
      <c r="L895">
        <v>82791428.481541321</v>
      </c>
      <c r="M895" t="s">
        <v>990</v>
      </c>
      <c r="N895" t="s">
        <v>1000</v>
      </c>
      <c r="O895" t="s">
        <v>1003</v>
      </c>
      <c r="P895">
        <v>2293</v>
      </c>
      <c r="Q895">
        <v>311</v>
      </c>
      <c r="R895">
        <v>1982</v>
      </c>
    </row>
    <row r="896" spans="1:18" x14ac:dyDescent="0.3">
      <c r="A896" t="s">
        <v>1916</v>
      </c>
      <c r="B896">
        <v>2022</v>
      </c>
      <c r="C896">
        <v>0.67879509032127427</v>
      </c>
      <c r="D896">
        <v>0</v>
      </c>
      <c r="E896">
        <v>0</v>
      </c>
      <c r="F896">
        <v>100</v>
      </c>
      <c r="G896">
        <v>2.2967384493089999E-4</v>
      </c>
      <c r="H896">
        <v>12</v>
      </c>
      <c r="I896">
        <v>0</v>
      </c>
      <c r="J896">
        <v>0.47011125275761378</v>
      </c>
      <c r="K896">
        <v>-0.31093132824867431</v>
      </c>
      <c r="L896">
        <v>380002100.73220432</v>
      </c>
      <c r="M896" t="s">
        <v>20</v>
      </c>
      <c r="N896" t="s">
        <v>21</v>
      </c>
      <c r="O896" t="s">
        <v>24</v>
      </c>
      <c r="P896">
        <v>1720</v>
      </c>
      <c r="Q896">
        <v>540</v>
      </c>
      <c r="R896">
        <v>1180</v>
      </c>
    </row>
    <row r="897" spans="1:18" x14ac:dyDescent="0.3">
      <c r="A897" t="s">
        <v>1917</v>
      </c>
      <c r="B897">
        <v>2022</v>
      </c>
      <c r="C897">
        <v>2.331000138616611</v>
      </c>
      <c r="D897">
        <v>0</v>
      </c>
      <c r="E897">
        <v>0</v>
      </c>
      <c r="F897">
        <v>43</v>
      </c>
      <c r="G897">
        <v>1.372444327016E-3</v>
      </c>
      <c r="H897">
        <v>1</v>
      </c>
      <c r="I897">
        <v>0</v>
      </c>
      <c r="J897">
        <v>0.48943174803095119</v>
      </c>
      <c r="K897">
        <v>-0.27858931197051578</v>
      </c>
      <c r="L897">
        <v>20024826.706904691</v>
      </c>
      <c r="M897" t="s">
        <v>20</v>
      </c>
      <c r="N897" t="s">
        <v>46</v>
      </c>
      <c r="O897" t="s">
        <v>47</v>
      </c>
      <c r="P897">
        <v>1552</v>
      </c>
      <c r="Q897">
        <v>600</v>
      </c>
      <c r="R897">
        <v>952</v>
      </c>
    </row>
    <row r="898" spans="1:18" x14ac:dyDescent="0.3">
      <c r="A898" t="s">
        <v>1918</v>
      </c>
      <c r="B898">
        <v>2022</v>
      </c>
      <c r="C898">
        <v>2.1431513008996301</v>
      </c>
      <c r="D898">
        <v>0</v>
      </c>
      <c r="E898">
        <v>0</v>
      </c>
      <c r="F898">
        <v>114</v>
      </c>
      <c r="G898">
        <v>4.6477459872370001E-4</v>
      </c>
      <c r="H898">
        <v>3</v>
      </c>
      <c r="I898">
        <v>0</v>
      </c>
      <c r="J898">
        <v>0.51327135513644229</v>
      </c>
      <c r="K898">
        <v>-0.3512959480920233</v>
      </c>
      <c r="L898">
        <v>37890839.594574757</v>
      </c>
      <c r="M898" t="s">
        <v>20</v>
      </c>
      <c r="N898" t="s">
        <v>46</v>
      </c>
      <c r="O898" t="s">
        <v>49</v>
      </c>
      <c r="P898">
        <v>2511</v>
      </c>
      <c r="Q898">
        <v>720</v>
      </c>
      <c r="R898">
        <v>1791</v>
      </c>
    </row>
    <row r="899" spans="1:18" x14ac:dyDescent="0.3">
      <c r="A899" t="s">
        <v>1919</v>
      </c>
      <c r="B899">
        <v>2022</v>
      </c>
      <c r="C899">
        <v>1.196282050214718</v>
      </c>
      <c r="D899">
        <v>0</v>
      </c>
      <c r="E899">
        <v>0</v>
      </c>
      <c r="F899">
        <v>72</v>
      </c>
      <c r="G899">
        <v>5.4614423520669996E-4</v>
      </c>
      <c r="H899">
        <v>18</v>
      </c>
      <c r="I899">
        <v>0</v>
      </c>
      <c r="J899">
        <v>0.55851367610886893</v>
      </c>
      <c r="K899">
        <v>-0.3368149700568952</v>
      </c>
      <c r="L899">
        <v>38819228.484779269</v>
      </c>
      <c r="M899" t="s">
        <v>20</v>
      </c>
      <c r="N899" t="s">
        <v>59</v>
      </c>
      <c r="O899" t="s">
        <v>65</v>
      </c>
      <c r="P899">
        <v>1315</v>
      </c>
      <c r="Q899">
        <v>710</v>
      </c>
      <c r="R899">
        <v>605</v>
      </c>
    </row>
    <row r="900" spans="1:18" x14ac:dyDescent="0.3">
      <c r="A900" t="s">
        <v>1920</v>
      </c>
      <c r="B900">
        <v>2022</v>
      </c>
      <c r="C900">
        <v>0.79634765929847839</v>
      </c>
      <c r="D900">
        <v>0</v>
      </c>
      <c r="E900">
        <v>0</v>
      </c>
      <c r="F900">
        <v>112</v>
      </c>
      <c r="G900">
        <v>3.0152162448509999E-4</v>
      </c>
      <c r="H900">
        <v>4</v>
      </c>
      <c r="I900">
        <v>1</v>
      </c>
      <c r="J900">
        <v>0.39100774954216921</v>
      </c>
      <c r="K900">
        <v>-0.16375067421183831</v>
      </c>
      <c r="L900">
        <v>197973639.02855709</v>
      </c>
      <c r="M900" t="s">
        <v>20</v>
      </c>
      <c r="N900" t="s">
        <v>71</v>
      </c>
      <c r="O900" t="s">
        <v>73</v>
      </c>
      <c r="P900">
        <v>2646</v>
      </c>
      <c r="Q900">
        <v>914</v>
      </c>
      <c r="R900">
        <v>1732</v>
      </c>
    </row>
    <row r="901" spans="1:18" x14ac:dyDescent="0.3">
      <c r="A901" t="s">
        <v>1921</v>
      </c>
      <c r="B901">
        <v>2022</v>
      </c>
      <c r="C901">
        <v>3.3895745065995331</v>
      </c>
      <c r="D901">
        <v>0</v>
      </c>
      <c r="E901">
        <v>0</v>
      </c>
      <c r="F901">
        <v>39</v>
      </c>
      <c r="G901">
        <v>2.3138800597544999E-3</v>
      </c>
      <c r="H901">
        <v>1</v>
      </c>
      <c r="I901">
        <v>0</v>
      </c>
      <c r="J901">
        <v>0.5120888513882238</v>
      </c>
      <c r="K901">
        <v>-0.32772453684687491</v>
      </c>
      <c r="L901">
        <v>16458595.445361581</v>
      </c>
      <c r="M901" t="s">
        <v>20</v>
      </c>
      <c r="N901" t="s">
        <v>76</v>
      </c>
      <c r="O901" t="s">
        <v>78</v>
      </c>
      <c r="P901">
        <v>1058</v>
      </c>
      <c r="Q901">
        <v>386</v>
      </c>
      <c r="R901">
        <v>672</v>
      </c>
    </row>
    <row r="902" spans="1:18" x14ac:dyDescent="0.3">
      <c r="A902" t="s">
        <v>1922</v>
      </c>
      <c r="B902">
        <v>2022</v>
      </c>
      <c r="C902">
        <v>1.1164821647682011</v>
      </c>
      <c r="D902">
        <v>0</v>
      </c>
      <c r="E902">
        <v>0</v>
      </c>
      <c r="F902">
        <v>127</v>
      </c>
      <c r="G902">
        <v>5.2424531830840004E-4</v>
      </c>
      <c r="H902">
        <v>10</v>
      </c>
      <c r="I902">
        <v>0</v>
      </c>
      <c r="J902">
        <v>0.52426724344555109</v>
      </c>
      <c r="K902">
        <v>-0.3490405769995979</v>
      </c>
      <c r="L902">
        <v>79229823.918953538</v>
      </c>
      <c r="M902" t="s">
        <v>20</v>
      </c>
      <c r="N902" t="s">
        <v>76</v>
      </c>
      <c r="O902" t="s">
        <v>79</v>
      </c>
      <c r="P902">
        <v>3428</v>
      </c>
      <c r="Q902">
        <v>825</v>
      </c>
      <c r="R902">
        <v>2603</v>
      </c>
    </row>
    <row r="903" spans="1:18" x14ac:dyDescent="0.3">
      <c r="A903" t="s">
        <v>1923</v>
      </c>
      <c r="B903">
        <v>2022</v>
      </c>
      <c r="C903">
        <v>1.2512707379923711</v>
      </c>
      <c r="D903">
        <v>0</v>
      </c>
      <c r="E903">
        <v>0</v>
      </c>
      <c r="F903">
        <v>114</v>
      </c>
      <c r="G903">
        <v>7.1940236627329995E-4</v>
      </c>
      <c r="H903">
        <v>9</v>
      </c>
      <c r="I903">
        <v>0</v>
      </c>
      <c r="J903">
        <v>0.58516496332480061</v>
      </c>
      <c r="K903">
        <v>-0.3871661264169543</v>
      </c>
      <c r="L903">
        <v>42986860.922375113</v>
      </c>
      <c r="M903" t="s">
        <v>20</v>
      </c>
      <c r="N903" t="s">
        <v>76</v>
      </c>
      <c r="O903" t="s">
        <v>81</v>
      </c>
      <c r="P903">
        <v>2065</v>
      </c>
      <c r="Q903">
        <v>727</v>
      </c>
      <c r="R903">
        <v>1338</v>
      </c>
    </row>
    <row r="904" spans="1:18" x14ac:dyDescent="0.3">
      <c r="A904" t="s">
        <v>1924</v>
      </c>
      <c r="B904">
        <v>2022</v>
      </c>
      <c r="C904">
        <v>1.6496209290331261</v>
      </c>
      <c r="D904">
        <v>0</v>
      </c>
      <c r="E904">
        <v>0</v>
      </c>
      <c r="F904">
        <v>35</v>
      </c>
      <c r="G904">
        <v>3.2498144396076001E-3</v>
      </c>
      <c r="H904">
        <v>1</v>
      </c>
      <c r="I904">
        <v>0</v>
      </c>
      <c r="J904">
        <v>0.50396516377988476</v>
      </c>
      <c r="K904">
        <v>-0.30214941524510619</v>
      </c>
      <c r="L904">
        <v>30656831.914547201</v>
      </c>
      <c r="M904" t="s">
        <v>20</v>
      </c>
      <c r="N904" t="s">
        <v>85</v>
      </c>
      <c r="O904" t="s">
        <v>86</v>
      </c>
      <c r="P904">
        <v>1158</v>
      </c>
      <c r="Q904">
        <v>733</v>
      </c>
      <c r="R904">
        <v>425</v>
      </c>
    </row>
    <row r="905" spans="1:18" x14ac:dyDescent="0.3">
      <c r="A905" t="s">
        <v>1925</v>
      </c>
      <c r="B905">
        <v>2022</v>
      </c>
      <c r="C905">
        <v>2.210971806104165</v>
      </c>
      <c r="D905">
        <v>0</v>
      </c>
      <c r="E905">
        <v>0</v>
      </c>
      <c r="F905">
        <v>35</v>
      </c>
      <c r="G905">
        <v>2.8464883122043001E-3</v>
      </c>
      <c r="H905">
        <v>1</v>
      </c>
      <c r="I905">
        <v>0</v>
      </c>
      <c r="J905">
        <v>0.41979015848699508</v>
      </c>
      <c r="K905">
        <v>-0.23683688149440171</v>
      </c>
      <c r="L905">
        <v>14010563.931088479</v>
      </c>
      <c r="M905" t="s">
        <v>20</v>
      </c>
      <c r="N905" t="s">
        <v>85</v>
      </c>
      <c r="O905" t="s">
        <v>89</v>
      </c>
      <c r="P905">
        <v>1020</v>
      </c>
      <c r="Q905">
        <v>570</v>
      </c>
      <c r="R905">
        <v>450</v>
      </c>
    </row>
    <row r="906" spans="1:18" x14ac:dyDescent="0.3">
      <c r="A906" t="s">
        <v>1926</v>
      </c>
      <c r="B906">
        <v>2022</v>
      </c>
      <c r="C906">
        <v>3.4428777207105261</v>
      </c>
      <c r="D906">
        <v>0</v>
      </c>
      <c r="E906">
        <v>0</v>
      </c>
      <c r="F906">
        <v>59</v>
      </c>
      <c r="G906">
        <v>1.5549896038849001E-3</v>
      </c>
      <c r="H906">
        <v>9</v>
      </c>
      <c r="I906">
        <v>0</v>
      </c>
      <c r="J906">
        <v>0.57499949319596888</v>
      </c>
      <c r="K906">
        <v>-0.3379534589400906</v>
      </c>
      <c r="L906">
        <v>17713102.856892992</v>
      </c>
      <c r="M906" t="s">
        <v>20</v>
      </c>
      <c r="N906" t="s">
        <v>90</v>
      </c>
      <c r="O906" t="s">
        <v>90</v>
      </c>
      <c r="P906">
        <v>1085</v>
      </c>
      <c r="Q906">
        <v>895</v>
      </c>
      <c r="R906">
        <v>190</v>
      </c>
    </row>
    <row r="907" spans="1:18" x14ac:dyDescent="0.3">
      <c r="A907" t="s">
        <v>1927</v>
      </c>
      <c r="B907">
        <v>2022</v>
      </c>
      <c r="C907">
        <v>1.1142107597827779</v>
      </c>
      <c r="D907">
        <v>0</v>
      </c>
      <c r="E907">
        <v>0</v>
      </c>
      <c r="F907">
        <v>68</v>
      </c>
      <c r="G907">
        <v>4.8777471436769999E-4</v>
      </c>
      <c r="H907">
        <v>1</v>
      </c>
      <c r="I907">
        <v>0</v>
      </c>
      <c r="J907">
        <v>0.4997845626250324</v>
      </c>
      <c r="K907">
        <v>-0.25515077069219361</v>
      </c>
      <c r="L907">
        <v>121604394.17264</v>
      </c>
      <c r="M907" t="s">
        <v>20</v>
      </c>
      <c r="N907" t="s">
        <v>90</v>
      </c>
      <c r="O907" t="s">
        <v>91</v>
      </c>
      <c r="P907">
        <v>1691</v>
      </c>
      <c r="Q907">
        <v>1170</v>
      </c>
      <c r="R907">
        <v>521</v>
      </c>
    </row>
    <row r="908" spans="1:18" x14ac:dyDescent="0.3">
      <c r="A908" t="s">
        <v>1928</v>
      </c>
      <c r="B908">
        <v>2022</v>
      </c>
      <c r="C908">
        <v>1.902208075904237</v>
      </c>
      <c r="D908">
        <v>0</v>
      </c>
      <c r="E908">
        <v>0</v>
      </c>
      <c r="F908">
        <v>73</v>
      </c>
      <c r="G908">
        <v>7.4926070287030001E-4</v>
      </c>
      <c r="H908">
        <v>4</v>
      </c>
      <c r="I908">
        <v>1</v>
      </c>
      <c r="J908">
        <v>0.50417702625830874</v>
      </c>
      <c r="K908">
        <v>-0.22997739191433639</v>
      </c>
      <c r="L908">
        <v>65398488.14263054</v>
      </c>
      <c r="M908" t="s">
        <v>20</v>
      </c>
      <c r="N908" t="s">
        <v>92</v>
      </c>
      <c r="O908" t="s">
        <v>92</v>
      </c>
      <c r="P908">
        <v>2026</v>
      </c>
      <c r="Q908">
        <v>1548</v>
      </c>
      <c r="R908">
        <v>478</v>
      </c>
    </row>
    <row r="909" spans="1:18" x14ac:dyDescent="0.3">
      <c r="A909" t="s">
        <v>1929</v>
      </c>
      <c r="B909">
        <v>2022</v>
      </c>
      <c r="C909">
        <v>1.691445833603074</v>
      </c>
      <c r="D909">
        <v>0</v>
      </c>
      <c r="E909">
        <v>0</v>
      </c>
      <c r="F909">
        <v>88</v>
      </c>
      <c r="G909">
        <v>7.428661056184E-4</v>
      </c>
      <c r="H909">
        <v>1</v>
      </c>
      <c r="I909">
        <v>1</v>
      </c>
      <c r="J909">
        <v>0.49800087782233599</v>
      </c>
      <c r="K909">
        <v>-0.2367077704945435</v>
      </c>
      <c r="L909">
        <v>70129985.711157143</v>
      </c>
      <c r="M909" t="s">
        <v>20</v>
      </c>
      <c r="N909" t="s">
        <v>92</v>
      </c>
      <c r="O909" t="s">
        <v>94</v>
      </c>
      <c r="P909">
        <v>1690</v>
      </c>
      <c r="Q909">
        <v>1336</v>
      </c>
      <c r="R909">
        <v>354</v>
      </c>
    </row>
    <row r="910" spans="1:18" x14ac:dyDescent="0.3">
      <c r="A910" t="s">
        <v>1930</v>
      </c>
      <c r="B910">
        <v>2022</v>
      </c>
      <c r="C910">
        <v>0.75574304503746836</v>
      </c>
      <c r="D910">
        <v>0</v>
      </c>
      <c r="E910">
        <v>0</v>
      </c>
      <c r="F910">
        <v>68</v>
      </c>
      <c r="G910">
        <v>1.6474430472839999E-4</v>
      </c>
      <c r="H910">
        <v>2</v>
      </c>
      <c r="I910">
        <v>11</v>
      </c>
      <c r="J910">
        <v>0.37840218603464948</v>
      </c>
      <c r="K910">
        <v>-0.18784092247775</v>
      </c>
      <c r="L910">
        <v>117759129.1017286</v>
      </c>
      <c r="M910" t="s">
        <v>97</v>
      </c>
      <c r="N910" t="s">
        <v>98</v>
      </c>
      <c r="O910" t="s">
        <v>99</v>
      </c>
      <c r="P910">
        <v>1859</v>
      </c>
      <c r="Q910">
        <v>240</v>
      </c>
      <c r="R910">
        <v>1619</v>
      </c>
    </row>
    <row r="911" spans="1:18" x14ac:dyDescent="0.3">
      <c r="A911" t="s">
        <v>1931</v>
      </c>
      <c r="B911">
        <v>2022</v>
      </c>
      <c r="C911">
        <v>0.8764552350516388</v>
      </c>
      <c r="D911">
        <v>0</v>
      </c>
      <c r="E911">
        <v>0</v>
      </c>
      <c r="F911">
        <v>106</v>
      </c>
      <c r="G911">
        <v>2.506891748586E-4</v>
      </c>
      <c r="H911">
        <v>17</v>
      </c>
      <c r="I911">
        <v>1</v>
      </c>
      <c r="J911">
        <v>0.39553964174088069</v>
      </c>
      <c r="K911">
        <v>-0.2137323668005405</v>
      </c>
      <c r="L911">
        <v>217778200.36489359</v>
      </c>
      <c r="M911" t="s">
        <v>124</v>
      </c>
      <c r="N911" t="s">
        <v>124</v>
      </c>
      <c r="O911" t="s">
        <v>138</v>
      </c>
      <c r="P911">
        <v>3191</v>
      </c>
      <c r="Q911">
        <v>871</v>
      </c>
      <c r="R911">
        <v>2320</v>
      </c>
    </row>
    <row r="912" spans="1:18" x14ac:dyDescent="0.3">
      <c r="A912" t="s">
        <v>1932</v>
      </c>
      <c r="B912">
        <v>2022</v>
      </c>
      <c r="C912">
        <v>0.78781994349914941</v>
      </c>
      <c r="D912">
        <v>0</v>
      </c>
      <c r="E912">
        <v>0</v>
      </c>
      <c r="F912">
        <v>43</v>
      </c>
      <c r="G912">
        <v>8.9313374210170003E-4</v>
      </c>
      <c r="H912">
        <v>1</v>
      </c>
      <c r="I912">
        <v>0</v>
      </c>
      <c r="J912">
        <v>0.26736674887753192</v>
      </c>
      <c r="K912">
        <v>-0.126051354513216</v>
      </c>
      <c r="L912">
        <v>68036862.187057689</v>
      </c>
      <c r="M912" t="s">
        <v>124</v>
      </c>
      <c r="N912" t="s">
        <v>124</v>
      </c>
      <c r="O912" t="s">
        <v>147</v>
      </c>
      <c r="P912">
        <v>1356</v>
      </c>
      <c r="Q912">
        <v>581</v>
      </c>
      <c r="R912">
        <v>775</v>
      </c>
    </row>
    <row r="913" spans="1:18" x14ac:dyDescent="0.3">
      <c r="A913" t="s">
        <v>1933</v>
      </c>
      <c r="B913">
        <v>2022</v>
      </c>
      <c r="C913">
        <v>1.613393549207605</v>
      </c>
      <c r="D913">
        <v>0</v>
      </c>
      <c r="E913">
        <v>0</v>
      </c>
      <c r="F913">
        <v>282</v>
      </c>
      <c r="G913">
        <v>8.2584652248869996E-4</v>
      </c>
      <c r="H913">
        <v>4</v>
      </c>
      <c r="I913">
        <v>0</v>
      </c>
      <c r="J913">
        <v>0.42475535256018421</v>
      </c>
      <c r="K913">
        <v>-0.31599571410940208</v>
      </c>
      <c r="L913">
        <v>151420475.41930261</v>
      </c>
      <c r="M913" t="s">
        <v>124</v>
      </c>
      <c r="N913" t="s">
        <v>149</v>
      </c>
      <c r="O913" t="s">
        <v>151</v>
      </c>
      <c r="P913">
        <v>10864</v>
      </c>
      <c r="Q913">
        <v>3942</v>
      </c>
      <c r="R913">
        <v>6922</v>
      </c>
    </row>
    <row r="914" spans="1:18" x14ac:dyDescent="0.3">
      <c r="A914" t="s">
        <v>1934</v>
      </c>
      <c r="B914">
        <v>2022</v>
      </c>
      <c r="C914">
        <v>0.97937460475310656</v>
      </c>
      <c r="D914">
        <v>0</v>
      </c>
      <c r="E914">
        <v>0</v>
      </c>
      <c r="F914">
        <v>38</v>
      </c>
      <c r="G914">
        <v>1.4836697778108001E-3</v>
      </c>
      <c r="H914">
        <v>6</v>
      </c>
      <c r="I914">
        <v>1</v>
      </c>
      <c r="J914">
        <v>0.39949154178948321</v>
      </c>
      <c r="K914">
        <v>-0.27280771652771568</v>
      </c>
      <c r="L914">
        <v>39427389.115394592</v>
      </c>
      <c r="M914" t="s">
        <v>156</v>
      </c>
      <c r="N914" t="s">
        <v>181</v>
      </c>
      <c r="O914" t="s">
        <v>184</v>
      </c>
      <c r="P914">
        <v>641</v>
      </c>
      <c r="Q914">
        <v>305</v>
      </c>
      <c r="R914">
        <v>336</v>
      </c>
    </row>
    <row r="915" spans="1:18" x14ac:dyDescent="0.3">
      <c r="A915" t="s">
        <v>1935</v>
      </c>
      <c r="B915">
        <v>2022</v>
      </c>
      <c r="C915">
        <v>1.7907285725864179</v>
      </c>
      <c r="D915">
        <v>0</v>
      </c>
      <c r="E915">
        <v>0</v>
      </c>
      <c r="F915">
        <v>147</v>
      </c>
      <c r="G915">
        <v>5.4166823922900003E-4</v>
      </c>
      <c r="H915">
        <v>2</v>
      </c>
      <c r="I915">
        <v>1</v>
      </c>
      <c r="J915">
        <v>0.44259831734808841</v>
      </c>
      <c r="K915">
        <v>-0.29616846142093661</v>
      </c>
      <c r="L915">
        <v>112034428.8035332</v>
      </c>
      <c r="M915" t="s">
        <v>156</v>
      </c>
      <c r="N915" t="s">
        <v>181</v>
      </c>
      <c r="O915" t="s">
        <v>186</v>
      </c>
      <c r="P915">
        <v>3386</v>
      </c>
      <c r="Q915">
        <v>2006</v>
      </c>
      <c r="R915">
        <v>1380</v>
      </c>
    </row>
    <row r="916" spans="1:18" x14ac:dyDescent="0.3">
      <c r="A916" t="s">
        <v>1936</v>
      </c>
      <c r="B916">
        <v>2022</v>
      </c>
      <c r="C916">
        <v>1.6450034122128629</v>
      </c>
      <c r="D916">
        <v>0</v>
      </c>
      <c r="E916">
        <v>0</v>
      </c>
      <c r="F916">
        <v>44</v>
      </c>
      <c r="G916">
        <v>1.2345417999996E-3</v>
      </c>
      <c r="H916">
        <v>4</v>
      </c>
      <c r="I916">
        <v>3</v>
      </c>
      <c r="J916">
        <v>0.4740577739981362</v>
      </c>
      <c r="K916">
        <v>-0.2496101933592875</v>
      </c>
      <c r="L916">
        <v>18618360.87754301</v>
      </c>
      <c r="M916" t="s">
        <v>156</v>
      </c>
      <c r="N916" t="s">
        <v>181</v>
      </c>
      <c r="O916" t="s">
        <v>187</v>
      </c>
      <c r="P916">
        <v>929</v>
      </c>
      <c r="Q916">
        <v>366</v>
      </c>
      <c r="R916">
        <v>563</v>
      </c>
    </row>
    <row r="917" spans="1:18" x14ac:dyDescent="0.3">
      <c r="A917" t="s">
        <v>1937</v>
      </c>
      <c r="B917">
        <v>2022</v>
      </c>
      <c r="C917">
        <v>1.616261806335848</v>
      </c>
      <c r="D917">
        <v>0</v>
      </c>
      <c r="E917">
        <v>0</v>
      </c>
      <c r="F917">
        <v>54</v>
      </c>
      <c r="G917">
        <v>2.1692860060627999E-3</v>
      </c>
      <c r="H917">
        <v>4</v>
      </c>
      <c r="I917">
        <v>2</v>
      </c>
      <c r="J917">
        <v>0.4184620343080831</v>
      </c>
      <c r="K917">
        <v>-0.24189248723624429</v>
      </c>
      <c r="L917">
        <v>33210375.741317101</v>
      </c>
      <c r="M917" t="s">
        <v>156</v>
      </c>
      <c r="N917" t="s">
        <v>188</v>
      </c>
      <c r="O917" t="s">
        <v>190</v>
      </c>
      <c r="P917">
        <v>1482</v>
      </c>
      <c r="Q917">
        <v>809</v>
      </c>
      <c r="R917">
        <v>673</v>
      </c>
    </row>
    <row r="918" spans="1:18" x14ac:dyDescent="0.3">
      <c r="A918" t="s">
        <v>1938</v>
      </c>
      <c r="B918">
        <v>2022</v>
      </c>
      <c r="C918">
        <v>0.61712242153411145</v>
      </c>
      <c r="D918">
        <v>0</v>
      </c>
      <c r="E918">
        <v>0</v>
      </c>
      <c r="F918">
        <v>29</v>
      </c>
      <c r="G918">
        <v>3.4934497816590003E-4</v>
      </c>
      <c r="H918">
        <v>3</v>
      </c>
      <c r="I918">
        <v>8</v>
      </c>
      <c r="J918">
        <v>0.415616732665408</v>
      </c>
      <c r="K918">
        <v>-0.18885819391713299</v>
      </c>
      <c r="L918">
        <v>117963625.61211181</v>
      </c>
      <c r="M918" t="s">
        <v>191</v>
      </c>
      <c r="N918" t="s">
        <v>206</v>
      </c>
      <c r="O918" t="s">
        <v>210</v>
      </c>
      <c r="P918">
        <v>1762</v>
      </c>
      <c r="Q918">
        <v>39</v>
      </c>
      <c r="R918">
        <v>1723</v>
      </c>
    </row>
    <row r="919" spans="1:18" x14ac:dyDescent="0.3">
      <c r="A919" t="s">
        <v>1939</v>
      </c>
      <c r="B919">
        <v>2022</v>
      </c>
      <c r="C919">
        <v>1.3908473066818461</v>
      </c>
      <c r="D919">
        <v>0</v>
      </c>
      <c r="E919">
        <v>0</v>
      </c>
      <c r="F919">
        <v>38</v>
      </c>
      <c r="G919">
        <v>2.1344235589819999E-3</v>
      </c>
      <c r="H919">
        <v>4</v>
      </c>
      <c r="I919">
        <v>0</v>
      </c>
      <c r="J919">
        <v>0.47269114081062369</v>
      </c>
      <c r="K919">
        <v>-0.36471230647965069</v>
      </c>
      <c r="L919">
        <v>20635779.295242049</v>
      </c>
      <c r="M919" t="s">
        <v>232</v>
      </c>
      <c r="N919" t="s">
        <v>244</v>
      </c>
      <c r="O919" t="s">
        <v>250</v>
      </c>
      <c r="P919">
        <v>588</v>
      </c>
      <c r="Q919">
        <v>123</v>
      </c>
      <c r="R919">
        <v>465</v>
      </c>
    </row>
    <row r="920" spans="1:18" x14ac:dyDescent="0.3">
      <c r="A920" t="s">
        <v>1940</v>
      </c>
      <c r="B920">
        <v>2022</v>
      </c>
      <c r="C920">
        <v>1.31108893252881</v>
      </c>
      <c r="D920">
        <v>0</v>
      </c>
      <c r="E920">
        <v>0</v>
      </c>
      <c r="F920">
        <v>54</v>
      </c>
      <c r="G920">
        <v>1.8992843767794E-3</v>
      </c>
      <c r="H920">
        <v>3</v>
      </c>
      <c r="I920">
        <v>1</v>
      </c>
      <c r="J920">
        <v>0.47254453712073707</v>
      </c>
      <c r="K920">
        <v>-0.36574042784238608</v>
      </c>
      <c r="L920">
        <v>20844794.42192452</v>
      </c>
      <c r="M920" t="s">
        <v>232</v>
      </c>
      <c r="N920" t="s">
        <v>244</v>
      </c>
      <c r="O920" t="s">
        <v>251</v>
      </c>
      <c r="P920">
        <v>630</v>
      </c>
      <c r="Q920">
        <v>265</v>
      </c>
      <c r="R920">
        <v>365</v>
      </c>
    </row>
    <row r="921" spans="1:18" x14ac:dyDescent="0.3">
      <c r="A921" t="s">
        <v>1941</v>
      </c>
      <c r="B921">
        <v>2022</v>
      </c>
      <c r="C921">
        <v>1.0897557558764841</v>
      </c>
      <c r="D921">
        <v>0</v>
      </c>
      <c r="E921">
        <v>0</v>
      </c>
      <c r="F921">
        <v>136</v>
      </c>
      <c r="G921">
        <v>1.9864836578550001E-4</v>
      </c>
      <c r="H921">
        <v>13</v>
      </c>
      <c r="I921">
        <v>1</v>
      </c>
      <c r="J921">
        <v>0.44683957942289559</v>
      </c>
      <c r="K921">
        <v>-0.29178478163496568</v>
      </c>
      <c r="L921">
        <v>142032173.86255279</v>
      </c>
      <c r="M921" t="s">
        <v>232</v>
      </c>
      <c r="N921" t="s">
        <v>244</v>
      </c>
      <c r="O921" t="s">
        <v>252</v>
      </c>
      <c r="P921">
        <v>3383</v>
      </c>
      <c r="Q921">
        <v>604</v>
      </c>
      <c r="R921">
        <v>2779</v>
      </c>
    </row>
    <row r="922" spans="1:18" x14ac:dyDescent="0.3">
      <c r="A922" t="s">
        <v>1942</v>
      </c>
      <c r="B922">
        <v>2022</v>
      </c>
      <c r="C922">
        <v>1.541713863812177</v>
      </c>
      <c r="D922">
        <v>0</v>
      </c>
      <c r="E922">
        <v>0</v>
      </c>
      <c r="F922">
        <v>46</v>
      </c>
      <c r="G922">
        <v>7.0274068868579999E-4</v>
      </c>
      <c r="H922">
        <v>3</v>
      </c>
      <c r="I922">
        <v>0</v>
      </c>
      <c r="J922">
        <v>0.4967829629702209</v>
      </c>
      <c r="K922">
        <v>-0.36998176064286059</v>
      </c>
      <c r="L922">
        <v>25276717.458457969</v>
      </c>
      <c r="M922" t="s">
        <v>232</v>
      </c>
      <c r="N922" t="s">
        <v>261</v>
      </c>
      <c r="O922" t="s">
        <v>262</v>
      </c>
      <c r="P922">
        <v>684</v>
      </c>
      <c r="Q922">
        <v>201</v>
      </c>
      <c r="R922">
        <v>483</v>
      </c>
    </row>
    <row r="923" spans="1:18" x14ac:dyDescent="0.3">
      <c r="A923" t="s">
        <v>1943</v>
      </c>
      <c r="B923">
        <v>2022</v>
      </c>
      <c r="C923">
        <v>0.93772937331128037</v>
      </c>
      <c r="D923">
        <v>0</v>
      </c>
      <c r="E923">
        <v>0</v>
      </c>
      <c r="F923">
        <v>45</v>
      </c>
      <c r="G923">
        <v>1.2209957832966E-3</v>
      </c>
      <c r="H923">
        <v>2</v>
      </c>
      <c r="I923">
        <v>0</v>
      </c>
      <c r="J923">
        <v>0.55054491856159726</v>
      </c>
      <c r="K923">
        <v>-0.35442023197921069</v>
      </c>
      <c r="L923">
        <v>28853602.734274291</v>
      </c>
      <c r="M923" t="s">
        <v>232</v>
      </c>
      <c r="N923" t="s">
        <v>261</v>
      </c>
      <c r="O923" t="s">
        <v>263</v>
      </c>
      <c r="P923">
        <v>724</v>
      </c>
      <c r="Q923">
        <v>94</v>
      </c>
      <c r="R923">
        <v>630</v>
      </c>
    </row>
    <row r="924" spans="1:18" x14ac:dyDescent="0.3">
      <c r="A924" t="s">
        <v>1944</v>
      </c>
      <c r="B924">
        <v>2022</v>
      </c>
      <c r="C924">
        <v>1.0700512206572901</v>
      </c>
      <c r="D924">
        <v>0</v>
      </c>
      <c r="E924">
        <v>0</v>
      </c>
      <c r="F924">
        <v>71</v>
      </c>
      <c r="G924">
        <v>4.2060854970610002E-4</v>
      </c>
      <c r="H924">
        <v>4</v>
      </c>
      <c r="I924">
        <v>0</v>
      </c>
      <c r="J924">
        <v>0.53737158507281468</v>
      </c>
      <c r="K924">
        <v>-0.34800607765619151</v>
      </c>
      <c r="L924">
        <v>66557209.259205602</v>
      </c>
      <c r="M924" t="s">
        <v>232</v>
      </c>
      <c r="N924" t="s">
        <v>261</v>
      </c>
      <c r="O924" t="s">
        <v>265</v>
      </c>
      <c r="P924">
        <v>1312</v>
      </c>
      <c r="Q924">
        <v>567</v>
      </c>
      <c r="R924">
        <v>745</v>
      </c>
    </row>
    <row r="925" spans="1:18" x14ac:dyDescent="0.3">
      <c r="A925" t="s">
        <v>1945</v>
      </c>
      <c r="B925">
        <v>2022</v>
      </c>
      <c r="C925">
        <v>2.1385475952699999</v>
      </c>
      <c r="D925">
        <v>0</v>
      </c>
      <c r="E925">
        <v>0</v>
      </c>
      <c r="F925">
        <v>23</v>
      </c>
      <c r="G925">
        <v>4.8869189680644997E-3</v>
      </c>
      <c r="H925">
        <v>1</v>
      </c>
      <c r="I925">
        <v>0</v>
      </c>
      <c r="J925">
        <v>0.34496960685093708</v>
      </c>
      <c r="K925">
        <v>-0.22149278521214599</v>
      </c>
      <c r="L925">
        <v>10184544.229289589</v>
      </c>
      <c r="M925" t="s">
        <v>232</v>
      </c>
      <c r="N925" t="s">
        <v>269</v>
      </c>
      <c r="O925" t="s">
        <v>272</v>
      </c>
      <c r="P925">
        <v>659</v>
      </c>
      <c r="Q925">
        <v>434</v>
      </c>
      <c r="R925">
        <v>225</v>
      </c>
    </row>
    <row r="926" spans="1:18" x14ac:dyDescent="0.3">
      <c r="A926" t="s">
        <v>1946</v>
      </c>
      <c r="B926">
        <v>2022</v>
      </c>
      <c r="C926">
        <v>1.460403757957071</v>
      </c>
      <c r="D926">
        <v>0</v>
      </c>
      <c r="E926">
        <v>0</v>
      </c>
      <c r="F926">
        <v>30</v>
      </c>
      <c r="G926">
        <v>4.6240811760944996E-3</v>
      </c>
      <c r="H926">
        <v>3</v>
      </c>
      <c r="I926">
        <v>0</v>
      </c>
      <c r="J926">
        <v>0.30304957255397091</v>
      </c>
      <c r="K926">
        <v>-0.18688559775823679</v>
      </c>
      <c r="L926">
        <v>14529066.327125899</v>
      </c>
      <c r="M926" t="s">
        <v>232</v>
      </c>
      <c r="N926" t="s">
        <v>269</v>
      </c>
      <c r="O926" t="s">
        <v>275</v>
      </c>
      <c r="P926">
        <v>872</v>
      </c>
      <c r="Q926">
        <v>233</v>
      </c>
      <c r="R926">
        <v>639</v>
      </c>
    </row>
    <row r="927" spans="1:18" x14ac:dyDescent="0.3">
      <c r="A927" t="s">
        <v>1947</v>
      </c>
      <c r="B927">
        <v>2022</v>
      </c>
      <c r="C927">
        <v>1.153980736674042</v>
      </c>
      <c r="D927">
        <v>0</v>
      </c>
      <c r="E927">
        <v>0</v>
      </c>
      <c r="F927">
        <v>22</v>
      </c>
      <c r="G927">
        <v>1.4194377932905001E-3</v>
      </c>
      <c r="H927">
        <v>4</v>
      </c>
      <c r="I927">
        <v>0</v>
      </c>
      <c r="J927">
        <v>0.33204475266712008</v>
      </c>
      <c r="K927">
        <v>-0.18734777028494859</v>
      </c>
      <c r="L927">
        <v>29165410.919427998</v>
      </c>
      <c r="M927" t="s">
        <v>232</v>
      </c>
      <c r="N927" t="s">
        <v>269</v>
      </c>
      <c r="O927" t="s">
        <v>276</v>
      </c>
      <c r="P927">
        <v>1471</v>
      </c>
      <c r="Q927">
        <v>260</v>
      </c>
      <c r="R927">
        <v>1211</v>
      </c>
    </row>
    <row r="928" spans="1:18" x14ac:dyDescent="0.3">
      <c r="A928" t="s">
        <v>1948</v>
      </c>
      <c r="B928">
        <v>2022</v>
      </c>
      <c r="C928">
        <v>0.73147741239589159</v>
      </c>
      <c r="D928">
        <v>0</v>
      </c>
      <c r="E928">
        <v>0</v>
      </c>
      <c r="F928">
        <v>34</v>
      </c>
      <c r="G928">
        <v>4.1065713454424002E-3</v>
      </c>
      <c r="H928">
        <v>3</v>
      </c>
      <c r="I928">
        <v>0</v>
      </c>
      <c r="J928">
        <v>0.39603095112898118</v>
      </c>
      <c r="K928">
        <v>-0.21629420528518481</v>
      </c>
      <c r="L928">
        <v>73937519.042771757</v>
      </c>
      <c r="M928" t="s">
        <v>232</v>
      </c>
      <c r="N928" t="s">
        <v>279</v>
      </c>
      <c r="O928" t="s">
        <v>281</v>
      </c>
      <c r="P928">
        <v>786</v>
      </c>
      <c r="Q928">
        <v>294</v>
      </c>
      <c r="R928">
        <v>492</v>
      </c>
    </row>
    <row r="929" spans="1:18" x14ac:dyDescent="0.3">
      <c r="A929" t="s">
        <v>1949</v>
      </c>
      <c r="B929">
        <v>2022</v>
      </c>
      <c r="C929">
        <v>0.62547179802142006</v>
      </c>
      <c r="D929">
        <v>0</v>
      </c>
      <c r="E929">
        <v>0</v>
      </c>
      <c r="F929">
        <v>16</v>
      </c>
      <c r="G929">
        <v>2.7210884353741E-3</v>
      </c>
      <c r="H929">
        <v>2</v>
      </c>
      <c r="I929">
        <v>0</v>
      </c>
      <c r="J929">
        <v>0.27266636224995111</v>
      </c>
      <c r="K929">
        <v>-0.13813330996725581</v>
      </c>
      <c r="L929">
        <v>89194304.464892507</v>
      </c>
      <c r="M929" t="s">
        <v>232</v>
      </c>
      <c r="N929" t="s">
        <v>279</v>
      </c>
      <c r="O929" t="s">
        <v>284</v>
      </c>
      <c r="P929">
        <v>389</v>
      </c>
      <c r="Q929">
        <v>87</v>
      </c>
      <c r="R929">
        <v>302</v>
      </c>
    </row>
    <row r="930" spans="1:18" x14ac:dyDescent="0.3">
      <c r="A930" t="s">
        <v>1950</v>
      </c>
      <c r="B930">
        <v>2022</v>
      </c>
      <c r="C930">
        <v>1.453420131411064</v>
      </c>
      <c r="D930">
        <v>0</v>
      </c>
      <c r="E930">
        <v>0</v>
      </c>
      <c r="F930">
        <v>177</v>
      </c>
      <c r="G930">
        <v>8.3093067223050001E-4</v>
      </c>
      <c r="H930">
        <v>5</v>
      </c>
      <c r="I930">
        <v>1</v>
      </c>
      <c r="J930">
        <v>0.2930099572865103</v>
      </c>
      <c r="K930">
        <v>-4.7830364399231898E-2</v>
      </c>
      <c r="L930">
        <v>140647076.0288702</v>
      </c>
      <c r="M930" t="s">
        <v>287</v>
      </c>
      <c r="N930" t="s">
        <v>290</v>
      </c>
      <c r="O930" t="s">
        <v>294</v>
      </c>
      <c r="P930">
        <v>2243</v>
      </c>
      <c r="Q930">
        <v>1079</v>
      </c>
      <c r="R930">
        <v>1164</v>
      </c>
    </row>
    <row r="931" spans="1:18" x14ac:dyDescent="0.3">
      <c r="A931" t="s">
        <v>1951</v>
      </c>
      <c r="B931">
        <v>2022</v>
      </c>
      <c r="C931">
        <v>1.8713572880034539</v>
      </c>
      <c r="D931">
        <v>0</v>
      </c>
      <c r="E931">
        <v>0</v>
      </c>
      <c r="F931">
        <v>73</v>
      </c>
      <c r="G931">
        <v>4.0452091210270002E-4</v>
      </c>
      <c r="H931">
        <v>2</v>
      </c>
      <c r="I931">
        <v>2</v>
      </c>
      <c r="J931">
        <v>0.64917815773865561</v>
      </c>
      <c r="K931">
        <v>-0.3429101456376959</v>
      </c>
      <c r="L931">
        <v>49329009.940239184</v>
      </c>
      <c r="M931" t="s">
        <v>287</v>
      </c>
      <c r="N931" t="s">
        <v>295</v>
      </c>
      <c r="O931" t="s">
        <v>31</v>
      </c>
      <c r="P931">
        <v>2507</v>
      </c>
      <c r="Q931">
        <v>1744</v>
      </c>
      <c r="R931">
        <v>763</v>
      </c>
    </row>
    <row r="932" spans="1:18" x14ac:dyDescent="0.3">
      <c r="A932" t="s">
        <v>1952</v>
      </c>
      <c r="B932">
        <v>2022</v>
      </c>
      <c r="C932">
        <v>0.96931784983522962</v>
      </c>
      <c r="D932">
        <v>0</v>
      </c>
      <c r="E932">
        <v>0</v>
      </c>
      <c r="F932">
        <v>66</v>
      </c>
      <c r="G932">
        <v>5.4524769213680003E-4</v>
      </c>
      <c r="H932">
        <v>19</v>
      </c>
      <c r="I932">
        <v>0</v>
      </c>
      <c r="J932">
        <v>0.52888706491033344</v>
      </c>
      <c r="K932">
        <v>-0.27022932427620511</v>
      </c>
      <c r="L932">
        <v>100293053.3195058</v>
      </c>
      <c r="M932" t="s">
        <v>287</v>
      </c>
      <c r="N932" t="s">
        <v>295</v>
      </c>
      <c r="O932" t="s">
        <v>296</v>
      </c>
      <c r="P932">
        <v>1413</v>
      </c>
      <c r="Q932">
        <v>794</v>
      </c>
      <c r="R932">
        <v>619</v>
      </c>
    </row>
    <row r="933" spans="1:18" x14ac:dyDescent="0.3">
      <c r="A933" t="s">
        <v>1953</v>
      </c>
      <c r="B933">
        <v>2022</v>
      </c>
      <c r="C933">
        <v>1.2709346134373321</v>
      </c>
      <c r="D933">
        <v>0</v>
      </c>
      <c r="E933">
        <v>0</v>
      </c>
      <c r="F933">
        <v>26</v>
      </c>
      <c r="G933">
        <v>1.5885068908032E-3</v>
      </c>
      <c r="H933">
        <v>1</v>
      </c>
      <c r="I933">
        <v>0</v>
      </c>
      <c r="J933">
        <v>0.66002804755616762</v>
      </c>
      <c r="K933">
        <v>-0.3657725256742192</v>
      </c>
      <c r="L933">
        <v>30533261.747789301</v>
      </c>
      <c r="M933" t="s">
        <v>287</v>
      </c>
      <c r="N933" t="s">
        <v>295</v>
      </c>
      <c r="O933" t="s">
        <v>297</v>
      </c>
      <c r="P933">
        <v>985</v>
      </c>
      <c r="Q933">
        <v>466</v>
      </c>
      <c r="R933">
        <v>519</v>
      </c>
    </row>
    <row r="934" spans="1:18" x14ac:dyDescent="0.3">
      <c r="A934" t="s">
        <v>1954</v>
      </c>
      <c r="B934">
        <v>2022</v>
      </c>
      <c r="C934">
        <v>4.3982720809145013</v>
      </c>
      <c r="D934">
        <v>0</v>
      </c>
      <c r="E934">
        <v>0</v>
      </c>
      <c r="F934">
        <v>8</v>
      </c>
      <c r="G934">
        <v>2.2909507445589001E-3</v>
      </c>
      <c r="H934">
        <v>2</v>
      </c>
      <c r="I934">
        <v>0</v>
      </c>
      <c r="J934">
        <v>0.54849380400058823</v>
      </c>
      <c r="K934">
        <v>-0.33517731678026991</v>
      </c>
      <c r="L934">
        <v>2817837.484634256</v>
      </c>
      <c r="M934" t="s">
        <v>287</v>
      </c>
      <c r="N934" t="s">
        <v>295</v>
      </c>
      <c r="O934" t="s">
        <v>298</v>
      </c>
      <c r="P934">
        <v>435</v>
      </c>
      <c r="Q934">
        <v>297</v>
      </c>
      <c r="R934">
        <v>138</v>
      </c>
    </row>
    <row r="935" spans="1:18" x14ac:dyDescent="0.3">
      <c r="A935" t="s">
        <v>1955</v>
      </c>
      <c r="B935">
        <v>2022</v>
      </c>
      <c r="C935">
        <v>3.3631023582069579</v>
      </c>
      <c r="D935">
        <v>0</v>
      </c>
      <c r="E935">
        <v>0</v>
      </c>
      <c r="F935">
        <v>11</v>
      </c>
      <c r="G935">
        <v>2.5031210986267002E-3</v>
      </c>
      <c r="H935">
        <v>1</v>
      </c>
      <c r="I935">
        <v>0</v>
      </c>
      <c r="J935">
        <v>0.51846440449415321</v>
      </c>
      <c r="K935">
        <v>-0.38035632054982788</v>
      </c>
      <c r="L935">
        <v>2443030.8031301619</v>
      </c>
      <c r="M935" t="s">
        <v>287</v>
      </c>
      <c r="N935" t="s">
        <v>295</v>
      </c>
      <c r="O935" t="s">
        <v>299</v>
      </c>
      <c r="P935">
        <v>468</v>
      </c>
      <c r="Q935">
        <v>248</v>
      </c>
      <c r="R935">
        <v>220</v>
      </c>
    </row>
    <row r="936" spans="1:18" x14ac:dyDescent="0.3">
      <c r="A936" t="s">
        <v>1956</v>
      </c>
      <c r="B936">
        <v>2022</v>
      </c>
      <c r="C936">
        <v>0.97542646532897637</v>
      </c>
      <c r="D936">
        <v>0</v>
      </c>
      <c r="E936">
        <v>0</v>
      </c>
      <c r="F936">
        <v>17</v>
      </c>
      <c r="G936">
        <v>3.9215382949429004E-3</v>
      </c>
      <c r="H936">
        <v>4</v>
      </c>
      <c r="I936">
        <v>1</v>
      </c>
      <c r="J936">
        <v>0.28221260007474541</v>
      </c>
      <c r="K936">
        <v>-0.13941885821291941</v>
      </c>
      <c r="L936">
        <v>18608313.96193051</v>
      </c>
      <c r="M936" t="s">
        <v>287</v>
      </c>
      <c r="N936" t="s">
        <v>310</v>
      </c>
      <c r="O936" t="s">
        <v>311</v>
      </c>
      <c r="P936">
        <v>256</v>
      </c>
      <c r="Q936">
        <v>139</v>
      </c>
      <c r="R936">
        <v>117</v>
      </c>
    </row>
    <row r="937" spans="1:18" x14ac:dyDescent="0.3">
      <c r="A937" t="s">
        <v>1957</v>
      </c>
      <c r="B937">
        <v>2022</v>
      </c>
      <c r="C937">
        <v>1.2582735130012439</v>
      </c>
      <c r="D937">
        <v>0</v>
      </c>
      <c r="E937">
        <v>0</v>
      </c>
      <c r="F937">
        <v>216</v>
      </c>
      <c r="G937">
        <v>3.8608348862359998E-4</v>
      </c>
      <c r="H937">
        <v>18</v>
      </c>
      <c r="I937">
        <v>0</v>
      </c>
      <c r="J937">
        <v>0.56078113812094499</v>
      </c>
      <c r="K937">
        <v>-0.273699700101798</v>
      </c>
      <c r="L937">
        <v>148901053.9082163</v>
      </c>
      <c r="M937" t="s">
        <v>287</v>
      </c>
      <c r="N937" t="s">
        <v>312</v>
      </c>
      <c r="O937" t="s">
        <v>316</v>
      </c>
      <c r="P937">
        <v>4906</v>
      </c>
      <c r="Q937">
        <v>2659</v>
      </c>
      <c r="R937">
        <v>2247</v>
      </c>
    </row>
    <row r="938" spans="1:18" x14ac:dyDescent="0.3">
      <c r="A938" t="s">
        <v>1958</v>
      </c>
      <c r="B938">
        <v>2022</v>
      </c>
      <c r="C938">
        <v>3.7164063005254762</v>
      </c>
      <c r="D938">
        <v>0</v>
      </c>
      <c r="E938">
        <v>0</v>
      </c>
      <c r="F938">
        <v>52</v>
      </c>
      <c r="G938">
        <v>2.5316213840803998E-3</v>
      </c>
      <c r="H938">
        <v>7</v>
      </c>
      <c r="I938">
        <v>0</v>
      </c>
      <c r="J938">
        <v>0.55142094480211634</v>
      </c>
      <c r="K938">
        <v>-0.21928137469669409</v>
      </c>
      <c r="L938">
        <v>27119803.726722721</v>
      </c>
      <c r="M938" t="s">
        <v>287</v>
      </c>
      <c r="N938" t="s">
        <v>312</v>
      </c>
      <c r="O938" t="s">
        <v>318</v>
      </c>
      <c r="P938">
        <v>2165</v>
      </c>
      <c r="Q938">
        <v>1109</v>
      </c>
      <c r="R938">
        <v>1056</v>
      </c>
    </row>
    <row r="939" spans="1:18" x14ac:dyDescent="0.3">
      <c r="A939" t="s">
        <v>1959</v>
      </c>
      <c r="B939">
        <v>2022</v>
      </c>
      <c r="C939">
        <v>0.85994203596324204</v>
      </c>
      <c r="D939">
        <v>0</v>
      </c>
      <c r="E939">
        <v>0</v>
      </c>
      <c r="F939">
        <v>100</v>
      </c>
      <c r="G939">
        <v>3.1610534277870002E-4</v>
      </c>
      <c r="H939">
        <v>8</v>
      </c>
      <c r="I939">
        <v>2</v>
      </c>
      <c r="J939">
        <v>0.38848489327862129</v>
      </c>
      <c r="K939">
        <v>-0.32876747581973931</v>
      </c>
      <c r="L939">
        <v>145177015.58348289</v>
      </c>
      <c r="M939" t="s">
        <v>287</v>
      </c>
      <c r="N939" t="s">
        <v>319</v>
      </c>
      <c r="O939" t="s">
        <v>320</v>
      </c>
      <c r="P939">
        <v>1820</v>
      </c>
      <c r="Q939">
        <v>540</v>
      </c>
      <c r="R939">
        <v>1280</v>
      </c>
    </row>
    <row r="940" spans="1:18" x14ac:dyDescent="0.3">
      <c r="A940" t="s">
        <v>1960</v>
      </c>
      <c r="B940">
        <v>2022</v>
      </c>
      <c r="C940">
        <v>0.93745313327164281</v>
      </c>
      <c r="D940">
        <v>0</v>
      </c>
      <c r="E940">
        <v>0</v>
      </c>
      <c r="F940">
        <v>52</v>
      </c>
      <c r="G940">
        <v>9.4876660341550005E-4</v>
      </c>
      <c r="H940">
        <v>5</v>
      </c>
      <c r="I940">
        <v>0</v>
      </c>
      <c r="J940">
        <v>0.21432256267663111</v>
      </c>
      <c r="K940">
        <v>-9.3969864636810493E-2</v>
      </c>
      <c r="L940">
        <v>60438593.771347947</v>
      </c>
      <c r="M940" t="s">
        <v>287</v>
      </c>
      <c r="N940" t="s">
        <v>319</v>
      </c>
      <c r="O940" t="s">
        <v>321</v>
      </c>
      <c r="P940">
        <v>1357</v>
      </c>
      <c r="Q940">
        <v>534</v>
      </c>
      <c r="R940">
        <v>823</v>
      </c>
    </row>
    <row r="941" spans="1:18" x14ac:dyDescent="0.3">
      <c r="A941" t="s">
        <v>1961</v>
      </c>
      <c r="B941">
        <v>2022</v>
      </c>
      <c r="C941">
        <v>1.0227378993045511</v>
      </c>
      <c r="D941">
        <v>0</v>
      </c>
      <c r="E941">
        <v>0</v>
      </c>
      <c r="F941">
        <v>32</v>
      </c>
      <c r="G941">
        <v>1.4836697778108001E-3</v>
      </c>
      <c r="H941">
        <v>7</v>
      </c>
      <c r="I941">
        <v>0</v>
      </c>
      <c r="J941">
        <v>0.33479397193950389</v>
      </c>
      <c r="K941">
        <v>-0.18846414910343359</v>
      </c>
      <c r="L941">
        <v>40347817.873863533</v>
      </c>
      <c r="M941" t="s">
        <v>287</v>
      </c>
      <c r="N941" t="s">
        <v>319</v>
      </c>
      <c r="O941" t="s">
        <v>323</v>
      </c>
      <c r="P941">
        <v>517</v>
      </c>
      <c r="Q941">
        <v>370</v>
      </c>
      <c r="R941">
        <v>147</v>
      </c>
    </row>
    <row r="942" spans="1:18" x14ac:dyDescent="0.3">
      <c r="A942" t="s">
        <v>1962</v>
      </c>
      <c r="B942">
        <v>2022</v>
      </c>
      <c r="C942">
        <v>1.5710452029938531</v>
      </c>
      <c r="D942">
        <v>0</v>
      </c>
      <c r="E942">
        <v>0</v>
      </c>
      <c r="F942">
        <v>66</v>
      </c>
      <c r="G942">
        <v>5.0709841074349997E-4</v>
      </c>
      <c r="H942">
        <v>14</v>
      </c>
      <c r="I942">
        <v>0</v>
      </c>
      <c r="J942">
        <v>0.42627149321177749</v>
      </c>
      <c r="K942">
        <v>-0.34190697014070298</v>
      </c>
      <c r="L942">
        <v>47599690.675527729</v>
      </c>
      <c r="M942" t="s">
        <v>287</v>
      </c>
      <c r="N942" t="s">
        <v>319</v>
      </c>
      <c r="O942" t="s">
        <v>324</v>
      </c>
      <c r="P942">
        <v>1193</v>
      </c>
      <c r="Q942">
        <v>507</v>
      </c>
      <c r="R942">
        <v>686</v>
      </c>
    </row>
    <row r="943" spans="1:18" x14ac:dyDescent="0.3">
      <c r="A943" t="s">
        <v>1963</v>
      </c>
      <c r="B943">
        <v>2022</v>
      </c>
      <c r="C943">
        <v>0.7799452111752464</v>
      </c>
      <c r="D943">
        <v>0</v>
      </c>
      <c r="E943">
        <v>0</v>
      </c>
      <c r="F943">
        <v>25</v>
      </c>
      <c r="G943">
        <v>1.8831885553738999E-3</v>
      </c>
      <c r="H943">
        <v>8</v>
      </c>
      <c r="I943">
        <v>1</v>
      </c>
      <c r="J943">
        <v>0.50304297643238172</v>
      </c>
      <c r="K943">
        <v>-0.28336228508744732</v>
      </c>
      <c r="L943">
        <v>77889224.575242832</v>
      </c>
      <c r="M943" t="s">
        <v>287</v>
      </c>
      <c r="N943" t="s">
        <v>326</v>
      </c>
      <c r="O943" t="s">
        <v>328</v>
      </c>
      <c r="P943">
        <v>692</v>
      </c>
      <c r="Q943">
        <v>153</v>
      </c>
      <c r="R943">
        <v>539</v>
      </c>
    </row>
    <row r="944" spans="1:18" x14ac:dyDescent="0.3">
      <c r="A944" t="s">
        <v>1964</v>
      </c>
      <c r="B944">
        <v>2022</v>
      </c>
      <c r="C944">
        <v>1.5244077990888869</v>
      </c>
      <c r="D944">
        <v>0</v>
      </c>
      <c r="E944">
        <v>0</v>
      </c>
      <c r="F944">
        <v>92</v>
      </c>
      <c r="G944">
        <v>1.0519339692506E-3</v>
      </c>
      <c r="H944">
        <v>9</v>
      </c>
      <c r="I944">
        <v>0</v>
      </c>
      <c r="J944">
        <v>0.62148017961514124</v>
      </c>
      <c r="K944">
        <v>-0.33505749323866491</v>
      </c>
      <c r="L944">
        <v>65927978.076058611</v>
      </c>
      <c r="M944" t="s">
        <v>287</v>
      </c>
      <c r="N944" t="s">
        <v>330</v>
      </c>
      <c r="O944" t="s">
        <v>333</v>
      </c>
      <c r="P944">
        <v>2435</v>
      </c>
      <c r="Q944">
        <v>1621</v>
      </c>
      <c r="R944">
        <v>814</v>
      </c>
    </row>
    <row r="945" spans="1:18" x14ac:dyDescent="0.3">
      <c r="A945" t="s">
        <v>1965</v>
      </c>
      <c r="B945">
        <v>2022</v>
      </c>
      <c r="C945">
        <v>3.1329064700110192</v>
      </c>
      <c r="D945">
        <v>0</v>
      </c>
      <c r="E945">
        <v>0</v>
      </c>
      <c r="F945">
        <v>78</v>
      </c>
      <c r="G945">
        <v>3.6893700026797002E-3</v>
      </c>
      <c r="H945">
        <v>13</v>
      </c>
      <c r="I945">
        <v>0</v>
      </c>
      <c r="J945">
        <v>0.55681173271489093</v>
      </c>
      <c r="K945">
        <v>-0.34830629346278091</v>
      </c>
      <c r="L945">
        <v>22550489.917779699</v>
      </c>
      <c r="M945" t="s">
        <v>287</v>
      </c>
      <c r="N945" t="s">
        <v>330</v>
      </c>
      <c r="O945" t="s">
        <v>145</v>
      </c>
      <c r="P945">
        <v>1446</v>
      </c>
      <c r="Q945">
        <v>951</v>
      </c>
      <c r="R945">
        <v>495</v>
      </c>
    </row>
    <row r="946" spans="1:18" x14ac:dyDescent="0.3">
      <c r="A946" t="s">
        <v>1966</v>
      </c>
      <c r="B946">
        <v>2022</v>
      </c>
      <c r="C946">
        <v>0.9798482136275064</v>
      </c>
      <c r="D946">
        <v>0</v>
      </c>
      <c r="E946">
        <v>0</v>
      </c>
      <c r="F946">
        <v>66</v>
      </c>
      <c r="G946">
        <v>1.2761686263262999E-3</v>
      </c>
      <c r="H946">
        <v>2</v>
      </c>
      <c r="I946">
        <v>2</v>
      </c>
      <c r="J946">
        <v>0.4941179625048312</v>
      </c>
      <c r="K946">
        <v>-0.2412610098130519</v>
      </c>
      <c r="L946">
        <v>66463810.690266088</v>
      </c>
      <c r="M946" t="s">
        <v>287</v>
      </c>
      <c r="N946" t="s">
        <v>330</v>
      </c>
      <c r="O946" t="s">
        <v>334</v>
      </c>
      <c r="P946">
        <v>2172</v>
      </c>
      <c r="Q946">
        <v>1417</v>
      </c>
      <c r="R946">
        <v>755</v>
      </c>
    </row>
    <row r="947" spans="1:18" x14ac:dyDescent="0.3">
      <c r="A947" t="s">
        <v>1967</v>
      </c>
      <c r="B947">
        <v>2022</v>
      </c>
      <c r="C947">
        <v>1.270035704378579</v>
      </c>
      <c r="D947">
        <v>0</v>
      </c>
      <c r="E947">
        <v>0</v>
      </c>
      <c r="F947">
        <v>85</v>
      </c>
      <c r="G947">
        <v>1.0187692166490001E-3</v>
      </c>
      <c r="H947">
        <v>4</v>
      </c>
      <c r="I947">
        <v>0</v>
      </c>
      <c r="J947">
        <v>0.4019087087443235</v>
      </c>
      <c r="K947">
        <v>-0.18700876709229311</v>
      </c>
      <c r="L947">
        <v>113230798.3465877</v>
      </c>
      <c r="M947" t="s">
        <v>287</v>
      </c>
      <c r="N947" t="s">
        <v>330</v>
      </c>
      <c r="O947" t="s">
        <v>335</v>
      </c>
      <c r="P947">
        <v>3701</v>
      </c>
      <c r="Q947">
        <v>1768</v>
      </c>
      <c r="R947">
        <v>1933</v>
      </c>
    </row>
    <row r="948" spans="1:18" x14ac:dyDescent="0.3">
      <c r="A948" t="s">
        <v>1968</v>
      </c>
      <c r="B948">
        <v>2022</v>
      </c>
      <c r="C948">
        <v>0.97063139381600161</v>
      </c>
      <c r="D948">
        <v>0</v>
      </c>
      <c r="E948">
        <v>0</v>
      </c>
      <c r="F948">
        <v>113</v>
      </c>
      <c r="G948">
        <v>5.9681878675609998E-4</v>
      </c>
      <c r="H948">
        <v>3</v>
      </c>
      <c r="I948">
        <v>0</v>
      </c>
      <c r="J948">
        <v>0.53268683696847585</v>
      </c>
      <c r="K948">
        <v>-0.3631500895531945</v>
      </c>
      <c r="L948">
        <v>75836396.468999714</v>
      </c>
      <c r="M948" t="s">
        <v>287</v>
      </c>
      <c r="N948" t="s">
        <v>336</v>
      </c>
      <c r="O948" t="s">
        <v>337</v>
      </c>
      <c r="P948">
        <v>1333</v>
      </c>
      <c r="Q948">
        <v>40</v>
      </c>
      <c r="R948">
        <v>1293</v>
      </c>
    </row>
    <row r="949" spans="1:18" x14ac:dyDescent="0.3">
      <c r="A949" t="s">
        <v>1969</v>
      </c>
      <c r="B949">
        <v>2022</v>
      </c>
      <c r="C949">
        <v>0.7465488056061893</v>
      </c>
      <c r="D949">
        <v>0</v>
      </c>
      <c r="E949">
        <v>0</v>
      </c>
      <c r="F949">
        <v>132</v>
      </c>
      <c r="G949">
        <v>4.4188142258539997E-4</v>
      </c>
      <c r="H949">
        <v>7</v>
      </c>
      <c r="I949">
        <v>0</v>
      </c>
      <c r="J949">
        <v>0.54673213587741631</v>
      </c>
      <c r="K949">
        <v>-0.39467489634772418</v>
      </c>
      <c r="L949">
        <v>180620157.42646199</v>
      </c>
      <c r="M949" t="s">
        <v>287</v>
      </c>
      <c r="N949" t="s">
        <v>336</v>
      </c>
      <c r="O949" t="s">
        <v>339</v>
      </c>
      <c r="P949">
        <v>2195</v>
      </c>
      <c r="Q949">
        <v>192</v>
      </c>
      <c r="R949">
        <v>2003</v>
      </c>
    </row>
    <row r="950" spans="1:18" x14ac:dyDescent="0.3">
      <c r="A950" t="s">
        <v>1970</v>
      </c>
      <c r="B950">
        <v>2022</v>
      </c>
      <c r="C950">
        <v>1.304139286678007</v>
      </c>
      <c r="D950">
        <v>0</v>
      </c>
      <c r="E950">
        <v>0</v>
      </c>
      <c r="F950">
        <v>37</v>
      </c>
      <c r="G950">
        <v>1.7527719793090999E-3</v>
      </c>
      <c r="H950">
        <v>9</v>
      </c>
      <c r="I950">
        <v>0</v>
      </c>
      <c r="J950">
        <v>0.60358609696126153</v>
      </c>
      <c r="K950">
        <v>-0.32318303794251202</v>
      </c>
      <c r="L950">
        <v>45254526.785903648</v>
      </c>
      <c r="M950" t="s">
        <v>287</v>
      </c>
      <c r="N950" t="s">
        <v>336</v>
      </c>
      <c r="O950" t="s">
        <v>344</v>
      </c>
      <c r="P950">
        <v>1594</v>
      </c>
      <c r="Q950">
        <v>520</v>
      </c>
      <c r="R950">
        <v>1074</v>
      </c>
    </row>
    <row r="951" spans="1:18" x14ac:dyDescent="0.3">
      <c r="A951" t="s">
        <v>1971</v>
      </c>
      <c r="B951">
        <v>2022</v>
      </c>
      <c r="C951">
        <v>0.97778957565947044</v>
      </c>
      <c r="D951">
        <v>0</v>
      </c>
      <c r="E951">
        <v>0</v>
      </c>
      <c r="F951">
        <v>39</v>
      </c>
      <c r="G951">
        <v>3.7641662169453998E-3</v>
      </c>
      <c r="H951">
        <v>2</v>
      </c>
      <c r="I951">
        <v>0</v>
      </c>
      <c r="J951">
        <v>0.23280393083524509</v>
      </c>
      <c r="K951">
        <v>-7.5682654096654103E-2</v>
      </c>
      <c r="L951">
        <v>28853870.309515242</v>
      </c>
      <c r="M951" t="s">
        <v>287</v>
      </c>
      <c r="N951" t="s">
        <v>346</v>
      </c>
      <c r="O951" t="s">
        <v>176</v>
      </c>
      <c r="P951">
        <v>700</v>
      </c>
      <c r="Q951">
        <v>350</v>
      </c>
      <c r="R951">
        <v>350</v>
      </c>
    </row>
    <row r="952" spans="1:18" x14ac:dyDescent="0.3">
      <c r="A952" t="s">
        <v>1972</v>
      </c>
      <c r="B952">
        <v>2022</v>
      </c>
      <c r="C952">
        <v>0.64883190745969044</v>
      </c>
      <c r="D952">
        <v>0</v>
      </c>
      <c r="E952">
        <v>0</v>
      </c>
      <c r="F952">
        <v>39</v>
      </c>
      <c r="G952">
        <v>9.0292904340630005E-4</v>
      </c>
      <c r="H952">
        <v>3</v>
      </c>
      <c r="I952">
        <v>0</v>
      </c>
      <c r="L952">
        <v>289336121.58748162</v>
      </c>
      <c r="M952" t="s">
        <v>348</v>
      </c>
      <c r="N952" t="s">
        <v>348</v>
      </c>
      <c r="O952" t="s">
        <v>350</v>
      </c>
      <c r="P952">
        <v>2760</v>
      </c>
      <c r="Q952">
        <v>106</v>
      </c>
      <c r="R952">
        <v>2654</v>
      </c>
    </row>
    <row r="953" spans="1:18" x14ac:dyDescent="0.3">
      <c r="A953" t="s">
        <v>1973</v>
      </c>
      <c r="B953">
        <v>2022</v>
      </c>
      <c r="C953">
        <v>1.358908736329997</v>
      </c>
      <c r="D953">
        <v>0</v>
      </c>
      <c r="E953">
        <v>0</v>
      </c>
      <c r="F953">
        <v>78</v>
      </c>
      <c r="G953">
        <v>1.00143061516452E-2</v>
      </c>
      <c r="H953">
        <v>4</v>
      </c>
      <c r="I953">
        <v>1</v>
      </c>
      <c r="J953">
        <v>0.39678220641484652</v>
      </c>
      <c r="K953">
        <v>3.48832651504557E-2</v>
      </c>
      <c r="L953">
        <v>97176027.729120359</v>
      </c>
      <c r="M953" t="s">
        <v>348</v>
      </c>
      <c r="N953" t="s">
        <v>357</v>
      </c>
      <c r="O953" t="s">
        <v>358</v>
      </c>
      <c r="P953">
        <v>5779</v>
      </c>
      <c r="Q953">
        <v>1503</v>
      </c>
      <c r="R953">
        <v>4276</v>
      </c>
    </row>
    <row r="954" spans="1:18" x14ac:dyDescent="0.3">
      <c r="A954" t="s">
        <v>1974</v>
      </c>
      <c r="B954">
        <v>2022</v>
      </c>
      <c r="C954">
        <v>0.66057988269743884</v>
      </c>
      <c r="D954">
        <v>0</v>
      </c>
      <c r="E954">
        <v>0</v>
      </c>
      <c r="F954">
        <v>62</v>
      </c>
      <c r="G954">
        <v>7.9808434249710003E-4</v>
      </c>
      <c r="H954">
        <v>10</v>
      </c>
      <c r="I954">
        <v>0</v>
      </c>
      <c r="J954">
        <v>0.40071379635830018</v>
      </c>
      <c r="K954">
        <v>-0.18439351934564249</v>
      </c>
      <c r="L954">
        <v>218743928.82419151</v>
      </c>
      <c r="M954" t="s">
        <v>348</v>
      </c>
      <c r="N954" t="s">
        <v>357</v>
      </c>
      <c r="O954" t="s">
        <v>359</v>
      </c>
      <c r="P954">
        <v>3075</v>
      </c>
      <c r="Q954">
        <v>64</v>
      </c>
      <c r="R954">
        <v>3011</v>
      </c>
    </row>
    <row r="955" spans="1:18" x14ac:dyDescent="0.3">
      <c r="A955" t="s">
        <v>1975</v>
      </c>
      <c r="B955">
        <v>2022</v>
      </c>
      <c r="C955">
        <v>0.57242533570148635</v>
      </c>
      <c r="D955">
        <v>0</v>
      </c>
      <c r="E955">
        <v>0</v>
      </c>
      <c r="F955">
        <v>10</v>
      </c>
      <c r="G955">
        <v>1.6122476629183001E-2</v>
      </c>
      <c r="H955">
        <v>3</v>
      </c>
      <c r="I955">
        <v>0</v>
      </c>
      <c r="J955">
        <v>0.54595348160724722</v>
      </c>
      <c r="K955">
        <v>-0.20690196377278941</v>
      </c>
      <c r="L955">
        <v>765238654.66826546</v>
      </c>
      <c r="M955" t="s">
        <v>348</v>
      </c>
      <c r="N955" t="s">
        <v>357</v>
      </c>
      <c r="O955" t="s">
        <v>362</v>
      </c>
      <c r="P955">
        <v>534</v>
      </c>
      <c r="Q955">
        <v>26</v>
      </c>
      <c r="R955">
        <v>508</v>
      </c>
    </row>
    <row r="956" spans="1:18" x14ac:dyDescent="0.3">
      <c r="A956" t="s">
        <v>1976</v>
      </c>
      <c r="B956">
        <v>2022</v>
      </c>
      <c r="C956">
        <v>0.66535429825992409</v>
      </c>
      <c r="D956">
        <v>0</v>
      </c>
      <c r="E956">
        <v>0</v>
      </c>
      <c r="F956">
        <v>32</v>
      </c>
      <c r="G956">
        <v>3.0486963719133001E-3</v>
      </c>
      <c r="H956">
        <v>4</v>
      </c>
      <c r="I956">
        <v>0</v>
      </c>
      <c r="J956">
        <v>0.53582473001653708</v>
      </c>
      <c r="K956">
        <v>-0.2433012478280554</v>
      </c>
      <c r="L956">
        <v>181207924.6181117</v>
      </c>
      <c r="M956" t="s">
        <v>348</v>
      </c>
      <c r="N956" t="s">
        <v>357</v>
      </c>
      <c r="O956" t="s">
        <v>364</v>
      </c>
      <c r="P956">
        <v>1838</v>
      </c>
      <c r="Q956">
        <v>0</v>
      </c>
      <c r="R956">
        <v>1838</v>
      </c>
    </row>
    <row r="957" spans="1:18" x14ac:dyDescent="0.3">
      <c r="A957" t="s">
        <v>1977</v>
      </c>
      <c r="B957">
        <v>2022</v>
      </c>
      <c r="C957">
        <v>0.57120354826072561</v>
      </c>
      <c r="D957">
        <v>0</v>
      </c>
      <c r="E957">
        <v>0</v>
      </c>
      <c r="F957">
        <v>43</v>
      </c>
      <c r="G957">
        <v>3.0766232319856999E-3</v>
      </c>
      <c r="H957">
        <v>5</v>
      </c>
      <c r="I957">
        <v>0</v>
      </c>
      <c r="J957">
        <v>0.62101738880412516</v>
      </c>
      <c r="K957">
        <v>-0.30644039944244089</v>
      </c>
      <c r="L957">
        <v>49668353.162611783</v>
      </c>
      <c r="M957" t="s">
        <v>348</v>
      </c>
      <c r="N957" t="s">
        <v>357</v>
      </c>
      <c r="O957" t="s">
        <v>366</v>
      </c>
      <c r="P957">
        <v>1466</v>
      </c>
      <c r="Q957">
        <v>199</v>
      </c>
      <c r="R957">
        <v>1267</v>
      </c>
    </row>
    <row r="958" spans="1:18" x14ac:dyDescent="0.3">
      <c r="A958" t="s">
        <v>1978</v>
      </c>
      <c r="B958">
        <v>2022</v>
      </c>
      <c r="C958">
        <v>0.67030489853391406</v>
      </c>
      <c r="D958">
        <v>0</v>
      </c>
      <c r="E958">
        <v>0</v>
      </c>
      <c r="F958">
        <v>34</v>
      </c>
      <c r="G958">
        <v>1.458650695937E-3</v>
      </c>
      <c r="H958">
        <v>3</v>
      </c>
      <c r="I958">
        <v>1</v>
      </c>
      <c r="J958">
        <v>0.42411127506859181</v>
      </c>
      <c r="K958">
        <v>-0.21995352964098591</v>
      </c>
      <c r="L958">
        <v>71897297.233913884</v>
      </c>
      <c r="M958" t="s">
        <v>348</v>
      </c>
      <c r="N958" t="s">
        <v>357</v>
      </c>
      <c r="O958" t="s">
        <v>368</v>
      </c>
      <c r="P958">
        <v>2200</v>
      </c>
      <c r="Q958">
        <v>206</v>
      </c>
      <c r="R958">
        <v>1994</v>
      </c>
    </row>
    <row r="959" spans="1:18" x14ac:dyDescent="0.3">
      <c r="A959" t="s">
        <v>1979</v>
      </c>
      <c r="B959">
        <v>2022</v>
      </c>
      <c r="C959">
        <v>0.68372641962730407</v>
      </c>
      <c r="D959">
        <v>0</v>
      </c>
      <c r="E959">
        <v>0</v>
      </c>
      <c r="F959">
        <v>37</v>
      </c>
      <c r="G959">
        <v>3.5226314634512002E-3</v>
      </c>
      <c r="H959">
        <v>1</v>
      </c>
      <c r="I959">
        <v>0</v>
      </c>
      <c r="J959">
        <v>0.57699373547325283</v>
      </c>
      <c r="K959">
        <v>-0.28832469257468729</v>
      </c>
      <c r="L959">
        <v>21948291.39352686</v>
      </c>
      <c r="M959" t="s">
        <v>348</v>
      </c>
      <c r="N959" t="s">
        <v>357</v>
      </c>
      <c r="O959" t="s">
        <v>370</v>
      </c>
      <c r="P959">
        <v>1153</v>
      </c>
      <c r="Q959">
        <v>490</v>
      </c>
      <c r="R959">
        <v>663</v>
      </c>
    </row>
    <row r="960" spans="1:18" x14ac:dyDescent="0.3">
      <c r="A960" t="s">
        <v>1980</v>
      </c>
      <c r="B960">
        <v>2022</v>
      </c>
      <c r="C960">
        <v>0.60877187445529957</v>
      </c>
      <c r="D960">
        <v>0</v>
      </c>
      <c r="E960">
        <v>0</v>
      </c>
      <c r="F960">
        <v>74</v>
      </c>
      <c r="G960">
        <v>5.8478867730679999E-4</v>
      </c>
      <c r="H960">
        <v>17</v>
      </c>
      <c r="I960">
        <v>0</v>
      </c>
      <c r="J960">
        <v>0.62239053327348703</v>
      </c>
      <c r="K960">
        <v>-0.30435676715205662</v>
      </c>
      <c r="L960">
        <v>183621271.44426239</v>
      </c>
      <c r="M960" t="s">
        <v>348</v>
      </c>
      <c r="N960" t="s">
        <v>380</v>
      </c>
      <c r="O960" t="s">
        <v>383</v>
      </c>
      <c r="P960">
        <v>3241</v>
      </c>
      <c r="Q960">
        <v>184</v>
      </c>
      <c r="R960">
        <v>3057</v>
      </c>
    </row>
    <row r="961" spans="1:18" x14ac:dyDescent="0.3">
      <c r="A961" t="s">
        <v>1981</v>
      </c>
      <c r="B961">
        <v>2022</v>
      </c>
      <c r="C961">
        <v>0.69682098796915137</v>
      </c>
      <c r="D961">
        <v>0</v>
      </c>
      <c r="E961">
        <v>0</v>
      </c>
      <c r="F961">
        <v>357</v>
      </c>
      <c r="G961">
        <v>1.6962455892870001E-4</v>
      </c>
      <c r="H961">
        <v>27</v>
      </c>
      <c r="I961">
        <v>3</v>
      </c>
      <c r="J961">
        <v>0.56391862219427247</v>
      </c>
      <c r="K961">
        <v>-0.25792622322342529</v>
      </c>
      <c r="L961">
        <v>1005162969.782281</v>
      </c>
      <c r="M961" t="s">
        <v>348</v>
      </c>
      <c r="N961" t="s">
        <v>380</v>
      </c>
      <c r="O961" t="s">
        <v>384</v>
      </c>
      <c r="P961">
        <v>19862</v>
      </c>
      <c r="Q961">
        <v>602</v>
      </c>
      <c r="R961">
        <v>19260</v>
      </c>
    </row>
    <row r="962" spans="1:18" x14ac:dyDescent="0.3">
      <c r="A962" t="s">
        <v>1982</v>
      </c>
      <c r="B962">
        <v>2022</v>
      </c>
      <c r="C962">
        <v>0.61159911911747544</v>
      </c>
      <c r="D962">
        <v>0</v>
      </c>
      <c r="E962">
        <v>0</v>
      </c>
      <c r="F962">
        <v>42</v>
      </c>
      <c r="G962">
        <v>1.3377807427173E-3</v>
      </c>
      <c r="H962">
        <v>4</v>
      </c>
      <c r="I962">
        <v>0</v>
      </c>
      <c r="J962">
        <v>0.31802160378858652</v>
      </c>
      <c r="K962">
        <v>-0.1504086311135876</v>
      </c>
      <c r="L962">
        <v>1136258665.6468711</v>
      </c>
      <c r="M962" t="s">
        <v>348</v>
      </c>
      <c r="N962" t="s">
        <v>102</v>
      </c>
      <c r="O962" t="s">
        <v>386</v>
      </c>
      <c r="P962">
        <v>1866</v>
      </c>
      <c r="Q962">
        <v>304</v>
      </c>
      <c r="R962">
        <v>1562</v>
      </c>
    </row>
    <row r="963" spans="1:18" x14ac:dyDescent="0.3">
      <c r="A963" t="s">
        <v>1983</v>
      </c>
      <c r="B963">
        <v>2022</v>
      </c>
      <c r="C963">
        <v>1.3354157933853339</v>
      </c>
      <c r="D963">
        <v>0</v>
      </c>
      <c r="E963">
        <v>0</v>
      </c>
      <c r="F963">
        <v>91</v>
      </c>
      <c r="G963">
        <v>2.0982269981864999E-3</v>
      </c>
      <c r="H963">
        <v>6</v>
      </c>
      <c r="I963">
        <v>2</v>
      </c>
      <c r="J963">
        <v>0.69285463422286675</v>
      </c>
      <c r="K963">
        <v>-0.34380117328988979</v>
      </c>
      <c r="L963">
        <v>31979169.523108281</v>
      </c>
      <c r="M963" t="s">
        <v>348</v>
      </c>
      <c r="N963" t="s">
        <v>102</v>
      </c>
      <c r="O963" t="s">
        <v>388</v>
      </c>
      <c r="P963">
        <v>1164</v>
      </c>
      <c r="Q963">
        <v>32</v>
      </c>
      <c r="R963">
        <v>1132</v>
      </c>
    </row>
    <row r="964" spans="1:18" x14ac:dyDescent="0.3">
      <c r="A964" t="s">
        <v>1984</v>
      </c>
      <c r="B964">
        <v>2022</v>
      </c>
      <c r="C964">
        <v>0.81306742797711462</v>
      </c>
      <c r="D964">
        <v>0</v>
      </c>
      <c r="E964">
        <v>0</v>
      </c>
      <c r="F964">
        <v>64</v>
      </c>
      <c r="G964">
        <v>1.1961594964615999E-3</v>
      </c>
      <c r="H964">
        <v>8</v>
      </c>
      <c r="I964">
        <v>0</v>
      </c>
      <c r="J964">
        <v>0.68787815358326199</v>
      </c>
      <c r="K964">
        <v>-0.33698551275037719</v>
      </c>
      <c r="L964">
        <v>69116135.142892689</v>
      </c>
      <c r="M964" t="s">
        <v>348</v>
      </c>
      <c r="N964" t="s">
        <v>102</v>
      </c>
      <c r="O964" t="s">
        <v>389</v>
      </c>
      <c r="P964">
        <v>1117</v>
      </c>
      <c r="Q964">
        <v>326</v>
      </c>
      <c r="R964">
        <v>791</v>
      </c>
    </row>
    <row r="965" spans="1:18" x14ac:dyDescent="0.3">
      <c r="A965" t="s">
        <v>1985</v>
      </c>
      <c r="B965">
        <v>2022</v>
      </c>
      <c r="C965">
        <v>0.66726879609880463</v>
      </c>
      <c r="D965">
        <v>0</v>
      </c>
      <c r="E965">
        <v>0</v>
      </c>
      <c r="F965">
        <v>21</v>
      </c>
      <c r="G965">
        <v>2.2321097515758002E-3</v>
      </c>
      <c r="H965">
        <v>4</v>
      </c>
      <c r="I965">
        <v>0</v>
      </c>
      <c r="J965">
        <v>0.55008239837998807</v>
      </c>
      <c r="K965">
        <v>-0.2412692903996109</v>
      </c>
      <c r="L965">
        <v>218794192.20440769</v>
      </c>
      <c r="M965" t="s">
        <v>348</v>
      </c>
      <c r="N965" t="s">
        <v>102</v>
      </c>
      <c r="O965" t="s">
        <v>390</v>
      </c>
      <c r="P965">
        <v>247</v>
      </c>
      <c r="Q965">
        <v>95</v>
      </c>
      <c r="R965">
        <v>152</v>
      </c>
    </row>
    <row r="966" spans="1:18" x14ac:dyDescent="0.3">
      <c r="A966" t="s">
        <v>1986</v>
      </c>
      <c r="B966">
        <v>2022</v>
      </c>
      <c r="C966">
        <v>0.92209480936212995</v>
      </c>
      <c r="D966">
        <v>0</v>
      </c>
      <c r="E966">
        <v>0</v>
      </c>
      <c r="F966">
        <v>39</v>
      </c>
      <c r="G966">
        <v>4.2818529718735001E-3</v>
      </c>
      <c r="H966">
        <v>2</v>
      </c>
      <c r="I966">
        <v>0</v>
      </c>
      <c r="J966">
        <v>0.69407863013174853</v>
      </c>
      <c r="K966">
        <v>-0.34705992712508449</v>
      </c>
      <c r="L966">
        <v>45830605.596574172</v>
      </c>
      <c r="M966" t="s">
        <v>348</v>
      </c>
      <c r="N966" t="s">
        <v>102</v>
      </c>
      <c r="O966" t="s">
        <v>392</v>
      </c>
      <c r="P966">
        <v>786</v>
      </c>
      <c r="Q966">
        <v>219</v>
      </c>
      <c r="R966">
        <v>567</v>
      </c>
    </row>
    <row r="967" spans="1:18" x14ac:dyDescent="0.3">
      <c r="A967" t="s">
        <v>1987</v>
      </c>
      <c r="B967">
        <v>2022</v>
      </c>
      <c r="C967">
        <v>0.63237843868602395</v>
      </c>
      <c r="D967">
        <v>0</v>
      </c>
      <c r="E967">
        <v>0</v>
      </c>
      <c r="F967">
        <v>40</v>
      </c>
      <c r="G967">
        <v>5.7276788984106002E-3</v>
      </c>
      <c r="H967">
        <v>5</v>
      </c>
      <c r="I967">
        <v>0</v>
      </c>
      <c r="J967">
        <v>0.63952029057424109</v>
      </c>
      <c r="K967">
        <v>-0.3062651006158566</v>
      </c>
      <c r="L967">
        <v>81137789.007875264</v>
      </c>
      <c r="M967" t="s">
        <v>348</v>
      </c>
      <c r="N967" t="s">
        <v>102</v>
      </c>
      <c r="O967" t="s">
        <v>393</v>
      </c>
      <c r="P967">
        <v>1636</v>
      </c>
      <c r="Q967">
        <v>429</v>
      </c>
      <c r="R967">
        <v>1207</v>
      </c>
    </row>
    <row r="968" spans="1:18" x14ac:dyDescent="0.3">
      <c r="A968" t="s">
        <v>1988</v>
      </c>
      <c r="B968">
        <v>2022</v>
      </c>
      <c r="C968">
        <v>1.0248810942890221</v>
      </c>
      <c r="D968">
        <v>0</v>
      </c>
      <c r="E968">
        <v>0</v>
      </c>
      <c r="F968">
        <v>71</v>
      </c>
      <c r="G968">
        <v>1.0272100607888E-3</v>
      </c>
      <c r="H968">
        <v>10</v>
      </c>
      <c r="I968">
        <v>0</v>
      </c>
      <c r="J968">
        <v>0.58737585142902471</v>
      </c>
      <c r="K968">
        <v>-0.16943882729679949</v>
      </c>
      <c r="L968">
        <v>227148267.35547569</v>
      </c>
      <c r="M968" t="s">
        <v>348</v>
      </c>
      <c r="N968" t="s">
        <v>102</v>
      </c>
      <c r="O968" t="s">
        <v>394</v>
      </c>
      <c r="P968">
        <v>1360</v>
      </c>
      <c r="Q968">
        <v>9</v>
      </c>
      <c r="R968">
        <v>1351</v>
      </c>
    </row>
    <row r="969" spans="1:18" x14ac:dyDescent="0.3">
      <c r="A969" t="s">
        <v>1989</v>
      </c>
      <c r="B969">
        <v>2022</v>
      </c>
      <c r="C969">
        <v>0.676576943624146</v>
      </c>
      <c r="D969">
        <v>0</v>
      </c>
      <c r="E969">
        <v>0</v>
      </c>
      <c r="F969">
        <v>33</v>
      </c>
      <c r="G969">
        <v>2.2521957024992001E-3</v>
      </c>
      <c r="H969">
        <v>3</v>
      </c>
      <c r="I969">
        <v>0</v>
      </c>
      <c r="J969">
        <v>0.52808532057384061</v>
      </c>
      <c r="K969">
        <v>-0.23795641982622581</v>
      </c>
      <c r="L969">
        <v>100300686.3581726</v>
      </c>
      <c r="M969" t="s">
        <v>348</v>
      </c>
      <c r="N969" t="s">
        <v>102</v>
      </c>
      <c r="O969" t="s">
        <v>164</v>
      </c>
      <c r="P969">
        <v>511</v>
      </c>
      <c r="Q969">
        <v>149</v>
      </c>
      <c r="R969">
        <v>362</v>
      </c>
    </row>
    <row r="970" spans="1:18" x14ac:dyDescent="0.3">
      <c r="A970" t="s">
        <v>1990</v>
      </c>
      <c r="B970">
        <v>2022</v>
      </c>
      <c r="C970">
        <v>0.58924699297620986</v>
      </c>
      <c r="D970">
        <v>0</v>
      </c>
      <c r="E970">
        <v>0</v>
      </c>
      <c r="F970">
        <v>75</v>
      </c>
      <c r="G970">
        <v>4.2589181636980001E-4</v>
      </c>
      <c r="H970">
        <v>17</v>
      </c>
      <c r="I970">
        <v>0</v>
      </c>
      <c r="J970">
        <v>0.60089062492252476</v>
      </c>
      <c r="K970">
        <v>-0.28032512129092091</v>
      </c>
      <c r="L970">
        <v>539470235.17225051</v>
      </c>
      <c r="M970" t="s">
        <v>348</v>
      </c>
      <c r="N970" t="s">
        <v>400</v>
      </c>
      <c r="O970" t="s">
        <v>402</v>
      </c>
      <c r="P970">
        <v>4508</v>
      </c>
      <c r="Q970">
        <v>58</v>
      </c>
      <c r="R970">
        <v>4450</v>
      </c>
    </row>
    <row r="971" spans="1:18" x14ac:dyDescent="0.3">
      <c r="A971" t="s">
        <v>1991</v>
      </c>
      <c r="B971">
        <v>2022</v>
      </c>
      <c r="C971">
        <v>0.89000387503566392</v>
      </c>
      <c r="D971">
        <v>0</v>
      </c>
      <c r="E971">
        <v>0</v>
      </c>
      <c r="F971">
        <v>130</v>
      </c>
      <c r="G971">
        <v>5.1612656823830005E-4</v>
      </c>
      <c r="H971">
        <v>15</v>
      </c>
      <c r="I971">
        <v>0</v>
      </c>
      <c r="J971">
        <v>0.29559496308758609</v>
      </c>
      <c r="K971">
        <v>-0.30472031655966447</v>
      </c>
      <c r="L971">
        <v>213264023.9504894</v>
      </c>
      <c r="M971" t="s">
        <v>406</v>
      </c>
      <c r="N971" t="s">
        <v>416</v>
      </c>
      <c r="O971" t="s">
        <v>417</v>
      </c>
      <c r="P971">
        <v>5904</v>
      </c>
      <c r="Q971">
        <v>689</v>
      </c>
      <c r="R971">
        <v>5215</v>
      </c>
    </row>
    <row r="972" spans="1:18" x14ac:dyDescent="0.3">
      <c r="A972" t="s">
        <v>1992</v>
      </c>
      <c r="B972">
        <v>2022</v>
      </c>
      <c r="C972">
        <v>1.1852576088230571</v>
      </c>
      <c r="D972">
        <v>0</v>
      </c>
      <c r="E972">
        <v>0</v>
      </c>
      <c r="F972">
        <v>152</v>
      </c>
      <c r="G972">
        <v>1.2969573410869001E-3</v>
      </c>
      <c r="H972">
        <v>3</v>
      </c>
      <c r="I972">
        <v>0</v>
      </c>
      <c r="J972">
        <v>0.13420836251624851</v>
      </c>
      <c r="K972">
        <v>-5.6474119625740102E-2</v>
      </c>
      <c r="L972">
        <v>131532543.6010212</v>
      </c>
      <c r="M972" t="s">
        <v>406</v>
      </c>
      <c r="N972" t="s">
        <v>429</v>
      </c>
      <c r="O972" t="s">
        <v>432</v>
      </c>
      <c r="P972">
        <v>6182</v>
      </c>
      <c r="Q972">
        <v>2284</v>
      </c>
      <c r="R972">
        <v>3898</v>
      </c>
    </row>
    <row r="973" spans="1:18" x14ac:dyDescent="0.3">
      <c r="A973" t="s">
        <v>1993</v>
      </c>
      <c r="B973">
        <v>2022</v>
      </c>
      <c r="C973">
        <v>1.477878817659356</v>
      </c>
      <c r="D973">
        <v>0</v>
      </c>
      <c r="E973">
        <v>0</v>
      </c>
      <c r="F973">
        <v>121</v>
      </c>
      <c r="G973">
        <v>1.3997596286560001E-3</v>
      </c>
      <c r="H973">
        <v>3</v>
      </c>
      <c r="I973">
        <v>3</v>
      </c>
      <c r="J973">
        <v>0.28086056654246139</v>
      </c>
      <c r="K973">
        <v>-0.36050628877371649</v>
      </c>
      <c r="L973">
        <v>100035165.85415339</v>
      </c>
      <c r="M973" t="s">
        <v>406</v>
      </c>
      <c r="N973" t="s">
        <v>436</v>
      </c>
      <c r="O973" t="s">
        <v>437</v>
      </c>
      <c r="P973">
        <v>5751</v>
      </c>
      <c r="Q973">
        <v>385</v>
      </c>
      <c r="R973">
        <v>5366</v>
      </c>
    </row>
    <row r="974" spans="1:18" x14ac:dyDescent="0.3">
      <c r="A974" t="s">
        <v>1994</v>
      </c>
      <c r="B974">
        <v>2022</v>
      </c>
      <c r="C974">
        <v>3.899582696874373</v>
      </c>
      <c r="D974">
        <v>0</v>
      </c>
      <c r="E974">
        <v>0</v>
      </c>
      <c r="F974">
        <v>249</v>
      </c>
      <c r="G974">
        <v>4.9781314340439995E-4</v>
      </c>
      <c r="H974">
        <v>8</v>
      </c>
      <c r="I974">
        <v>0</v>
      </c>
      <c r="J974">
        <v>0.39185480451097099</v>
      </c>
      <c r="K974">
        <v>-0.24825014453145069</v>
      </c>
      <c r="L974">
        <v>107528482.93559989</v>
      </c>
      <c r="M974" t="s">
        <v>406</v>
      </c>
      <c r="N974" t="s">
        <v>446</v>
      </c>
      <c r="O974" t="s">
        <v>448</v>
      </c>
      <c r="P974">
        <v>13139</v>
      </c>
      <c r="Q974">
        <v>2775</v>
      </c>
      <c r="R974">
        <v>10364</v>
      </c>
    </row>
    <row r="975" spans="1:18" x14ac:dyDescent="0.3">
      <c r="A975" t="s">
        <v>1995</v>
      </c>
      <c r="B975">
        <v>2022</v>
      </c>
      <c r="C975">
        <v>0.84561712041859749</v>
      </c>
      <c r="D975">
        <v>0</v>
      </c>
      <c r="E975">
        <v>0</v>
      </c>
      <c r="F975">
        <v>38</v>
      </c>
      <c r="G975">
        <v>1.5420182086847999E-3</v>
      </c>
      <c r="H975">
        <v>10</v>
      </c>
      <c r="I975">
        <v>0</v>
      </c>
      <c r="L975">
        <v>54906513.331152722</v>
      </c>
      <c r="M975" t="s">
        <v>460</v>
      </c>
      <c r="N975" t="s">
        <v>473</v>
      </c>
      <c r="O975" t="s">
        <v>480</v>
      </c>
      <c r="P975">
        <v>592</v>
      </c>
      <c r="Q975">
        <v>185</v>
      </c>
      <c r="R975">
        <v>407</v>
      </c>
    </row>
    <row r="976" spans="1:18" x14ac:dyDescent="0.3">
      <c r="A976" t="s">
        <v>1996</v>
      </c>
      <c r="B976">
        <v>2022</v>
      </c>
      <c r="C976">
        <v>0.95189448638765639</v>
      </c>
      <c r="D976">
        <v>0</v>
      </c>
      <c r="E976">
        <v>0</v>
      </c>
      <c r="F976">
        <v>19</v>
      </c>
      <c r="G976">
        <v>2.2172624492333998E-3</v>
      </c>
      <c r="H976">
        <v>1</v>
      </c>
      <c r="I976">
        <v>1</v>
      </c>
      <c r="L976">
        <v>9955712.7632541247</v>
      </c>
      <c r="M976" t="s">
        <v>460</v>
      </c>
      <c r="N976" t="s">
        <v>481</v>
      </c>
      <c r="O976" t="s">
        <v>485</v>
      </c>
      <c r="P976">
        <v>221</v>
      </c>
      <c r="Q976">
        <v>86</v>
      </c>
      <c r="R976">
        <v>135</v>
      </c>
    </row>
    <row r="977" spans="1:18" x14ac:dyDescent="0.3">
      <c r="A977" t="s">
        <v>1997</v>
      </c>
      <c r="B977">
        <v>2022</v>
      </c>
      <c r="C977">
        <v>1.096873872729875</v>
      </c>
      <c r="D977">
        <v>0</v>
      </c>
      <c r="E977">
        <v>0</v>
      </c>
      <c r="F977">
        <v>55</v>
      </c>
      <c r="G977">
        <v>4.4792631791879998E-4</v>
      </c>
      <c r="H977">
        <v>1</v>
      </c>
      <c r="I977">
        <v>2</v>
      </c>
      <c r="J977">
        <v>0.43639740951471861</v>
      </c>
      <c r="K977">
        <v>-0.24147982045908861</v>
      </c>
      <c r="L977">
        <v>49488185.804452352</v>
      </c>
      <c r="M977" t="s">
        <v>460</v>
      </c>
      <c r="N977" t="s">
        <v>488</v>
      </c>
      <c r="O977" t="s">
        <v>489</v>
      </c>
      <c r="P977">
        <v>1020</v>
      </c>
      <c r="Q977">
        <v>95</v>
      </c>
      <c r="R977">
        <v>925</v>
      </c>
    </row>
    <row r="978" spans="1:18" x14ac:dyDescent="0.3">
      <c r="A978" t="s">
        <v>1998</v>
      </c>
      <c r="B978">
        <v>2022</v>
      </c>
      <c r="C978">
        <v>0.57594343826105443</v>
      </c>
      <c r="D978">
        <v>0</v>
      </c>
      <c r="E978">
        <v>0</v>
      </c>
      <c r="F978">
        <v>89</v>
      </c>
      <c r="G978">
        <v>4.9613520158250002E-4</v>
      </c>
      <c r="H978">
        <v>3</v>
      </c>
      <c r="I978">
        <v>0</v>
      </c>
      <c r="J978">
        <v>0.4652787402963004</v>
      </c>
      <c r="K978">
        <v>-0.35336813693609609</v>
      </c>
      <c r="L978">
        <v>99931558.129725635</v>
      </c>
      <c r="M978" t="s">
        <v>499</v>
      </c>
      <c r="N978" t="s">
        <v>499</v>
      </c>
      <c r="O978" t="s">
        <v>503</v>
      </c>
      <c r="P978">
        <v>2082</v>
      </c>
      <c r="Q978">
        <v>464</v>
      </c>
      <c r="R978">
        <v>1618</v>
      </c>
    </row>
    <row r="979" spans="1:18" x14ac:dyDescent="0.3">
      <c r="A979" t="s">
        <v>1999</v>
      </c>
      <c r="B979">
        <v>2022</v>
      </c>
      <c r="C979">
        <v>0.65595155484389922</v>
      </c>
      <c r="D979">
        <v>0</v>
      </c>
      <c r="E979">
        <v>0</v>
      </c>
      <c r="F979">
        <v>11</v>
      </c>
      <c r="G979">
        <v>7.2806678940539997E-4</v>
      </c>
      <c r="H979">
        <v>1</v>
      </c>
      <c r="I979">
        <v>2</v>
      </c>
      <c r="J979">
        <v>0.53756987048652838</v>
      </c>
      <c r="K979">
        <v>-0.28741713597223761</v>
      </c>
      <c r="L979">
        <v>102249186.0508755</v>
      </c>
      <c r="M979" t="s">
        <v>499</v>
      </c>
      <c r="N979" t="s">
        <v>499</v>
      </c>
      <c r="O979" t="s">
        <v>504</v>
      </c>
      <c r="P979">
        <v>1010</v>
      </c>
      <c r="Q979">
        <v>123</v>
      </c>
      <c r="R979">
        <v>887</v>
      </c>
    </row>
    <row r="980" spans="1:18" x14ac:dyDescent="0.3">
      <c r="A980" t="s">
        <v>2000</v>
      </c>
      <c r="B980">
        <v>2022</v>
      </c>
      <c r="C980">
        <v>0.56337150480284248</v>
      </c>
      <c r="D980">
        <v>0</v>
      </c>
      <c r="E980">
        <v>0</v>
      </c>
      <c r="F980">
        <v>27</v>
      </c>
      <c r="G980">
        <v>4.7562371770890001E-4</v>
      </c>
      <c r="H980">
        <v>6</v>
      </c>
      <c r="I980">
        <v>1</v>
      </c>
      <c r="J980">
        <v>0.48085973839442259</v>
      </c>
      <c r="K980">
        <v>-0.39482842038693022</v>
      </c>
      <c r="L980">
        <v>116909433.6790434</v>
      </c>
      <c r="M980" t="s">
        <v>499</v>
      </c>
      <c r="N980" t="s">
        <v>512</v>
      </c>
      <c r="O980" t="s">
        <v>516</v>
      </c>
      <c r="P980">
        <v>1016</v>
      </c>
      <c r="Q980">
        <v>136</v>
      </c>
      <c r="R980">
        <v>880</v>
      </c>
    </row>
    <row r="981" spans="1:18" x14ac:dyDescent="0.3">
      <c r="A981" t="s">
        <v>2001</v>
      </c>
      <c r="B981">
        <v>2022</v>
      </c>
      <c r="C981">
        <v>0.66236826384313641</v>
      </c>
      <c r="D981">
        <v>0</v>
      </c>
      <c r="E981">
        <v>0</v>
      </c>
      <c r="F981">
        <v>23</v>
      </c>
      <c r="G981">
        <v>8.706999262439E-4</v>
      </c>
      <c r="H981">
        <v>2</v>
      </c>
      <c r="I981">
        <v>0</v>
      </c>
      <c r="J981">
        <v>0.48235564324026242</v>
      </c>
      <c r="K981">
        <v>-0.31968130612928253</v>
      </c>
      <c r="L981">
        <v>105755160.1507453</v>
      </c>
      <c r="M981" t="s">
        <v>499</v>
      </c>
      <c r="N981" t="s">
        <v>518</v>
      </c>
      <c r="O981" t="s">
        <v>519</v>
      </c>
      <c r="P981">
        <v>293</v>
      </c>
      <c r="Q981">
        <v>106</v>
      </c>
      <c r="R981">
        <v>187</v>
      </c>
    </row>
    <row r="982" spans="1:18" x14ac:dyDescent="0.3">
      <c r="A982" t="s">
        <v>2002</v>
      </c>
      <c r="B982">
        <v>2022</v>
      </c>
      <c r="C982">
        <v>0.7656988478661515</v>
      </c>
      <c r="D982">
        <v>0</v>
      </c>
      <c r="E982">
        <v>0</v>
      </c>
      <c r="F982">
        <v>36</v>
      </c>
      <c r="G982">
        <v>7.3718572324180001E-4</v>
      </c>
      <c r="H982">
        <v>3</v>
      </c>
      <c r="I982">
        <v>0</v>
      </c>
      <c r="J982">
        <v>0.47853415242184227</v>
      </c>
      <c r="K982">
        <v>-0.3402995478498006</v>
      </c>
      <c r="L982">
        <v>44463617.494865216</v>
      </c>
      <c r="M982" t="s">
        <v>499</v>
      </c>
      <c r="N982" t="s">
        <v>526</v>
      </c>
      <c r="O982" t="s">
        <v>313</v>
      </c>
      <c r="P982">
        <v>1193</v>
      </c>
      <c r="Q982">
        <v>538</v>
      </c>
      <c r="R982">
        <v>655</v>
      </c>
    </row>
    <row r="983" spans="1:18" x14ac:dyDescent="0.3">
      <c r="A983" t="s">
        <v>2003</v>
      </c>
      <c r="B983">
        <v>2022</v>
      </c>
      <c r="C983">
        <v>0.80532840415197027</v>
      </c>
      <c r="D983">
        <v>0</v>
      </c>
      <c r="E983">
        <v>0</v>
      </c>
      <c r="F983">
        <v>29</v>
      </c>
      <c r="G983">
        <v>3.1640561617460002E-4</v>
      </c>
      <c r="H983">
        <v>3</v>
      </c>
      <c r="I983">
        <v>0</v>
      </c>
      <c r="J983">
        <v>0.47363410762222857</v>
      </c>
      <c r="K983">
        <v>-0.36631116603184533</v>
      </c>
      <c r="L983">
        <v>91663599.263196275</v>
      </c>
      <c r="M983" t="s">
        <v>499</v>
      </c>
      <c r="N983" t="s">
        <v>526</v>
      </c>
      <c r="O983" t="s">
        <v>425</v>
      </c>
      <c r="P983">
        <v>382</v>
      </c>
      <c r="Q983">
        <v>147</v>
      </c>
      <c r="R983">
        <v>235</v>
      </c>
    </row>
    <row r="984" spans="1:18" x14ac:dyDescent="0.3">
      <c r="A984" t="s">
        <v>2004</v>
      </c>
      <c r="B984">
        <v>2022</v>
      </c>
      <c r="C984">
        <v>0.67342873562057648</v>
      </c>
      <c r="D984">
        <v>0</v>
      </c>
      <c r="E984">
        <v>0</v>
      </c>
      <c r="F984">
        <v>60</v>
      </c>
      <c r="G984">
        <v>5.3219587572879998E-4</v>
      </c>
      <c r="H984">
        <v>1</v>
      </c>
      <c r="I984">
        <v>0</v>
      </c>
      <c r="J984">
        <v>0.4517148967065876</v>
      </c>
      <c r="K984">
        <v>-0.31385778127196229</v>
      </c>
      <c r="L984">
        <v>54348475.498921439</v>
      </c>
      <c r="M984" t="s">
        <v>499</v>
      </c>
      <c r="N984" t="s">
        <v>526</v>
      </c>
      <c r="O984" t="s">
        <v>527</v>
      </c>
      <c r="P984">
        <v>1211</v>
      </c>
      <c r="Q984">
        <v>389</v>
      </c>
      <c r="R984">
        <v>822</v>
      </c>
    </row>
    <row r="985" spans="1:18" x14ac:dyDescent="0.3">
      <c r="A985" t="s">
        <v>2005</v>
      </c>
      <c r="B985">
        <v>2022</v>
      </c>
      <c r="C985">
        <v>0.73705649539592366</v>
      </c>
      <c r="D985">
        <v>0</v>
      </c>
      <c r="E985">
        <v>0</v>
      </c>
      <c r="F985">
        <v>19</v>
      </c>
      <c r="G985">
        <v>1.364248899015E-3</v>
      </c>
      <c r="H985">
        <v>2</v>
      </c>
      <c r="I985">
        <v>0</v>
      </c>
      <c r="J985">
        <v>0.47814572100369379</v>
      </c>
      <c r="K985">
        <v>-0.3103499559205648</v>
      </c>
      <c r="L985">
        <v>21630839.112522651</v>
      </c>
      <c r="M985" t="s">
        <v>499</v>
      </c>
      <c r="N985" t="s">
        <v>526</v>
      </c>
      <c r="O985" t="s">
        <v>528</v>
      </c>
      <c r="P985">
        <v>605</v>
      </c>
      <c r="Q985">
        <v>145</v>
      </c>
      <c r="R985">
        <v>460</v>
      </c>
    </row>
    <row r="986" spans="1:18" x14ac:dyDescent="0.3">
      <c r="A986" t="s">
        <v>2006</v>
      </c>
      <c r="B986">
        <v>2022</v>
      </c>
      <c r="C986">
        <v>0.70340191260726803</v>
      </c>
      <c r="D986">
        <v>0</v>
      </c>
      <c r="E986">
        <v>0</v>
      </c>
      <c r="F986">
        <v>23</v>
      </c>
      <c r="G986">
        <v>2.6175547536003E-3</v>
      </c>
      <c r="H986">
        <v>1</v>
      </c>
      <c r="I986">
        <v>0</v>
      </c>
      <c r="J986">
        <v>0.55423606487611365</v>
      </c>
      <c r="K986">
        <v>-0.2855815140290181</v>
      </c>
      <c r="L986">
        <v>28071947.627938081</v>
      </c>
      <c r="M986" t="s">
        <v>499</v>
      </c>
      <c r="N986" t="s">
        <v>529</v>
      </c>
      <c r="O986" t="s">
        <v>533</v>
      </c>
      <c r="P986">
        <v>802</v>
      </c>
      <c r="Q986">
        <v>317</v>
      </c>
      <c r="R986">
        <v>485</v>
      </c>
    </row>
    <row r="987" spans="1:18" x14ac:dyDescent="0.3">
      <c r="A987" t="s">
        <v>2007</v>
      </c>
      <c r="B987">
        <v>2022</v>
      </c>
      <c r="C987">
        <v>0.97245283664411963</v>
      </c>
      <c r="D987">
        <v>0</v>
      </c>
      <c r="E987">
        <v>0</v>
      </c>
      <c r="F987">
        <v>227</v>
      </c>
      <c r="G987">
        <v>1.8600751328490001E-4</v>
      </c>
      <c r="H987">
        <v>6</v>
      </c>
      <c r="I987">
        <v>4</v>
      </c>
      <c r="J987">
        <v>0.42252693273357228</v>
      </c>
      <c r="K987">
        <v>-0.39321218891052401</v>
      </c>
      <c r="L987">
        <v>297409362.25008738</v>
      </c>
      <c r="M987" t="s">
        <v>499</v>
      </c>
      <c r="N987" t="s">
        <v>534</v>
      </c>
      <c r="O987" t="s">
        <v>536</v>
      </c>
      <c r="P987">
        <v>4252</v>
      </c>
      <c r="Q987">
        <v>937</v>
      </c>
      <c r="R987">
        <v>3315</v>
      </c>
    </row>
    <row r="988" spans="1:18" x14ac:dyDescent="0.3">
      <c r="A988" t="s">
        <v>2008</v>
      </c>
      <c r="B988">
        <v>2022</v>
      </c>
      <c r="C988">
        <v>0.71708454991668469</v>
      </c>
      <c r="D988">
        <v>0</v>
      </c>
      <c r="E988">
        <v>0</v>
      </c>
      <c r="F988">
        <v>38</v>
      </c>
      <c r="G988">
        <v>5.945296919168E-4</v>
      </c>
      <c r="H988">
        <v>4</v>
      </c>
      <c r="I988">
        <v>1</v>
      </c>
      <c r="J988">
        <v>0.51079316863259783</v>
      </c>
      <c r="K988">
        <v>-0.3516925014322449</v>
      </c>
      <c r="L988">
        <v>48058714.871265627</v>
      </c>
      <c r="M988" t="s">
        <v>499</v>
      </c>
      <c r="N988" t="s">
        <v>542</v>
      </c>
      <c r="O988" t="s">
        <v>544</v>
      </c>
      <c r="P988">
        <v>991</v>
      </c>
      <c r="Q988">
        <v>213</v>
      </c>
      <c r="R988">
        <v>778</v>
      </c>
    </row>
    <row r="989" spans="1:18" x14ac:dyDescent="0.3">
      <c r="A989" t="s">
        <v>2009</v>
      </c>
      <c r="B989">
        <v>2022</v>
      </c>
      <c r="C989">
        <v>0.60554074372853706</v>
      </c>
      <c r="D989">
        <v>0</v>
      </c>
      <c r="E989">
        <v>0</v>
      </c>
      <c r="F989">
        <v>69</v>
      </c>
      <c r="G989">
        <v>2.5769713252470002E-4</v>
      </c>
      <c r="H989">
        <v>1</v>
      </c>
      <c r="I989">
        <v>1</v>
      </c>
      <c r="J989">
        <v>0.3824500341475105</v>
      </c>
      <c r="K989">
        <v>-0.2352220131462367</v>
      </c>
      <c r="L989">
        <v>180263509.82799339</v>
      </c>
      <c r="M989" t="s">
        <v>499</v>
      </c>
      <c r="N989" t="s">
        <v>542</v>
      </c>
      <c r="O989" t="s">
        <v>547</v>
      </c>
      <c r="P989">
        <v>1585</v>
      </c>
      <c r="Q989">
        <v>475</v>
      </c>
      <c r="R989">
        <v>1110</v>
      </c>
    </row>
    <row r="990" spans="1:18" x14ac:dyDescent="0.3">
      <c r="A990" t="s">
        <v>2010</v>
      </c>
      <c r="B990">
        <v>2022</v>
      </c>
      <c r="C990">
        <v>0.75146369380451705</v>
      </c>
      <c r="D990">
        <v>0</v>
      </c>
      <c r="E990">
        <v>0</v>
      </c>
      <c r="F990">
        <v>169</v>
      </c>
      <c r="G990">
        <v>2.4642073654689998E-4</v>
      </c>
      <c r="H990">
        <v>5</v>
      </c>
      <c r="I990">
        <v>0</v>
      </c>
      <c r="J990">
        <v>0.4567202982789853</v>
      </c>
      <c r="K990">
        <v>-0.32227272424335429</v>
      </c>
      <c r="L990">
        <v>155031213.8102037</v>
      </c>
      <c r="M990" t="s">
        <v>499</v>
      </c>
      <c r="N990" t="s">
        <v>557</v>
      </c>
      <c r="O990" t="s">
        <v>563</v>
      </c>
      <c r="P990">
        <v>3283</v>
      </c>
      <c r="Q990">
        <v>617</v>
      </c>
      <c r="R990">
        <v>2666</v>
      </c>
    </row>
    <row r="991" spans="1:18" x14ac:dyDescent="0.3">
      <c r="A991" t="s">
        <v>2011</v>
      </c>
      <c r="B991">
        <v>2022</v>
      </c>
      <c r="C991">
        <v>0.61911976173069005</v>
      </c>
      <c r="D991">
        <v>0</v>
      </c>
      <c r="E991">
        <v>0</v>
      </c>
      <c r="F991">
        <v>44</v>
      </c>
      <c r="G991">
        <v>1.3698172773189E-3</v>
      </c>
      <c r="H991">
        <v>4</v>
      </c>
      <c r="I991">
        <v>0</v>
      </c>
      <c r="J991">
        <v>0.4793932653793142</v>
      </c>
      <c r="K991">
        <v>-0.42214431154013687</v>
      </c>
      <c r="L991">
        <v>51529850.842323624</v>
      </c>
      <c r="M991" t="s">
        <v>499</v>
      </c>
      <c r="N991" t="s">
        <v>567</v>
      </c>
      <c r="O991" t="s">
        <v>568</v>
      </c>
      <c r="P991">
        <v>816</v>
      </c>
      <c r="Q991">
        <v>248</v>
      </c>
      <c r="R991">
        <v>568</v>
      </c>
    </row>
    <row r="992" spans="1:18" x14ac:dyDescent="0.3">
      <c r="A992" t="s">
        <v>2012</v>
      </c>
      <c r="B992">
        <v>2022</v>
      </c>
      <c r="C992">
        <v>0.65904590088643744</v>
      </c>
      <c r="D992">
        <v>0</v>
      </c>
      <c r="E992">
        <v>0</v>
      </c>
      <c r="F992">
        <v>91</v>
      </c>
      <c r="G992">
        <v>3.055714282936E-4</v>
      </c>
      <c r="H992">
        <v>2</v>
      </c>
      <c r="I992">
        <v>1</v>
      </c>
      <c r="J992">
        <v>0.44996868761234671</v>
      </c>
      <c r="K992">
        <v>-0.39789167718767487</v>
      </c>
      <c r="L992">
        <v>76510059.24702844</v>
      </c>
      <c r="M992" t="s">
        <v>499</v>
      </c>
      <c r="N992" t="s">
        <v>567</v>
      </c>
      <c r="O992" t="s">
        <v>569</v>
      </c>
      <c r="P992">
        <v>2483</v>
      </c>
      <c r="Q992">
        <v>386</v>
      </c>
      <c r="R992">
        <v>2097</v>
      </c>
    </row>
    <row r="993" spans="1:18" x14ac:dyDescent="0.3">
      <c r="A993" t="s">
        <v>2013</v>
      </c>
      <c r="B993">
        <v>2022</v>
      </c>
      <c r="C993">
        <v>0.55831963402209561</v>
      </c>
      <c r="D993">
        <v>0</v>
      </c>
      <c r="E993">
        <v>0</v>
      </c>
      <c r="F993">
        <v>57</v>
      </c>
      <c r="G993">
        <v>5.8038207786859997E-4</v>
      </c>
      <c r="H993">
        <v>7</v>
      </c>
      <c r="I993">
        <v>0</v>
      </c>
      <c r="J993">
        <v>0.3970547093855179</v>
      </c>
      <c r="K993">
        <v>-0.36690986707118101</v>
      </c>
      <c r="L993">
        <v>131383168.5524154</v>
      </c>
      <c r="M993" t="s">
        <v>499</v>
      </c>
      <c r="N993" t="s">
        <v>570</v>
      </c>
      <c r="O993" t="s">
        <v>575</v>
      </c>
      <c r="P993">
        <v>1207</v>
      </c>
      <c r="Q993">
        <v>188</v>
      </c>
      <c r="R993">
        <v>1019</v>
      </c>
    </row>
    <row r="994" spans="1:18" x14ac:dyDescent="0.3">
      <c r="A994" t="s">
        <v>2014</v>
      </c>
      <c r="B994">
        <v>2022</v>
      </c>
      <c r="C994">
        <v>0.50330775911661352</v>
      </c>
      <c r="D994">
        <v>0</v>
      </c>
      <c r="E994">
        <v>0</v>
      </c>
      <c r="F994">
        <v>35</v>
      </c>
      <c r="G994">
        <v>1.3359934921326E-3</v>
      </c>
      <c r="H994">
        <v>3</v>
      </c>
      <c r="I994">
        <v>3</v>
      </c>
      <c r="J994">
        <v>0.34942318032791392</v>
      </c>
      <c r="K994">
        <v>-0.37507321929335918</v>
      </c>
      <c r="L994">
        <v>119534287.1799134</v>
      </c>
      <c r="M994" t="s">
        <v>499</v>
      </c>
      <c r="N994" t="s">
        <v>570</v>
      </c>
      <c r="O994" t="s">
        <v>576</v>
      </c>
      <c r="P994">
        <v>473</v>
      </c>
      <c r="Q994">
        <v>44</v>
      </c>
      <c r="R994">
        <v>429</v>
      </c>
    </row>
    <row r="995" spans="1:18" x14ac:dyDescent="0.3">
      <c r="A995" t="s">
        <v>2015</v>
      </c>
      <c r="B995">
        <v>2022</v>
      </c>
      <c r="C995">
        <v>0.99899774936975916</v>
      </c>
      <c r="D995">
        <v>0</v>
      </c>
      <c r="E995">
        <v>0</v>
      </c>
      <c r="F995">
        <v>26</v>
      </c>
      <c r="G995">
        <v>2.2778691499301001E-3</v>
      </c>
      <c r="H995">
        <v>5</v>
      </c>
      <c r="I995">
        <v>0</v>
      </c>
      <c r="J995">
        <v>0.43136029367639062</v>
      </c>
      <c r="K995">
        <v>-0.32797198815315981</v>
      </c>
      <c r="L995">
        <v>17250199.643547349</v>
      </c>
      <c r="M995" t="s">
        <v>499</v>
      </c>
      <c r="N995" t="s">
        <v>577</v>
      </c>
      <c r="O995" t="s">
        <v>578</v>
      </c>
      <c r="P995">
        <v>995</v>
      </c>
      <c r="Q995">
        <v>45</v>
      </c>
      <c r="R995">
        <v>950</v>
      </c>
    </row>
    <row r="996" spans="1:18" x14ac:dyDescent="0.3">
      <c r="A996" t="s">
        <v>2016</v>
      </c>
      <c r="B996">
        <v>2022</v>
      </c>
      <c r="C996">
        <v>0.65740784381501216</v>
      </c>
      <c r="D996">
        <v>0</v>
      </c>
      <c r="E996">
        <v>0</v>
      </c>
      <c r="F996">
        <v>24</v>
      </c>
      <c r="G996">
        <v>1.6834993038425999E-3</v>
      </c>
      <c r="H996">
        <v>2</v>
      </c>
      <c r="I996">
        <v>1</v>
      </c>
      <c r="J996">
        <v>0.52091019753718848</v>
      </c>
      <c r="K996">
        <v>-0.40770550994316601</v>
      </c>
      <c r="L996">
        <v>36291725.363845542</v>
      </c>
      <c r="M996" t="s">
        <v>499</v>
      </c>
      <c r="N996" t="s">
        <v>581</v>
      </c>
      <c r="O996" t="s">
        <v>582</v>
      </c>
      <c r="P996">
        <v>293</v>
      </c>
      <c r="Q996">
        <v>108</v>
      </c>
      <c r="R996">
        <v>185</v>
      </c>
    </row>
    <row r="997" spans="1:18" x14ac:dyDescent="0.3">
      <c r="A997" t="s">
        <v>2017</v>
      </c>
      <c r="B997">
        <v>2022</v>
      </c>
      <c r="C997">
        <v>0.75283791145314483</v>
      </c>
      <c r="D997">
        <v>0</v>
      </c>
      <c r="E997">
        <v>0</v>
      </c>
      <c r="F997">
        <v>38</v>
      </c>
      <c r="G997">
        <v>1.8466351045669E-3</v>
      </c>
      <c r="H997">
        <v>5</v>
      </c>
      <c r="I997">
        <v>1</v>
      </c>
      <c r="L997">
        <v>56790411.747147173</v>
      </c>
      <c r="M997" t="s">
        <v>586</v>
      </c>
      <c r="N997" t="s">
        <v>404</v>
      </c>
      <c r="O997" t="s">
        <v>594</v>
      </c>
      <c r="P997">
        <v>2479</v>
      </c>
      <c r="Q997">
        <v>1230</v>
      </c>
      <c r="R997">
        <v>1249</v>
      </c>
    </row>
    <row r="998" spans="1:18" x14ac:dyDescent="0.3">
      <c r="A998" t="s">
        <v>2018</v>
      </c>
      <c r="B998">
        <v>2022</v>
      </c>
      <c r="C998">
        <v>0.96400612979740841</v>
      </c>
      <c r="D998">
        <v>0</v>
      </c>
      <c r="E998">
        <v>0</v>
      </c>
      <c r="F998">
        <v>51</v>
      </c>
      <c r="G998">
        <v>2.8691166989039001E-3</v>
      </c>
      <c r="H998">
        <v>7</v>
      </c>
      <c r="I998">
        <v>1</v>
      </c>
      <c r="L998">
        <v>81590771.157541454</v>
      </c>
      <c r="M998" t="s">
        <v>586</v>
      </c>
      <c r="N998" t="s">
        <v>595</v>
      </c>
      <c r="O998" t="s">
        <v>596</v>
      </c>
      <c r="P998">
        <v>5221</v>
      </c>
      <c r="Q998">
        <v>477</v>
      </c>
      <c r="R998">
        <v>4744</v>
      </c>
    </row>
    <row r="999" spans="1:18" x14ac:dyDescent="0.3">
      <c r="A999" t="s">
        <v>2019</v>
      </c>
      <c r="B999">
        <v>2022</v>
      </c>
      <c r="C999">
        <v>1.2208471722720931</v>
      </c>
      <c r="D999">
        <v>0</v>
      </c>
      <c r="E999">
        <v>0</v>
      </c>
      <c r="F999">
        <v>77</v>
      </c>
      <c r="G999">
        <v>6.9905610304350004E-4</v>
      </c>
      <c r="H999">
        <v>8</v>
      </c>
      <c r="I999">
        <v>3</v>
      </c>
      <c r="L999">
        <v>53046575.123113327</v>
      </c>
      <c r="M999" t="s">
        <v>586</v>
      </c>
      <c r="N999" t="s">
        <v>599</v>
      </c>
      <c r="O999" t="s">
        <v>602</v>
      </c>
      <c r="P999">
        <v>2728</v>
      </c>
      <c r="Q999">
        <v>95</v>
      </c>
      <c r="R999">
        <v>2633</v>
      </c>
    </row>
    <row r="1000" spans="1:18" x14ac:dyDescent="0.3">
      <c r="A1000" t="s">
        <v>2020</v>
      </c>
      <c r="B1000">
        <v>2022</v>
      </c>
      <c r="C1000">
        <v>1.1023192334638621</v>
      </c>
      <c r="D1000">
        <v>0</v>
      </c>
      <c r="E1000">
        <v>0</v>
      </c>
      <c r="F1000">
        <v>73</v>
      </c>
      <c r="G1000">
        <v>1.3020603486898999E-3</v>
      </c>
      <c r="H1000">
        <v>5</v>
      </c>
      <c r="I1000">
        <v>3</v>
      </c>
      <c r="J1000">
        <v>0.431871730507492</v>
      </c>
      <c r="K1000">
        <v>-0.19882954307800349</v>
      </c>
      <c r="L1000">
        <v>47659225.191705503</v>
      </c>
      <c r="M1000" t="s">
        <v>612</v>
      </c>
      <c r="N1000" t="s">
        <v>635</v>
      </c>
      <c r="O1000" t="s">
        <v>87</v>
      </c>
      <c r="P1000">
        <v>1747</v>
      </c>
      <c r="Q1000">
        <v>54</v>
      </c>
      <c r="R1000">
        <v>1693</v>
      </c>
    </row>
    <row r="1001" spans="1:18" x14ac:dyDescent="0.3">
      <c r="A1001" t="s">
        <v>2021</v>
      </c>
      <c r="B1001">
        <v>2022</v>
      </c>
      <c r="C1001">
        <v>1.0668415436015131</v>
      </c>
      <c r="D1001">
        <v>0</v>
      </c>
      <c r="E1001">
        <v>0</v>
      </c>
      <c r="F1001">
        <v>84</v>
      </c>
      <c r="G1001">
        <v>4.3869206408930002E-4</v>
      </c>
      <c r="H1001">
        <v>9</v>
      </c>
      <c r="I1001">
        <v>0</v>
      </c>
      <c r="J1001">
        <v>0.39928043182481621</v>
      </c>
      <c r="K1001">
        <v>-0.27583804382694332</v>
      </c>
      <c r="L1001">
        <v>239047639.1736562</v>
      </c>
      <c r="M1001" t="s">
        <v>612</v>
      </c>
      <c r="N1001" t="s">
        <v>647</v>
      </c>
      <c r="O1001" t="s">
        <v>648</v>
      </c>
      <c r="P1001">
        <v>8734</v>
      </c>
      <c r="Q1001">
        <v>69</v>
      </c>
      <c r="R1001">
        <v>8665</v>
      </c>
    </row>
    <row r="1002" spans="1:18" x14ac:dyDescent="0.3">
      <c r="A1002" t="s">
        <v>2022</v>
      </c>
      <c r="B1002">
        <v>2022</v>
      </c>
      <c r="C1002">
        <v>0.75704118483744443</v>
      </c>
      <c r="D1002">
        <v>0</v>
      </c>
      <c r="E1002">
        <v>0</v>
      </c>
      <c r="F1002">
        <v>118</v>
      </c>
      <c r="G1002">
        <v>2.842484155526E-4</v>
      </c>
      <c r="H1002">
        <v>3</v>
      </c>
      <c r="I1002">
        <v>1</v>
      </c>
      <c r="J1002">
        <v>0.37774878546021451</v>
      </c>
      <c r="K1002">
        <v>-0.29323427540775288</v>
      </c>
      <c r="L1002">
        <v>465021037.90550733</v>
      </c>
      <c r="M1002" t="s">
        <v>612</v>
      </c>
      <c r="N1002" t="s">
        <v>647</v>
      </c>
      <c r="O1002" t="s">
        <v>649</v>
      </c>
      <c r="P1002">
        <v>8764</v>
      </c>
      <c r="Q1002">
        <v>617</v>
      </c>
      <c r="R1002">
        <v>8147</v>
      </c>
    </row>
    <row r="1003" spans="1:18" x14ac:dyDescent="0.3">
      <c r="A1003" t="s">
        <v>2023</v>
      </c>
      <c r="B1003">
        <v>2022</v>
      </c>
      <c r="C1003">
        <v>0.81520529841166789</v>
      </c>
      <c r="D1003">
        <v>0</v>
      </c>
      <c r="E1003">
        <v>0</v>
      </c>
      <c r="F1003">
        <v>65</v>
      </c>
      <c r="G1003">
        <v>9.0620378535909997E-4</v>
      </c>
      <c r="H1003">
        <v>11</v>
      </c>
      <c r="I1003">
        <v>0</v>
      </c>
      <c r="J1003">
        <v>0.3754572552938768</v>
      </c>
      <c r="K1003">
        <v>-0.28736507424917079</v>
      </c>
      <c r="L1003">
        <v>74684135.842351422</v>
      </c>
      <c r="M1003" t="s">
        <v>612</v>
      </c>
      <c r="N1003" t="s">
        <v>662</v>
      </c>
      <c r="O1003" t="s">
        <v>664</v>
      </c>
      <c r="P1003">
        <v>3064</v>
      </c>
      <c r="Q1003">
        <v>2</v>
      </c>
      <c r="R1003">
        <v>3062</v>
      </c>
    </row>
    <row r="1004" spans="1:18" x14ac:dyDescent="0.3">
      <c r="A1004" t="s">
        <v>2024</v>
      </c>
      <c r="B1004">
        <v>2022</v>
      </c>
      <c r="C1004">
        <v>0.66191226208185383</v>
      </c>
      <c r="D1004">
        <v>0</v>
      </c>
      <c r="E1004">
        <v>0</v>
      </c>
      <c r="F1004">
        <v>26</v>
      </c>
      <c r="G1004">
        <v>2.7132659323621001E-3</v>
      </c>
      <c r="H1004">
        <v>1</v>
      </c>
      <c r="I1004">
        <v>0</v>
      </c>
      <c r="J1004">
        <v>0.61357249175279394</v>
      </c>
      <c r="K1004">
        <v>-0.27214655420784972</v>
      </c>
      <c r="L1004">
        <v>104246007.5284629</v>
      </c>
      <c r="M1004" t="s">
        <v>674</v>
      </c>
      <c r="N1004" t="s">
        <v>684</v>
      </c>
      <c r="O1004" t="s">
        <v>686</v>
      </c>
      <c r="P1004">
        <v>209</v>
      </c>
      <c r="Q1004">
        <v>106</v>
      </c>
      <c r="R1004">
        <v>103</v>
      </c>
    </row>
    <row r="1005" spans="1:18" x14ac:dyDescent="0.3">
      <c r="A1005" t="s">
        <v>2025</v>
      </c>
      <c r="B1005">
        <v>2022</v>
      </c>
      <c r="C1005">
        <v>0.67993484066270471</v>
      </c>
      <c r="D1005">
        <v>0</v>
      </c>
      <c r="E1005">
        <v>0</v>
      </c>
      <c r="F1005">
        <v>29</v>
      </c>
      <c r="G1005">
        <v>8.0288499922879998E-4</v>
      </c>
      <c r="H1005">
        <v>1</v>
      </c>
      <c r="I1005">
        <v>0</v>
      </c>
      <c r="J1005">
        <v>0.541831573951712</v>
      </c>
      <c r="K1005">
        <v>-0.241061952965616</v>
      </c>
      <c r="L1005">
        <v>161475654.64069799</v>
      </c>
      <c r="M1005" t="s">
        <v>674</v>
      </c>
      <c r="N1005" t="s">
        <v>684</v>
      </c>
      <c r="O1005" t="s">
        <v>688</v>
      </c>
      <c r="P1005">
        <v>549</v>
      </c>
      <c r="Q1005">
        <v>145</v>
      </c>
      <c r="R1005">
        <v>404</v>
      </c>
    </row>
    <row r="1006" spans="1:18" x14ac:dyDescent="0.3">
      <c r="A1006" t="s">
        <v>2026</v>
      </c>
      <c r="B1006">
        <v>2022</v>
      </c>
      <c r="C1006">
        <v>0.66954303439735918</v>
      </c>
      <c r="D1006">
        <v>0</v>
      </c>
      <c r="E1006">
        <v>0</v>
      </c>
      <c r="F1006">
        <v>30</v>
      </c>
      <c r="G1006">
        <v>1.4835544798374001E-3</v>
      </c>
      <c r="H1006">
        <v>1</v>
      </c>
      <c r="I1006">
        <v>0</v>
      </c>
      <c r="J1006">
        <v>0.61834338667938205</v>
      </c>
      <c r="K1006">
        <v>-0.30038263622967099</v>
      </c>
      <c r="L1006">
        <v>98685235.560575783</v>
      </c>
      <c r="M1006" t="s">
        <v>674</v>
      </c>
      <c r="N1006" t="s">
        <v>684</v>
      </c>
      <c r="O1006" t="s">
        <v>691</v>
      </c>
      <c r="P1006">
        <v>729</v>
      </c>
      <c r="Q1006">
        <v>314</v>
      </c>
      <c r="R1006">
        <v>415</v>
      </c>
    </row>
    <row r="1007" spans="1:18" x14ac:dyDescent="0.3">
      <c r="A1007" t="s">
        <v>2027</v>
      </c>
      <c r="B1007">
        <v>2022</v>
      </c>
      <c r="C1007">
        <v>0.55890888231275826</v>
      </c>
      <c r="D1007">
        <v>0</v>
      </c>
      <c r="E1007">
        <v>0</v>
      </c>
      <c r="F1007">
        <v>65</v>
      </c>
      <c r="G1007">
        <v>9.2463932204549996E-4</v>
      </c>
      <c r="H1007">
        <v>12</v>
      </c>
      <c r="I1007">
        <v>2</v>
      </c>
      <c r="J1007">
        <v>0.60704035469869477</v>
      </c>
      <c r="K1007">
        <v>-0.22090901813686839</v>
      </c>
      <c r="L1007">
        <v>802324157.91760099</v>
      </c>
      <c r="M1007" t="s">
        <v>674</v>
      </c>
      <c r="N1007" t="s">
        <v>692</v>
      </c>
      <c r="O1007" t="s">
        <v>145</v>
      </c>
      <c r="P1007">
        <v>1468</v>
      </c>
      <c r="Q1007">
        <v>36</v>
      </c>
      <c r="R1007">
        <v>1432</v>
      </c>
    </row>
    <row r="1008" spans="1:18" x14ac:dyDescent="0.3">
      <c r="A1008" t="s">
        <v>2028</v>
      </c>
      <c r="B1008">
        <v>2022</v>
      </c>
      <c r="C1008">
        <v>0.66122502979709341</v>
      </c>
      <c r="D1008">
        <v>0</v>
      </c>
      <c r="E1008">
        <v>0</v>
      </c>
      <c r="F1008">
        <v>28</v>
      </c>
      <c r="G1008">
        <v>2.4569583394432998E-3</v>
      </c>
      <c r="H1008">
        <v>2</v>
      </c>
      <c r="I1008">
        <v>1</v>
      </c>
      <c r="J1008">
        <v>0.61234640722497125</v>
      </c>
      <c r="K1008">
        <v>-0.2537721731303012</v>
      </c>
      <c r="L1008">
        <v>129381556.9942342</v>
      </c>
      <c r="M1008" t="s">
        <v>674</v>
      </c>
      <c r="N1008" t="s">
        <v>692</v>
      </c>
      <c r="O1008" t="s">
        <v>695</v>
      </c>
      <c r="P1008">
        <v>424</v>
      </c>
      <c r="Q1008">
        <v>94</v>
      </c>
      <c r="R1008">
        <v>330</v>
      </c>
    </row>
    <row r="1009" spans="1:18" x14ac:dyDescent="0.3">
      <c r="A1009" t="s">
        <v>2029</v>
      </c>
      <c r="B1009">
        <v>2022</v>
      </c>
      <c r="C1009">
        <v>0.77026642638005083</v>
      </c>
      <c r="D1009">
        <v>0</v>
      </c>
      <c r="E1009">
        <v>0</v>
      </c>
      <c r="F1009">
        <v>30</v>
      </c>
      <c r="G1009">
        <v>1.5185854937291999E-3</v>
      </c>
      <c r="H1009">
        <v>2</v>
      </c>
      <c r="I1009">
        <v>0</v>
      </c>
      <c r="J1009">
        <v>0.50083129625066158</v>
      </c>
      <c r="K1009">
        <v>-0.24252416065580021</v>
      </c>
      <c r="L1009">
        <v>150039130.51966521</v>
      </c>
      <c r="M1009" t="s">
        <v>674</v>
      </c>
      <c r="N1009" t="s">
        <v>714</v>
      </c>
      <c r="O1009" t="s">
        <v>715</v>
      </c>
      <c r="P1009">
        <v>218</v>
      </c>
      <c r="Q1009">
        <v>69</v>
      </c>
      <c r="R1009">
        <v>149</v>
      </c>
    </row>
    <row r="1010" spans="1:18" x14ac:dyDescent="0.3">
      <c r="A1010" t="s">
        <v>2030</v>
      </c>
      <c r="B1010">
        <v>2022</v>
      </c>
      <c r="C1010">
        <v>0.5279413128937539</v>
      </c>
      <c r="D1010">
        <v>0</v>
      </c>
      <c r="E1010">
        <v>0</v>
      </c>
      <c r="F1010">
        <v>8</v>
      </c>
      <c r="G1010">
        <v>2.26890756302521E-2</v>
      </c>
      <c r="H1010">
        <v>4</v>
      </c>
      <c r="I1010">
        <v>2</v>
      </c>
      <c r="J1010">
        <v>0.50815442178271752</v>
      </c>
      <c r="K1010">
        <v>-0.1569812292309096</v>
      </c>
      <c r="L1010">
        <v>679423752.17609477</v>
      </c>
      <c r="M1010" t="s">
        <v>674</v>
      </c>
      <c r="N1010" t="s">
        <v>714</v>
      </c>
      <c r="O1010" t="s">
        <v>716</v>
      </c>
      <c r="P1010">
        <v>911</v>
      </c>
      <c r="Q1010">
        <v>27</v>
      </c>
      <c r="R1010">
        <v>884</v>
      </c>
    </row>
    <row r="1011" spans="1:18" x14ac:dyDescent="0.3">
      <c r="A1011" t="s">
        <v>2031</v>
      </c>
      <c r="B1011">
        <v>2022</v>
      </c>
      <c r="C1011">
        <v>0.71087003868920906</v>
      </c>
      <c r="D1011">
        <v>0</v>
      </c>
      <c r="E1011">
        <v>0</v>
      </c>
      <c r="F1011">
        <v>22</v>
      </c>
      <c r="G1011">
        <v>5.0238357169049997E-3</v>
      </c>
      <c r="H1011">
        <v>2</v>
      </c>
      <c r="I1011">
        <v>0</v>
      </c>
      <c r="J1011">
        <v>0.66556680919494748</v>
      </c>
      <c r="K1011">
        <v>-0.281917534360555</v>
      </c>
      <c r="L1011">
        <v>44493730.206956677</v>
      </c>
      <c r="M1011" t="s">
        <v>674</v>
      </c>
      <c r="N1011" t="s">
        <v>714</v>
      </c>
      <c r="O1011" t="s">
        <v>717</v>
      </c>
      <c r="P1011">
        <v>219</v>
      </c>
      <c r="Q1011">
        <v>57</v>
      </c>
      <c r="R1011">
        <v>162</v>
      </c>
    </row>
    <row r="1012" spans="1:18" x14ac:dyDescent="0.3">
      <c r="A1012" t="s">
        <v>2032</v>
      </c>
      <c r="B1012">
        <v>2022</v>
      </c>
      <c r="C1012">
        <v>0.75639352658646508</v>
      </c>
      <c r="D1012">
        <v>0</v>
      </c>
      <c r="E1012">
        <v>0</v>
      </c>
      <c r="F1012">
        <v>32</v>
      </c>
      <c r="G1012">
        <v>1.3476906711859999E-3</v>
      </c>
      <c r="H1012">
        <v>4</v>
      </c>
      <c r="I1012">
        <v>0</v>
      </c>
      <c r="J1012">
        <v>0.64716187137270242</v>
      </c>
      <c r="K1012">
        <v>-0.2908028127764607</v>
      </c>
      <c r="L1012">
        <v>87579453.392705366</v>
      </c>
      <c r="M1012" t="s">
        <v>674</v>
      </c>
      <c r="N1012" t="s">
        <v>714</v>
      </c>
      <c r="O1012" t="s">
        <v>718</v>
      </c>
      <c r="P1012">
        <v>477</v>
      </c>
      <c r="Q1012">
        <v>160</v>
      </c>
      <c r="R1012">
        <v>317</v>
      </c>
    </row>
    <row r="1013" spans="1:18" x14ac:dyDescent="0.3">
      <c r="A1013" t="s">
        <v>2033</v>
      </c>
      <c r="B1013">
        <v>2022</v>
      </c>
      <c r="C1013">
        <v>0.50425307501383709</v>
      </c>
      <c r="D1013">
        <v>0</v>
      </c>
      <c r="E1013">
        <v>0</v>
      </c>
      <c r="F1013">
        <v>50</v>
      </c>
      <c r="G1013">
        <v>1.7918951686360001E-3</v>
      </c>
      <c r="H1013">
        <v>2</v>
      </c>
      <c r="I1013">
        <v>5</v>
      </c>
      <c r="J1013">
        <v>0.61118178842525739</v>
      </c>
      <c r="K1013">
        <v>-0.22424753981780249</v>
      </c>
      <c r="L1013">
        <v>858786918.96142697</v>
      </c>
      <c r="M1013" t="s">
        <v>674</v>
      </c>
      <c r="N1013" t="s">
        <v>724</v>
      </c>
      <c r="O1013" t="s">
        <v>725</v>
      </c>
      <c r="P1013">
        <v>2198</v>
      </c>
      <c r="Q1013">
        <v>22</v>
      </c>
      <c r="R1013">
        <v>2176</v>
      </c>
    </row>
    <row r="1014" spans="1:18" x14ac:dyDescent="0.3">
      <c r="A1014" t="s">
        <v>2034</v>
      </c>
      <c r="B1014">
        <v>2022</v>
      </c>
      <c r="C1014">
        <v>1.1206380379859771</v>
      </c>
      <c r="D1014">
        <v>0</v>
      </c>
      <c r="E1014">
        <v>0</v>
      </c>
      <c r="F1014">
        <v>83</v>
      </c>
      <c r="G1014">
        <v>2.0956779549905001E-3</v>
      </c>
      <c r="H1014">
        <v>7</v>
      </c>
      <c r="I1014">
        <v>0</v>
      </c>
      <c r="J1014">
        <v>0.68440058201737453</v>
      </c>
      <c r="K1014">
        <v>-0.31169390962584781</v>
      </c>
      <c r="L1014">
        <v>153242842.22034651</v>
      </c>
      <c r="M1014" t="s">
        <v>730</v>
      </c>
      <c r="N1014" t="s">
        <v>739</v>
      </c>
      <c r="O1014" t="s">
        <v>741</v>
      </c>
      <c r="P1014">
        <v>5657</v>
      </c>
      <c r="Q1014">
        <v>312</v>
      </c>
      <c r="R1014">
        <v>5345</v>
      </c>
    </row>
    <row r="1015" spans="1:18" x14ac:dyDescent="0.3">
      <c r="A1015" t="s">
        <v>2035</v>
      </c>
      <c r="B1015">
        <v>2022</v>
      </c>
      <c r="C1015">
        <v>0.55847213904832216</v>
      </c>
      <c r="D1015">
        <v>0</v>
      </c>
      <c r="E1015">
        <v>0</v>
      </c>
      <c r="F1015">
        <v>60</v>
      </c>
      <c r="G1015">
        <v>1.1890306845499E-3</v>
      </c>
      <c r="H1015">
        <v>3</v>
      </c>
      <c r="I1015">
        <v>0</v>
      </c>
      <c r="J1015">
        <v>0.47797797873979109</v>
      </c>
      <c r="K1015">
        <v>-0.22754031849280651</v>
      </c>
      <c r="L1015">
        <v>258464753.273972</v>
      </c>
      <c r="M1015" t="s">
        <v>730</v>
      </c>
      <c r="N1015" t="s">
        <v>748</v>
      </c>
      <c r="O1015" t="s">
        <v>751</v>
      </c>
      <c r="P1015">
        <v>504</v>
      </c>
      <c r="Q1015">
        <v>257</v>
      </c>
      <c r="R1015">
        <v>247</v>
      </c>
    </row>
    <row r="1016" spans="1:18" x14ac:dyDescent="0.3">
      <c r="A1016" t="s">
        <v>2036</v>
      </c>
      <c r="B1016">
        <v>2022</v>
      </c>
      <c r="C1016">
        <v>0.5056902927361584</v>
      </c>
      <c r="D1016">
        <v>0</v>
      </c>
      <c r="E1016">
        <v>0</v>
      </c>
      <c r="F1016">
        <v>0</v>
      </c>
      <c r="I1016">
        <v>0</v>
      </c>
      <c r="J1016">
        <v>0.57294438803056458</v>
      </c>
      <c r="K1016">
        <v>-0.22569097604547131</v>
      </c>
      <c r="L1016">
        <v>5643071876.774394</v>
      </c>
      <c r="M1016" t="s">
        <v>756</v>
      </c>
      <c r="N1016" t="s">
        <v>756</v>
      </c>
      <c r="O1016" t="s">
        <v>762</v>
      </c>
      <c r="P1016">
        <v>1055</v>
      </c>
      <c r="Q1016">
        <v>0</v>
      </c>
      <c r="R1016">
        <v>1055</v>
      </c>
    </row>
    <row r="1017" spans="1:18" x14ac:dyDescent="0.3">
      <c r="A1017" t="s">
        <v>2037</v>
      </c>
      <c r="B1017">
        <v>2022</v>
      </c>
      <c r="C1017">
        <v>0.94695879655972237</v>
      </c>
      <c r="D1017">
        <v>0</v>
      </c>
      <c r="E1017">
        <v>0</v>
      </c>
      <c r="F1017">
        <v>39</v>
      </c>
      <c r="G1017">
        <v>2.1505376344086E-3</v>
      </c>
      <c r="H1017">
        <v>5</v>
      </c>
      <c r="I1017">
        <v>0</v>
      </c>
      <c r="J1017">
        <v>0.68484120915316526</v>
      </c>
      <c r="K1017">
        <v>-0.3015635119974161</v>
      </c>
      <c r="L1017">
        <v>69332113.78079547</v>
      </c>
      <c r="M1017" t="s">
        <v>756</v>
      </c>
      <c r="N1017" t="s">
        <v>769</v>
      </c>
      <c r="O1017" t="s">
        <v>299</v>
      </c>
      <c r="P1017">
        <v>879</v>
      </c>
      <c r="Q1017">
        <v>405</v>
      </c>
      <c r="R1017">
        <v>474</v>
      </c>
    </row>
    <row r="1018" spans="1:18" x14ac:dyDescent="0.3">
      <c r="A1018" t="s">
        <v>2038</v>
      </c>
      <c r="B1018">
        <v>2022</v>
      </c>
      <c r="C1018">
        <v>12.467808106321099</v>
      </c>
      <c r="D1018">
        <v>0</v>
      </c>
      <c r="E1018">
        <v>0</v>
      </c>
      <c r="F1018">
        <v>55</v>
      </c>
      <c r="G1018">
        <v>1.7602840630075E-3</v>
      </c>
      <c r="H1018">
        <v>2</v>
      </c>
      <c r="I1018">
        <v>3</v>
      </c>
      <c r="L1018">
        <v>11494679.08478865</v>
      </c>
      <c r="M1018" t="s">
        <v>652</v>
      </c>
      <c r="N1018" t="s">
        <v>772</v>
      </c>
      <c r="O1018" t="s">
        <v>779</v>
      </c>
      <c r="P1018">
        <v>579</v>
      </c>
      <c r="Q1018">
        <v>356</v>
      </c>
      <c r="R1018">
        <v>223</v>
      </c>
    </row>
    <row r="1019" spans="1:18" x14ac:dyDescent="0.3">
      <c r="A1019" t="s">
        <v>2039</v>
      </c>
      <c r="B1019">
        <v>2022</v>
      </c>
      <c r="C1019">
        <v>0.86415474114867641</v>
      </c>
      <c r="D1019">
        <v>0</v>
      </c>
      <c r="E1019">
        <v>0</v>
      </c>
      <c r="F1019">
        <v>59</v>
      </c>
      <c r="G1019">
        <v>9.3498485186269999E-4</v>
      </c>
      <c r="H1019">
        <v>4</v>
      </c>
      <c r="I1019">
        <v>5</v>
      </c>
      <c r="J1019">
        <v>0.47107252748233119</v>
      </c>
      <c r="K1019">
        <v>-0.22094507410321809</v>
      </c>
      <c r="L1019">
        <v>140421427.73627421</v>
      </c>
      <c r="M1019" t="s">
        <v>830</v>
      </c>
      <c r="N1019" t="s">
        <v>854</v>
      </c>
      <c r="O1019" t="s">
        <v>426</v>
      </c>
      <c r="P1019">
        <v>1360</v>
      </c>
      <c r="Q1019">
        <v>568</v>
      </c>
      <c r="R1019">
        <v>792</v>
      </c>
    </row>
    <row r="1020" spans="1:18" x14ac:dyDescent="0.3">
      <c r="A1020" t="s">
        <v>2040</v>
      </c>
      <c r="B1020">
        <v>2022</v>
      </c>
      <c r="C1020">
        <v>0.54910312364586755</v>
      </c>
      <c r="D1020">
        <v>0</v>
      </c>
      <c r="E1020">
        <v>0</v>
      </c>
      <c r="F1020">
        <v>50</v>
      </c>
      <c r="G1020">
        <v>5.3691228821310005E-4</v>
      </c>
      <c r="H1020">
        <v>4</v>
      </c>
      <c r="I1020">
        <v>0</v>
      </c>
      <c r="J1020">
        <v>0.57207371350398983</v>
      </c>
      <c r="K1020">
        <v>-0.2607430921881958</v>
      </c>
      <c r="L1020">
        <v>339999724.56737202</v>
      </c>
      <c r="M1020" t="s">
        <v>874</v>
      </c>
      <c r="N1020" t="s">
        <v>875</v>
      </c>
      <c r="O1020" t="s">
        <v>878</v>
      </c>
      <c r="P1020">
        <v>874</v>
      </c>
      <c r="Q1020">
        <v>102</v>
      </c>
      <c r="R1020">
        <v>772</v>
      </c>
    </row>
    <row r="1021" spans="1:18" x14ac:dyDescent="0.3">
      <c r="A1021" t="s">
        <v>2041</v>
      </c>
      <c r="B1021">
        <v>2022</v>
      </c>
      <c r="C1021">
        <v>0.84190274551092703</v>
      </c>
      <c r="D1021">
        <v>0</v>
      </c>
      <c r="E1021">
        <v>0</v>
      </c>
      <c r="F1021">
        <v>64</v>
      </c>
      <c r="G1021">
        <v>1.2258382277685E-3</v>
      </c>
      <c r="H1021">
        <v>1</v>
      </c>
      <c r="I1021">
        <v>1</v>
      </c>
      <c r="J1021">
        <v>0.61389510520480128</v>
      </c>
      <c r="K1021">
        <v>-0.2691051447498401</v>
      </c>
      <c r="L1021">
        <v>117143683.7883061</v>
      </c>
      <c r="M1021" t="s">
        <v>874</v>
      </c>
      <c r="N1021" t="s">
        <v>887</v>
      </c>
      <c r="O1021" t="s">
        <v>888</v>
      </c>
      <c r="P1021">
        <v>3158</v>
      </c>
      <c r="Q1021">
        <v>1888</v>
      </c>
      <c r="R1021">
        <v>1270</v>
      </c>
    </row>
    <row r="1022" spans="1:18" x14ac:dyDescent="0.3">
      <c r="A1022" t="s">
        <v>2042</v>
      </c>
      <c r="B1022">
        <v>2022</v>
      </c>
      <c r="C1022">
        <v>0.49891884079771898</v>
      </c>
      <c r="D1022">
        <v>0</v>
      </c>
      <c r="E1022">
        <v>0</v>
      </c>
      <c r="F1022">
        <v>130</v>
      </c>
      <c r="G1022">
        <v>4.3923993087520002E-4</v>
      </c>
      <c r="H1022">
        <v>4</v>
      </c>
      <c r="I1022">
        <v>1</v>
      </c>
      <c r="J1022">
        <v>0.62587685240746938</v>
      </c>
      <c r="K1022">
        <v>-0.24641430675729489</v>
      </c>
      <c r="L1022">
        <v>905259010.52016103</v>
      </c>
      <c r="M1022" t="s">
        <v>874</v>
      </c>
      <c r="N1022" t="s">
        <v>887</v>
      </c>
      <c r="O1022" t="s">
        <v>889</v>
      </c>
      <c r="P1022">
        <v>1905</v>
      </c>
      <c r="Q1022">
        <v>829</v>
      </c>
      <c r="R1022">
        <v>1076</v>
      </c>
    </row>
    <row r="1023" spans="1:18" x14ac:dyDescent="0.3">
      <c r="A1023" t="s">
        <v>2043</v>
      </c>
      <c r="B1023">
        <v>2022</v>
      </c>
      <c r="C1023">
        <v>0.48508955297931539</v>
      </c>
      <c r="D1023">
        <v>0</v>
      </c>
      <c r="E1023">
        <v>0</v>
      </c>
      <c r="F1023">
        <v>47</v>
      </c>
      <c r="G1023">
        <v>1.5809574781631001E-3</v>
      </c>
      <c r="H1023">
        <v>4</v>
      </c>
      <c r="I1023">
        <v>0</v>
      </c>
      <c r="J1023">
        <v>0.59189441749067306</v>
      </c>
      <c r="K1023">
        <v>-0.21705846753225169</v>
      </c>
      <c r="L1023">
        <v>920741065.44035602</v>
      </c>
      <c r="M1023" t="s">
        <v>874</v>
      </c>
      <c r="N1023" t="s">
        <v>887</v>
      </c>
      <c r="O1023" t="s">
        <v>890</v>
      </c>
      <c r="P1023">
        <v>801</v>
      </c>
      <c r="Q1023">
        <v>38</v>
      </c>
      <c r="R1023">
        <v>763</v>
      </c>
    </row>
    <row r="1024" spans="1:18" x14ac:dyDescent="0.3">
      <c r="A1024" t="s">
        <v>2044</v>
      </c>
      <c r="B1024">
        <v>2022</v>
      </c>
      <c r="C1024">
        <v>0.61640458322918756</v>
      </c>
      <c r="D1024">
        <v>0</v>
      </c>
      <c r="E1024">
        <v>0</v>
      </c>
      <c r="F1024">
        <v>30</v>
      </c>
      <c r="G1024">
        <v>2.4095693505075998E-3</v>
      </c>
      <c r="H1024">
        <v>1</v>
      </c>
      <c r="I1024">
        <v>0</v>
      </c>
      <c r="J1024">
        <v>0.60455402901896349</v>
      </c>
      <c r="K1024">
        <v>-0.23200168133174931</v>
      </c>
      <c r="L1024">
        <v>78361951.657047004</v>
      </c>
      <c r="M1024" t="s">
        <v>874</v>
      </c>
      <c r="N1024" t="s">
        <v>887</v>
      </c>
      <c r="O1024" t="s">
        <v>891</v>
      </c>
      <c r="P1024">
        <v>555</v>
      </c>
      <c r="Q1024">
        <v>37</v>
      </c>
      <c r="R1024">
        <v>518</v>
      </c>
    </row>
    <row r="1025" spans="1:18" x14ac:dyDescent="0.3">
      <c r="A1025" t="s">
        <v>2045</v>
      </c>
      <c r="B1025">
        <v>2022</v>
      </c>
      <c r="C1025">
        <v>0.98243042122216184</v>
      </c>
      <c r="D1025">
        <v>0</v>
      </c>
      <c r="E1025">
        <v>0</v>
      </c>
      <c r="F1025">
        <v>42</v>
      </c>
      <c r="G1025">
        <v>1.9928847195752998E-3</v>
      </c>
      <c r="H1025">
        <v>1</v>
      </c>
      <c r="I1025">
        <v>0</v>
      </c>
      <c r="J1025">
        <v>0.64294220258442492</v>
      </c>
      <c r="K1025">
        <v>-0.30092825289682518</v>
      </c>
      <c r="L1025">
        <v>50497188.159643158</v>
      </c>
      <c r="M1025" t="s">
        <v>874</v>
      </c>
      <c r="N1025" t="s">
        <v>902</v>
      </c>
      <c r="O1025" t="s">
        <v>904</v>
      </c>
      <c r="P1025">
        <v>986</v>
      </c>
      <c r="Q1025">
        <v>241</v>
      </c>
      <c r="R1025">
        <v>745</v>
      </c>
    </row>
    <row r="1026" spans="1:18" x14ac:dyDescent="0.3">
      <c r="A1026" t="s">
        <v>2046</v>
      </c>
      <c r="B1026">
        <v>2022</v>
      </c>
      <c r="C1026">
        <v>1.570521017194171</v>
      </c>
      <c r="D1026">
        <v>0</v>
      </c>
      <c r="E1026">
        <v>0</v>
      </c>
      <c r="F1026">
        <v>95</v>
      </c>
      <c r="G1026">
        <v>3.4803386837047E-3</v>
      </c>
      <c r="H1026">
        <v>2</v>
      </c>
      <c r="I1026">
        <v>0</v>
      </c>
      <c r="J1026">
        <v>0.63588264613482259</v>
      </c>
      <c r="K1026">
        <v>-0.28188038737000581</v>
      </c>
      <c r="L1026">
        <v>44785282.317155421</v>
      </c>
      <c r="M1026" t="s">
        <v>874</v>
      </c>
      <c r="N1026" t="s">
        <v>902</v>
      </c>
      <c r="O1026" t="s">
        <v>905</v>
      </c>
      <c r="P1026">
        <v>1704</v>
      </c>
      <c r="Q1026">
        <v>923</v>
      </c>
      <c r="R1026">
        <v>781</v>
      </c>
    </row>
    <row r="1027" spans="1:18" x14ac:dyDescent="0.3">
      <c r="A1027" t="s">
        <v>2047</v>
      </c>
      <c r="B1027">
        <v>2022</v>
      </c>
      <c r="C1027">
        <v>0.48714858952549001</v>
      </c>
      <c r="D1027">
        <v>0</v>
      </c>
      <c r="E1027">
        <v>0</v>
      </c>
      <c r="F1027">
        <v>22</v>
      </c>
      <c r="G1027">
        <v>1.9979979979979001E-3</v>
      </c>
      <c r="H1027">
        <v>5</v>
      </c>
      <c r="I1027">
        <v>1</v>
      </c>
      <c r="J1027">
        <v>0.50090871441079698</v>
      </c>
      <c r="K1027">
        <v>-0.17384821223450531</v>
      </c>
      <c r="L1027">
        <v>242501814.24606881</v>
      </c>
      <c r="M1027" t="s">
        <v>874</v>
      </c>
      <c r="N1027" t="s">
        <v>906</v>
      </c>
      <c r="O1027" t="s">
        <v>910</v>
      </c>
      <c r="P1027">
        <v>455</v>
      </c>
      <c r="Q1027">
        <v>94</v>
      </c>
      <c r="R1027">
        <v>361</v>
      </c>
    </row>
    <row r="1028" spans="1:18" x14ac:dyDescent="0.3">
      <c r="A1028" t="s">
        <v>2048</v>
      </c>
      <c r="B1028">
        <v>2022</v>
      </c>
      <c r="C1028">
        <v>0.56479923094161533</v>
      </c>
      <c r="D1028">
        <v>0</v>
      </c>
      <c r="E1028">
        <v>0</v>
      </c>
      <c r="F1028">
        <v>27</v>
      </c>
      <c r="G1028">
        <v>3.1892239885107998E-3</v>
      </c>
      <c r="H1028">
        <v>2</v>
      </c>
      <c r="I1028">
        <v>0</v>
      </c>
      <c r="J1028">
        <v>0.57232574107680634</v>
      </c>
      <c r="K1028">
        <v>-0.22288024022146269</v>
      </c>
      <c r="L1028">
        <v>57421181.533481538</v>
      </c>
      <c r="M1028" t="s">
        <v>874</v>
      </c>
      <c r="N1028" t="s">
        <v>911</v>
      </c>
      <c r="O1028" t="s">
        <v>331</v>
      </c>
      <c r="P1028">
        <v>440</v>
      </c>
      <c r="Q1028">
        <v>127</v>
      </c>
      <c r="R1028">
        <v>313</v>
      </c>
    </row>
    <row r="1029" spans="1:18" x14ac:dyDescent="0.3">
      <c r="A1029" t="s">
        <v>2049</v>
      </c>
      <c r="B1029">
        <v>2022</v>
      </c>
      <c r="C1029">
        <v>0.67462782453668158</v>
      </c>
      <c r="D1029">
        <v>0</v>
      </c>
      <c r="E1029">
        <v>0</v>
      </c>
      <c r="F1029">
        <v>60</v>
      </c>
      <c r="G1029">
        <v>1.798177009718E-3</v>
      </c>
      <c r="H1029">
        <v>1</v>
      </c>
      <c r="I1029">
        <v>1</v>
      </c>
      <c r="J1029">
        <v>0.49222602651659519</v>
      </c>
      <c r="K1029">
        <v>-0.17378544470770729</v>
      </c>
      <c r="L1029">
        <v>115688797.53532019</v>
      </c>
      <c r="M1029" t="s">
        <v>874</v>
      </c>
      <c r="N1029" t="s">
        <v>911</v>
      </c>
      <c r="O1029" t="s">
        <v>912</v>
      </c>
      <c r="P1029">
        <v>2024</v>
      </c>
      <c r="Q1029">
        <v>422</v>
      </c>
      <c r="R1029">
        <v>1602</v>
      </c>
    </row>
    <row r="1030" spans="1:18" x14ac:dyDescent="0.3">
      <c r="A1030" t="s">
        <v>2050</v>
      </c>
      <c r="B1030">
        <v>2022</v>
      </c>
      <c r="C1030">
        <v>0.81216324753040448</v>
      </c>
      <c r="D1030">
        <v>0</v>
      </c>
      <c r="E1030">
        <v>0</v>
      </c>
      <c r="F1030">
        <v>112</v>
      </c>
      <c r="G1030">
        <v>1.4388489208633001E-3</v>
      </c>
      <c r="H1030">
        <v>17</v>
      </c>
      <c r="I1030">
        <v>4</v>
      </c>
      <c r="J1030">
        <v>0.65685385589335166</v>
      </c>
      <c r="K1030">
        <v>-0.31240068029308299</v>
      </c>
      <c r="L1030">
        <v>154606898.84418669</v>
      </c>
      <c r="M1030" t="s">
        <v>922</v>
      </c>
      <c r="N1030" t="s">
        <v>923</v>
      </c>
      <c r="O1030" t="s">
        <v>930</v>
      </c>
      <c r="P1030">
        <v>1930</v>
      </c>
      <c r="Q1030">
        <v>420</v>
      </c>
      <c r="R1030">
        <v>1510</v>
      </c>
    </row>
    <row r="1031" spans="1:18" x14ac:dyDescent="0.3">
      <c r="A1031" t="s">
        <v>2051</v>
      </c>
      <c r="B1031">
        <v>2022</v>
      </c>
      <c r="C1031">
        <v>0.42624471617539911</v>
      </c>
      <c r="D1031">
        <v>0</v>
      </c>
      <c r="E1031">
        <v>0</v>
      </c>
      <c r="F1031">
        <v>0</v>
      </c>
      <c r="I1031">
        <v>0</v>
      </c>
      <c r="J1031">
        <v>0.54996778800739143</v>
      </c>
      <c r="K1031">
        <v>-0.15954005271843849</v>
      </c>
      <c r="L1031">
        <v>382434141.3960281</v>
      </c>
      <c r="M1031" t="s">
        <v>922</v>
      </c>
      <c r="N1031" t="s">
        <v>935</v>
      </c>
      <c r="O1031" t="s">
        <v>939</v>
      </c>
      <c r="P1031">
        <v>295</v>
      </c>
      <c r="Q1031">
        <v>22</v>
      </c>
      <c r="R1031">
        <v>273</v>
      </c>
    </row>
    <row r="1032" spans="1:18" x14ac:dyDescent="0.3">
      <c r="A1032" t="s">
        <v>2052</v>
      </c>
      <c r="B1032">
        <v>2022</v>
      </c>
      <c r="C1032">
        <v>10.828448572531091</v>
      </c>
      <c r="D1032">
        <v>0</v>
      </c>
      <c r="E1032">
        <v>0</v>
      </c>
      <c r="F1032">
        <v>103</v>
      </c>
      <c r="G1032">
        <v>1.9678662682429998E-3</v>
      </c>
      <c r="H1032">
        <v>4</v>
      </c>
      <c r="I1032">
        <v>0</v>
      </c>
      <c r="J1032">
        <v>0.59780859733174685</v>
      </c>
      <c r="K1032">
        <v>-0.31108359544524478</v>
      </c>
      <c r="L1032">
        <v>120426925.41734339</v>
      </c>
      <c r="M1032" t="s">
        <v>922</v>
      </c>
      <c r="N1032" t="s">
        <v>942</v>
      </c>
      <c r="O1032" t="s">
        <v>946</v>
      </c>
      <c r="P1032">
        <v>4346</v>
      </c>
      <c r="Q1032">
        <v>1939</v>
      </c>
      <c r="R1032">
        <v>2407</v>
      </c>
    </row>
    <row r="1033" spans="1:18" x14ac:dyDescent="0.3">
      <c r="A1033" t="s">
        <v>2053</v>
      </c>
      <c r="B1033">
        <v>2022</v>
      </c>
      <c r="C1033">
        <v>0.54495494235717146</v>
      </c>
      <c r="D1033">
        <v>0</v>
      </c>
      <c r="E1033">
        <v>0</v>
      </c>
      <c r="F1033">
        <v>10</v>
      </c>
      <c r="G1033">
        <v>3.9061597133941001E-3</v>
      </c>
      <c r="H1033">
        <v>4</v>
      </c>
      <c r="I1033">
        <v>0</v>
      </c>
      <c r="J1033">
        <v>0.5251212220390471</v>
      </c>
      <c r="K1033">
        <v>-0.20731813746216929</v>
      </c>
      <c r="L1033">
        <v>649049123.73094893</v>
      </c>
      <c r="M1033" t="s">
        <v>922</v>
      </c>
      <c r="N1033" t="s">
        <v>922</v>
      </c>
      <c r="O1033" t="s">
        <v>949</v>
      </c>
      <c r="P1033">
        <v>122</v>
      </c>
      <c r="Q1033">
        <v>52</v>
      </c>
      <c r="R1033">
        <v>70</v>
      </c>
    </row>
    <row r="1034" spans="1:18" x14ac:dyDescent="0.3">
      <c r="A1034" t="s">
        <v>2054</v>
      </c>
      <c r="B1034">
        <v>2022</v>
      </c>
      <c r="C1034">
        <v>0.52089196865952991</v>
      </c>
      <c r="D1034">
        <v>0</v>
      </c>
      <c r="E1034">
        <v>0</v>
      </c>
      <c r="F1034">
        <v>21</v>
      </c>
      <c r="G1034">
        <v>1.6286427353716E-3</v>
      </c>
      <c r="H1034">
        <v>5</v>
      </c>
      <c r="I1034">
        <v>0</v>
      </c>
      <c r="J1034">
        <v>0.63061385729118202</v>
      </c>
      <c r="K1034">
        <v>-0.2462296827257022</v>
      </c>
      <c r="L1034">
        <v>355826085.83933079</v>
      </c>
      <c r="M1034" t="s">
        <v>922</v>
      </c>
      <c r="N1034" t="s">
        <v>922</v>
      </c>
      <c r="O1034" t="s">
        <v>950</v>
      </c>
      <c r="P1034">
        <v>270</v>
      </c>
      <c r="Q1034">
        <v>105</v>
      </c>
      <c r="R1034">
        <v>165</v>
      </c>
    </row>
    <row r="1035" spans="1:18" x14ac:dyDescent="0.3">
      <c r="A1035" t="s">
        <v>2055</v>
      </c>
      <c r="B1035">
        <v>2022</v>
      </c>
      <c r="C1035">
        <v>0.61467732555951571</v>
      </c>
      <c r="D1035">
        <v>0</v>
      </c>
      <c r="E1035">
        <v>0</v>
      </c>
      <c r="F1035">
        <v>32</v>
      </c>
      <c r="G1035">
        <v>2.5602812488057999E-3</v>
      </c>
      <c r="H1035">
        <v>2</v>
      </c>
      <c r="I1035">
        <v>0</v>
      </c>
      <c r="J1035">
        <v>0.72354876921900069</v>
      </c>
      <c r="K1035">
        <v>-0.33493852896219789</v>
      </c>
      <c r="L1035">
        <v>58647411.438182458</v>
      </c>
      <c r="M1035" t="s">
        <v>922</v>
      </c>
      <c r="N1035" t="s">
        <v>952</v>
      </c>
      <c r="O1035" t="s">
        <v>954</v>
      </c>
      <c r="P1035">
        <v>603</v>
      </c>
      <c r="Q1035">
        <v>152</v>
      </c>
      <c r="R1035">
        <v>451</v>
      </c>
    </row>
    <row r="1036" spans="1:18" x14ac:dyDescent="0.3">
      <c r="A1036" t="s">
        <v>2056</v>
      </c>
      <c r="B1036">
        <v>2022</v>
      </c>
      <c r="C1036">
        <v>0.66870750947102631</v>
      </c>
      <c r="D1036">
        <v>0</v>
      </c>
      <c r="E1036">
        <v>0</v>
      </c>
      <c r="F1036">
        <v>143</v>
      </c>
      <c r="G1036">
        <v>3.3008372221880001E-4</v>
      </c>
      <c r="H1036">
        <v>1</v>
      </c>
      <c r="I1036">
        <v>3</v>
      </c>
      <c r="J1036">
        <v>0.56013936190096092</v>
      </c>
      <c r="K1036">
        <v>-0.23487324636798751</v>
      </c>
      <c r="L1036">
        <v>608047332.80043447</v>
      </c>
      <c r="M1036" t="s">
        <v>959</v>
      </c>
      <c r="N1036" t="s">
        <v>960</v>
      </c>
      <c r="O1036" t="s">
        <v>968</v>
      </c>
      <c r="P1036">
        <v>5167</v>
      </c>
      <c r="Q1036">
        <v>110</v>
      </c>
      <c r="R1036">
        <v>5057</v>
      </c>
    </row>
    <row r="1037" spans="1:18" x14ac:dyDescent="0.3">
      <c r="A1037" t="s">
        <v>2057</v>
      </c>
      <c r="B1037">
        <v>2022</v>
      </c>
      <c r="C1037">
        <v>52.606804763188187</v>
      </c>
      <c r="D1037">
        <v>0</v>
      </c>
      <c r="E1037">
        <v>0</v>
      </c>
      <c r="F1037">
        <v>103</v>
      </c>
      <c r="G1037">
        <v>2.3457741939559998E-3</v>
      </c>
      <c r="H1037">
        <v>3</v>
      </c>
      <c r="I1037">
        <v>3</v>
      </c>
      <c r="J1037">
        <v>0.56739531675486621</v>
      </c>
      <c r="K1037">
        <v>-0.29668747390952749</v>
      </c>
      <c r="L1037">
        <v>76044469.270960808</v>
      </c>
      <c r="M1037" t="s">
        <v>959</v>
      </c>
      <c r="N1037" t="s">
        <v>977</v>
      </c>
      <c r="O1037" t="s">
        <v>978</v>
      </c>
      <c r="P1037">
        <v>3229</v>
      </c>
      <c r="Q1037">
        <v>253</v>
      </c>
      <c r="R1037">
        <v>2976</v>
      </c>
    </row>
    <row r="1038" spans="1:18" x14ac:dyDescent="0.3">
      <c r="A1038" t="s">
        <v>2058</v>
      </c>
      <c r="B1038">
        <v>2022</v>
      </c>
      <c r="C1038">
        <v>2.3823275001236892</v>
      </c>
      <c r="D1038">
        <v>0</v>
      </c>
      <c r="E1038">
        <v>0</v>
      </c>
      <c r="F1038">
        <v>98</v>
      </c>
      <c r="G1038">
        <v>2.2205358706438002E-3</v>
      </c>
      <c r="H1038">
        <v>3</v>
      </c>
      <c r="I1038">
        <v>0</v>
      </c>
      <c r="J1038">
        <v>0.50633144811418962</v>
      </c>
      <c r="K1038">
        <v>-0.26610631298484982</v>
      </c>
      <c r="L1038">
        <v>76837197.526661396</v>
      </c>
      <c r="M1038" t="s">
        <v>959</v>
      </c>
      <c r="N1038" t="s">
        <v>977</v>
      </c>
      <c r="O1038" t="s">
        <v>981</v>
      </c>
      <c r="P1038">
        <v>2279</v>
      </c>
      <c r="Q1038">
        <v>397</v>
      </c>
      <c r="R1038">
        <v>1882</v>
      </c>
    </row>
    <row r="1039" spans="1:18" x14ac:dyDescent="0.3">
      <c r="A1039" t="s">
        <v>2059</v>
      </c>
      <c r="B1039">
        <v>2022</v>
      </c>
      <c r="C1039">
        <v>0.84099035045415371</v>
      </c>
      <c r="D1039">
        <v>0</v>
      </c>
      <c r="E1039">
        <v>0</v>
      </c>
      <c r="F1039">
        <v>55</v>
      </c>
      <c r="G1039">
        <v>4.2809576660852999E-3</v>
      </c>
      <c r="H1039">
        <v>7</v>
      </c>
      <c r="I1039">
        <v>0</v>
      </c>
      <c r="J1039">
        <v>0.53419779031297432</v>
      </c>
      <c r="K1039">
        <v>-0.2861200754744182</v>
      </c>
      <c r="L1039">
        <v>73186080.961640462</v>
      </c>
      <c r="M1039" t="s">
        <v>959</v>
      </c>
      <c r="N1039" t="s">
        <v>977</v>
      </c>
      <c r="O1039" t="s">
        <v>825</v>
      </c>
      <c r="P1039">
        <v>2144</v>
      </c>
      <c r="Q1039">
        <v>471</v>
      </c>
      <c r="R1039">
        <v>1673</v>
      </c>
    </row>
    <row r="1040" spans="1:18" x14ac:dyDescent="0.3">
      <c r="A1040" t="s">
        <v>2060</v>
      </c>
      <c r="B1040">
        <v>2022</v>
      </c>
      <c r="C1040">
        <v>34.610048527583423</v>
      </c>
      <c r="D1040">
        <v>0</v>
      </c>
      <c r="E1040">
        <v>0</v>
      </c>
      <c r="F1040">
        <v>102</v>
      </c>
      <c r="G1040">
        <v>1.4233587887932E-3</v>
      </c>
      <c r="H1040">
        <v>5</v>
      </c>
      <c r="I1040">
        <v>2</v>
      </c>
      <c r="J1040">
        <v>0.55984943145425137</v>
      </c>
      <c r="K1040">
        <v>-0.25341533222069518</v>
      </c>
      <c r="L1040">
        <v>145742806.02229819</v>
      </c>
      <c r="M1040" t="s">
        <v>959</v>
      </c>
      <c r="N1040" t="s">
        <v>977</v>
      </c>
      <c r="O1040" t="s">
        <v>983</v>
      </c>
      <c r="P1040">
        <v>3663</v>
      </c>
      <c r="Q1040">
        <v>666</v>
      </c>
      <c r="R1040">
        <v>2997</v>
      </c>
    </row>
    <row r="1041" spans="1:18" x14ac:dyDescent="0.3">
      <c r="A1041" t="s">
        <v>2061</v>
      </c>
      <c r="B1041">
        <v>2022</v>
      </c>
      <c r="C1041">
        <v>0.52692437467753239</v>
      </c>
      <c r="D1041">
        <v>0</v>
      </c>
      <c r="E1041">
        <v>0</v>
      </c>
      <c r="F1041">
        <v>24</v>
      </c>
      <c r="G1041">
        <v>4.7566078711796002E-3</v>
      </c>
      <c r="H1041">
        <v>1</v>
      </c>
      <c r="I1041">
        <v>0</v>
      </c>
      <c r="J1041">
        <v>0.6379815509523874</v>
      </c>
      <c r="K1041">
        <v>-0.25893286069703259</v>
      </c>
      <c r="L1041">
        <v>191994325.19024649</v>
      </c>
      <c r="M1041" t="s">
        <v>959</v>
      </c>
      <c r="N1041" t="s">
        <v>984</v>
      </c>
      <c r="O1041" t="s">
        <v>989</v>
      </c>
      <c r="P1041">
        <v>1204</v>
      </c>
      <c r="Q1041">
        <v>366</v>
      </c>
      <c r="R1041">
        <v>838</v>
      </c>
    </row>
    <row r="1042" spans="1:18" x14ac:dyDescent="0.3">
      <c r="A1042" t="s">
        <v>2062</v>
      </c>
      <c r="B1042">
        <v>2022</v>
      </c>
      <c r="C1042">
        <v>0.94849424814582317</v>
      </c>
      <c r="D1042">
        <v>0</v>
      </c>
      <c r="E1042">
        <v>0</v>
      </c>
      <c r="F1042">
        <v>64</v>
      </c>
      <c r="G1042">
        <v>7.5177017737359999E-4</v>
      </c>
      <c r="H1042">
        <v>3</v>
      </c>
      <c r="I1042">
        <v>0</v>
      </c>
      <c r="J1042">
        <v>0.4875546508371606</v>
      </c>
      <c r="K1042">
        <v>-0.31472431208361251</v>
      </c>
      <c r="L1042">
        <v>125734535.5552583</v>
      </c>
      <c r="M1042" t="s">
        <v>20</v>
      </c>
      <c r="N1042" t="s">
        <v>76</v>
      </c>
      <c r="O1042" t="s">
        <v>1010</v>
      </c>
      <c r="P1042">
        <v>1638</v>
      </c>
      <c r="Q1042">
        <v>974</v>
      </c>
      <c r="R1042">
        <v>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1BA4-3BB6-45E7-9924-590D8CE49D50}">
  <sheetPr filterMode="1"/>
  <dimension ref="A1:O448"/>
  <sheetViews>
    <sheetView topLeftCell="D1" zoomScale="113" workbookViewId="0">
      <selection activeCell="G418" sqref="G418"/>
    </sheetView>
  </sheetViews>
  <sheetFormatPr baseColWidth="10" defaultColWidth="8.88671875" defaultRowHeight="14.4" x14ac:dyDescent="0.3"/>
  <cols>
    <col min="3" max="3" width="37.6640625" bestFit="1" customWidth="1"/>
    <col min="4" max="4" width="9" style="7" bestFit="1" customWidth="1"/>
    <col min="5" max="5" width="13.109375" style="7" bestFit="1" customWidth="1"/>
    <col min="6" max="6" width="15.21875" style="7" bestFit="1" customWidth="1"/>
    <col min="7" max="7" width="17.44140625" style="7" bestFit="1" customWidth="1"/>
    <col min="8" max="8" width="14.44140625" style="7" bestFit="1" customWidth="1"/>
    <col min="9" max="9" width="12" bestFit="1" customWidth="1"/>
    <col min="10" max="10" width="12.21875" bestFit="1" customWidth="1"/>
  </cols>
  <sheetData>
    <row r="1" spans="1:10" x14ac:dyDescent="0.3">
      <c r="A1" s="1" t="s">
        <v>14</v>
      </c>
      <c r="B1" s="1" t="s">
        <v>15</v>
      </c>
      <c r="C1" s="1" t="s">
        <v>16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13</v>
      </c>
      <c r="I1" s="8" t="s">
        <v>1013</v>
      </c>
      <c r="J1" s="8" t="s">
        <v>1014</v>
      </c>
    </row>
    <row r="2" spans="1:10" hidden="1" x14ac:dyDescent="0.3">
      <c r="A2" t="s">
        <v>652</v>
      </c>
      <c r="B2" t="s">
        <v>817</v>
      </c>
      <c r="C2" t="s">
        <v>819</v>
      </c>
      <c r="D2" s="7">
        <v>13.08257400657374</v>
      </c>
      <c r="E2" s="7">
        <v>6609</v>
      </c>
      <c r="F2" s="7">
        <v>37809881.190747537</v>
      </c>
      <c r="G2" s="7">
        <v>3</v>
      </c>
      <c r="H2" s="7">
        <v>249483315.1045115</v>
      </c>
      <c r="I2">
        <f>D2/E2</f>
        <v>1.9795088525607113E-3</v>
      </c>
      <c r="J2">
        <f>G2/F2</f>
        <v>7.9344338186762951E-8</v>
      </c>
    </row>
    <row r="3" spans="1:10" hidden="1" x14ac:dyDescent="0.3">
      <c r="A3" t="s">
        <v>652</v>
      </c>
      <c r="B3" t="s">
        <v>817</v>
      </c>
      <c r="C3" t="s">
        <v>820</v>
      </c>
      <c r="D3" s="7">
        <v>3.1989826263017238</v>
      </c>
      <c r="E3" s="7">
        <v>2126</v>
      </c>
      <c r="F3" s="7">
        <v>37555714.187867656</v>
      </c>
      <c r="G3" s="7">
        <v>12</v>
      </c>
      <c r="H3" s="7">
        <v>47091595.016204849</v>
      </c>
      <c r="I3">
        <f t="shared" ref="I3:I66" si="0">D3/E3</f>
        <v>1.5046954968493526E-3</v>
      </c>
      <c r="J3">
        <f t="shared" ref="J3:J66" si="1">G3/F3</f>
        <v>3.1952527756419528E-7</v>
      </c>
    </row>
    <row r="4" spans="1:10" hidden="1" x14ac:dyDescent="0.3">
      <c r="A4" t="s">
        <v>232</v>
      </c>
      <c r="B4" t="s">
        <v>269</v>
      </c>
      <c r="C4" t="s">
        <v>45</v>
      </c>
      <c r="D4" s="7">
        <v>5.9583803612946094</v>
      </c>
      <c r="E4" s="7">
        <v>3433</v>
      </c>
      <c r="F4" s="7">
        <v>5131009.8275122549</v>
      </c>
      <c r="G4" s="7">
        <v>2</v>
      </c>
      <c r="H4" s="7">
        <v>44527393.227291971</v>
      </c>
      <c r="I4">
        <f t="shared" si="0"/>
        <v>1.7356190973768159E-3</v>
      </c>
      <c r="J4">
        <f t="shared" si="1"/>
        <v>3.8978681920975585E-7</v>
      </c>
    </row>
    <row r="5" spans="1:10" hidden="1" x14ac:dyDescent="0.3">
      <c r="A5" t="s">
        <v>460</v>
      </c>
      <c r="B5" t="s">
        <v>468</v>
      </c>
      <c r="C5" t="s">
        <v>470</v>
      </c>
      <c r="D5" s="7">
        <v>7.8299373980205296</v>
      </c>
      <c r="E5" s="7">
        <v>1687</v>
      </c>
      <c r="F5" s="7">
        <v>766388.08167892147</v>
      </c>
      <c r="G5" s="7">
        <v>1</v>
      </c>
      <c r="H5" s="7">
        <v>35570662.134765863</v>
      </c>
      <c r="I5">
        <f t="shared" si="0"/>
        <v>4.6413381138236693E-3</v>
      </c>
      <c r="J5">
        <f t="shared" si="1"/>
        <v>1.3048219614915022E-6</v>
      </c>
    </row>
    <row r="6" spans="1:10" hidden="1" x14ac:dyDescent="0.3">
      <c r="A6" t="s">
        <v>124</v>
      </c>
      <c r="B6" t="s">
        <v>133</v>
      </c>
      <c r="C6" t="s">
        <v>135</v>
      </c>
      <c r="D6" s="7">
        <v>9.5349156714215919</v>
      </c>
      <c r="E6" s="7">
        <v>1537</v>
      </c>
      <c r="F6" s="7">
        <v>1662452.0013480389</v>
      </c>
      <c r="G6" s="7">
        <v>3</v>
      </c>
      <c r="H6" s="7">
        <v>34377227.587594032</v>
      </c>
      <c r="I6">
        <f t="shared" si="0"/>
        <v>6.2035885955898451E-3</v>
      </c>
      <c r="J6">
        <f t="shared" si="1"/>
        <v>1.8045633784117548E-6</v>
      </c>
    </row>
    <row r="7" spans="1:10" hidden="1" x14ac:dyDescent="0.3">
      <c r="A7" t="s">
        <v>922</v>
      </c>
      <c r="B7" t="s">
        <v>942</v>
      </c>
      <c r="C7" t="s">
        <v>945</v>
      </c>
      <c r="D7" s="7">
        <v>12.701983655635059</v>
      </c>
      <c r="E7" s="7">
        <v>3823</v>
      </c>
      <c r="F7" s="7">
        <v>744975.734375</v>
      </c>
      <c r="G7" s="7">
        <v>1</v>
      </c>
      <c r="H7" s="7">
        <v>24751947.689971171</v>
      </c>
      <c r="I7">
        <f t="shared" si="0"/>
        <v>3.3225173046390424E-3</v>
      </c>
      <c r="J7">
        <f t="shared" si="1"/>
        <v>1.3423256004961739E-6</v>
      </c>
    </row>
    <row r="8" spans="1:10" hidden="1" x14ac:dyDescent="0.3">
      <c r="A8" t="s">
        <v>940</v>
      </c>
      <c r="B8" t="s">
        <v>940</v>
      </c>
      <c r="C8" t="s">
        <v>295</v>
      </c>
      <c r="D8" s="7">
        <v>1.8721292289324061</v>
      </c>
      <c r="E8" s="7">
        <v>4198</v>
      </c>
      <c r="F8" s="7">
        <v>5458871.03125</v>
      </c>
      <c r="G8" s="7">
        <v>1</v>
      </c>
      <c r="H8" s="7">
        <v>24344240.149060301</v>
      </c>
      <c r="I8">
        <f t="shared" si="0"/>
        <v>4.4595741518161172E-4</v>
      </c>
      <c r="J8">
        <f t="shared" si="1"/>
        <v>1.8318806109823316E-7</v>
      </c>
    </row>
    <row r="9" spans="1:10" hidden="1" x14ac:dyDescent="0.3">
      <c r="A9" t="s">
        <v>674</v>
      </c>
      <c r="B9" t="s">
        <v>698</v>
      </c>
      <c r="C9" t="s">
        <v>286</v>
      </c>
      <c r="D9" s="7">
        <v>0.57658563841726085</v>
      </c>
      <c r="E9" s="7">
        <v>331</v>
      </c>
      <c r="F9" s="7">
        <v>1123442.8039828429</v>
      </c>
      <c r="G9" s="7">
        <v>1</v>
      </c>
      <c r="H9" s="7">
        <v>19569818.319024932</v>
      </c>
      <c r="I9">
        <f t="shared" si="0"/>
        <v>1.7419505692364376E-3</v>
      </c>
      <c r="J9">
        <f t="shared" si="1"/>
        <v>8.9012097140574308E-7</v>
      </c>
    </row>
    <row r="10" spans="1:10" hidden="1" x14ac:dyDescent="0.3">
      <c r="A10" t="s">
        <v>232</v>
      </c>
      <c r="B10" t="s">
        <v>233</v>
      </c>
      <c r="C10" t="s">
        <v>236</v>
      </c>
      <c r="D10" s="7">
        <v>5.3556455664325444</v>
      </c>
      <c r="E10" s="7">
        <v>3415</v>
      </c>
      <c r="F10" s="7">
        <v>7832231.9839460785</v>
      </c>
      <c r="G10" s="7">
        <v>7</v>
      </c>
      <c r="H10" s="7">
        <v>17547232.169040781</v>
      </c>
      <c r="I10">
        <f t="shared" si="0"/>
        <v>1.5682710297020628E-3</v>
      </c>
      <c r="J10">
        <f t="shared" si="1"/>
        <v>8.9374267952584582E-7</v>
      </c>
    </row>
    <row r="11" spans="1:10" hidden="1" x14ac:dyDescent="0.3">
      <c r="A11" t="s">
        <v>20</v>
      </c>
      <c r="B11" t="s">
        <v>59</v>
      </c>
      <c r="C11" t="s">
        <v>62</v>
      </c>
      <c r="D11" s="7">
        <v>4.0625581236297128</v>
      </c>
      <c r="E11" s="7">
        <v>3520</v>
      </c>
      <c r="F11" s="7">
        <v>4615263.770710784</v>
      </c>
      <c r="G11" s="7">
        <v>4</v>
      </c>
      <c r="H11" s="7">
        <v>13316603.21334872</v>
      </c>
      <c r="I11">
        <f t="shared" si="0"/>
        <v>1.154135830576623E-3</v>
      </c>
      <c r="J11">
        <f t="shared" si="1"/>
        <v>8.6668935920513406E-7</v>
      </c>
    </row>
    <row r="12" spans="1:10" hidden="1" x14ac:dyDescent="0.3">
      <c r="A12" t="s">
        <v>652</v>
      </c>
      <c r="B12" t="s">
        <v>803</v>
      </c>
      <c r="C12" t="s">
        <v>806</v>
      </c>
      <c r="D12" s="7">
        <v>20.572087143930201</v>
      </c>
      <c r="E12" s="7">
        <v>3318</v>
      </c>
      <c r="F12" s="7">
        <v>11740482.456188731</v>
      </c>
      <c r="G12" s="7">
        <v>55</v>
      </c>
      <c r="H12" s="7">
        <v>13235039.08162082</v>
      </c>
      <c r="I12">
        <f t="shared" si="0"/>
        <v>6.2001468185443644E-3</v>
      </c>
      <c r="J12">
        <f t="shared" si="1"/>
        <v>4.6846456442689025E-6</v>
      </c>
    </row>
    <row r="13" spans="1:10" hidden="1" x14ac:dyDescent="0.3">
      <c r="A13" t="s">
        <v>20</v>
      </c>
      <c r="B13" t="s">
        <v>21</v>
      </c>
      <c r="C13" t="s">
        <v>27</v>
      </c>
      <c r="D13" s="7">
        <v>9.9477182981823464</v>
      </c>
      <c r="E13" s="7">
        <v>7818</v>
      </c>
      <c r="F13" s="7">
        <v>6058698.2280024514</v>
      </c>
      <c r="G13" s="7">
        <v>6</v>
      </c>
      <c r="H13" s="7">
        <v>12848602.20556514</v>
      </c>
      <c r="I13">
        <f t="shared" si="0"/>
        <v>1.2724121640038815E-3</v>
      </c>
      <c r="J13">
        <f t="shared" si="1"/>
        <v>9.9031174258999137E-7</v>
      </c>
    </row>
    <row r="14" spans="1:10" hidden="1" x14ac:dyDescent="0.3">
      <c r="A14" t="s">
        <v>156</v>
      </c>
      <c r="B14" t="s">
        <v>157</v>
      </c>
      <c r="C14" t="s">
        <v>158</v>
      </c>
      <c r="D14" s="7">
        <v>1.4501347927188271</v>
      </c>
      <c r="E14" s="7">
        <v>2209</v>
      </c>
      <c r="F14" s="7">
        <v>1437278.125061275</v>
      </c>
      <c r="G14" s="7">
        <v>1</v>
      </c>
      <c r="H14" s="7">
        <v>9435251.3171798792</v>
      </c>
      <c r="I14">
        <f t="shared" si="0"/>
        <v>6.5646663319095841E-4</v>
      </c>
      <c r="J14">
        <f t="shared" si="1"/>
        <v>6.9575956285939256E-7</v>
      </c>
    </row>
    <row r="15" spans="1:10" hidden="1" x14ac:dyDescent="0.3">
      <c r="A15" t="s">
        <v>124</v>
      </c>
      <c r="B15" t="s">
        <v>125</v>
      </c>
      <c r="C15" t="s">
        <v>126</v>
      </c>
      <c r="D15" s="7">
        <v>6.1435468716895523</v>
      </c>
      <c r="E15" s="7">
        <v>3776</v>
      </c>
      <c r="F15" s="7">
        <v>3971685.2929534321</v>
      </c>
      <c r="G15" s="7">
        <v>7</v>
      </c>
      <c r="H15" s="7">
        <v>9231323.6822258886</v>
      </c>
      <c r="I15">
        <f t="shared" si="0"/>
        <v>1.6269986418669365E-3</v>
      </c>
      <c r="J15">
        <f t="shared" si="1"/>
        <v>1.76247599788921E-6</v>
      </c>
    </row>
    <row r="16" spans="1:10" hidden="1" x14ac:dyDescent="0.3">
      <c r="A16" t="s">
        <v>232</v>
      </c>
      <c r="B16" t="s">
        <v>244</v>
      </c>
      <c r="C16" t="s">
        <v>246</v>
      </c>
      <c r="D16" s="7">
        <v>1.3347510868252279</v>
      </c>
      <c r="E16" s="7">
        <v>1903</v>
      </c>
      <c r="F16" s="7">
        <v>1240713.859375</v>
      </c>
      <c r="G16" s="7">
        <v>1</v>
      </c>
      <c r="H16" s="7">
        <v>8702281.5146605577</v>
      </c>
      <c r="I16">
        <f t="shared" si="0"/>
        <v>7.0139310920926319E-4</v>
      </c>
      <c r="J16">
        <f t="shared" si="1"/>
        <v>8.0598761144148273E-7</v>
      </c>
    </row>
    <row r="17" spans="1:10" hidden="1" x14ac:dyDescent="0.3">
      <c r="A17" t="s">
        <v>124</v>
      </c>
      <c r="B17" t="s">
        <v>153</v>
      </c>
      <c r="C17" t="s">
        <v>154</v>
      </c>
      <c r="D17" s="7">
        <v>4.0794528722969474</v>
      </c>
      <c r="E17" s="7">
        <v>1857</v>
      </c>
      <c r="F17" s="7">
        <v>1111779.601776961</v>
      </c>
      <c r="G17" s="7">
        <v>3</v>
      </c>
      <c r="H17" s="7">
        <v>8141181.9957461478</v>
      </c>
      <c r="I17">
        <f t="shared" si="0"/>
        <v>2.1967974541179038E-3</v>
      </c>
      <c r="J17">
        <f t="shared" si="1"/>
        <v>2.6983765444203959E-6</v>
      </c>
    </row>
    <row r="18" spans="1:10" hidden="1" x14ac:dyDescent="0.3">
      <c r="A18" t="s">
        <v>674</v>
      </c>
      <c r="B18" t="s">
        <v>727</v>
      </c>
      <c r="C18" t="s">
        <v>727</v>
      </c>
      <c r="D18" s="7">
        <v>0.9028170350969712</v>
      </c>
      <c r="E18" s="7">
        <v>2377</v>
      </c>
      <c r="F18" s="7">
        <v>1737329.15625</v>
      </c>
      <c r="G18" s="7">
        <v>1</v>
      </c>
      <c r="H18" s="7">
        <v>6598613.2008125689</v>
      </c>
      <c r="I18">
        <f t="shared" si="0"/>
        <v>3.7981364539207876E-4</v>
      </c>
      <c r="J18">
        <f t="shared" si="1"/>
        <v>5.7559616518408387E-7</v>
      </c>
    </row>
    <row r="19" spans="1:10" hidden="1" x14ac:dyDescent="0.3">
      <c r="A19" t="s">
        <v>232</v>
      </c>
      <c r="B19" t="s">
        <v>233</v>
      </c>
      <c r="C19" t="s">
        <v>238</v>
      </c>
      <c r="D19" s="7">
        <v>8.6276975874389965</v>
      </c>
      <c r="E19" s="7">
        <v>12283</v>
      </c>
      <c r="F19" s="7">
        <v>15910811.790747549</v>
      </c>
      <c r="G19" s="7">
        <v>17</v>
      </c>
      <c r="H19" s="7">
        <v>6574063.2677985635</v>
      </c>
      <c r="I19">
        <f t="shared" si="0"/>
        <v>7.0240963831629053E-4</v>
      </c>
      <c r="J19">
        <f t="shared" si="1"/>
        <v>1.0684558540178218E-6</v>
      </c>
    </row>
    <row r="20" spans="1:10" hidden="1" x14ac:dyDescent="0.3">
      <c r="A20" t="s">
        <v>124</v>
      </c>
      <c r="B20" t="s">
        <v>125</v>
      </c>
      <c r="C20" t="s">
        <v>129</v>
      </c>
      <c r="D20" s="7">
        <v>7.9933064444161666</v>
      </c>
      <c r="E20" s="7">
        <v>4111</v>
      </c>
      <c r="F20" s="7">
        <v>2301502.4291053922</v>
      </c>
      <c r="G20" s="7">
        <v>7</v>
      </c>
      <c r="H20" s="7">
        <v>6392818.6393326577</v>
      </c>
      <c r="I20">
        <f t="shared" si="0"/>
        <v>1.9443703343264818E-3</v>
      </c>
      <c r="J20">
        <f t="shared" si="1"/>
        <v>3.0414914672590384E-6</v>
      </c>
    </row>
    <row r="21" spans="1:10" hidden="1" x14ac:dyDescent="0.3">
      <c r="A21" t="s">
        <v>20</v>
      </c>
      <c r="B21" t="s">
        <v>69</v>
      </c>
      <c r="C21" t="s">
        <v>70</v>
      </c>
      <c r="D21" s="7">
        <v>1.541113420810269</v>
      </c>
      <c r="E21" s="7">
        <v>787</v>
      </c>
      <c r="F21" s="7">
        <v>922821.51691176463</v>
      </c>
      <c r="G21" s="7">
        <v>3</v>
      </c>
      <c r="H21" s="7">
        <v>6023602.8154392662</v>
      </c>
      <c r="I21">
        <f t="shared" si="0"/>
        <v>1.9582127329228322E-3</v>
      </c>
      <c r="J21">
        <f t="shared" si="1"/>
        <v>3.2508994914201208E-6</v>
      </c>
    </row>
    <row r="22" spans="1:10" hidden="1" x14ac:dyDescent="0.3">
      <c r="A22" t="s">
        <v>830</v>
      </c>
      <c r="B22" t="s">
        <v>855</v>
      </c>
      <c r="C22" t="s">
        <v>856</v>
      </c>
      <c r="D22" s="7">
        <v>3.1774111311421258</v>
      </c>
      <c r="E22" s="7">
        <v>1726</v>
      </c>
      <c r="F22" s="7">
        <v>279404.68216911767</v>
      </c>
      <c r="G22" s="7">
        <v>1</v>
      </c>
      <c r="H22" s="7">
        <v>5143589.4972038362</v>
      </c>
      <c r="I22">
        <f t="shared" si="0"/>
        <v>1.840910272967628E-3</v>
      </c>
      <c r="J22">
        <f t="shared" si="1"/>
        <v>3.5790380899727423E-6</v>
      </c>
    </row>
    <row r="23" spans="1:10" hidden="1" x14ac:dyDescent="0.3">
      <c r="A23" t="s">
        <v>652</v>
      </c>
      <c r="B23" t="s">
        <v>803</v>
      </c>
      <c r="C23" t="s">
        <v>807</v>
      </c>
      <c r="D23" s="7">
        <v>16.20674768559368</v>
      </c>
      <c r="E23" s="7">
        <v>6282</v>
      </c>
      <c r="F23" s="7">
        <v>8346688.0025122548</v>
      </c>
      <c r="G23" s="7">
        <v>44</v>
      </c>
      <c r="H23" s="7">
        <v>4893949.0342930751</v>
      </c>
      <c r="I23">
        <f t="shared" si="0"/>
        <v>2.5798706917532122E-3</v>
      </c>
      <c r="J23">
        <f t="shared" si="1"/>
        <v>5.2715520200056019E-6</v>
      </c>
    </row>
    <row r="24" spans="1:10" hidden="1" x14ac:dyDescent="0.3">
      <c r="A24" t="s">
        <v>232</v>
      </c>
      <c r="B24" t="s">
        <v>233</v>
      </c>
      <c r="C24" t="s">
        <v>234</v>
      </c>
      <c r="D24" s="7">
        <v>2.6956563962872462</v>
      </c>
      <c r="E24" s="7">
        <v>2471</v>
      </c>
      <c r="F24" s="7">
        <v>13903216.8848652</v>
      </c>
      <c r="G24" s="7">
        <v>31</v>
      </c>
      <c r="H24" s="7">
        <v>4892664.00238322</v>
      </c>
      <c r="I24">
        <f t="shared" si="0"/>
        <v>1.0909171980118357E-3</v>
      </c>
      <c r="J24">
        <f t="shared" si="1"/>
        <v>2.2296998066502193E-6</v>
      </c>
    </row>
    <row r="25" spans="1:10" hidden="1" x14ac:dyDescent="0.3">
      <c r="A25" t="s">
        <v>652</v>
      </c>
      <c r="B25" t="s">
        <v>772</v>
      </c>
      <c r="C25" t="s">
        <v>783</v>
      </c>
      <c r="D25" s="7">
        <v>16.27437639260344</v>
      </c>
      <c r="E25" s="7">
        <v>21570</v>
      </c>
      <c r="F25" s="7">
        <v>15875354.22567402</v>
      </c>
      <c r="G25" s="7">
        <v>25</v>
      </c>
      <c r="H25" s="7">
        <v>4791126.3798706802</v>
      </c>
      <c r="I25">
        <f t="shared" si="0"/>
        <v>7.5449125603168471E-4</v>
      </c>
      <c r="J25">
        <f t="shared" si="1"/>
        <v>1.5747680111332178E-6</v>
      </c>
    </row>
    <row r="26" spans="1:10" hidden="1" x14ac:dyDescent="0.3">
      <c r="A26" t="s">
        <v>922</v>
      </c>
      <c r="B26" t="s">
        <v>923</v>
      </c>
      <c r="C26" t="s">
        <v>926</v>
      </c>
      <c r="D26" s="7">
        <v>1.8110611227100379</v>
      </c>
      <c r="E26" s="7">
        <v>6982</v>
      </c>
      <c r="F26" s="7">
        <v>1628229.6936887249</v>
      </c>
      <c r="G26" s="7">
        <v>1</v>
      </c>
      <c r="H26" s="7">
        <v>4223465.3352645729</v>
      </c>
      <c r="I26">
        <f t="shared" si="0"/>
        <v>2.5939002043970751E-4</v>
      </c>
      <c r="J26">
        <f t="shared" si="1"/>
        <v>6.1416396217079055E-7</v>
      </c>
    </row>
    <row r="27" spans="1:10" hidden="1" x14ac:dyDescent="0.3">
      <c r="A27" t="s">
        <v>20</v>
      </c>
      <c r="B27" t="s">
        <v>85</v>
      </c>
      <c r="C27" t="s">
        <v>85</v>
      </c>
      <c r="D27" s="7">
        <v>7.524342140480444</v>
      </c>
      <c r="E27" s="7">
        <v>7227</v>
      </c>
      <c r="F27" s="7">
        <v>4357224.5248774486</v>
      </c>
      <c r="G27" s="7">
        <v>11</v>
      </c>
      <c r="H27" s="7">
        <v>4124086.2055260292</v>
      </c>
      <c r="I27">
        <f t="shared" si="0"/>
        <v>1.0411432323897114E-3</v>
      </c>
      <c r="J27">
        <f t="shared" si="1"/>
        <v>2.5245428453814613E-6</v>
      </c>
    </row>
    <row r="28" spans="1:10" hidden="1" x14ac:dyDescent="0.3">
      <c r="A28" t="s">
        <v>124</v>
      </c>
      <c r="B28" t="s">
        <v>149</v>
      </c>
      <c r="C28" t="s">
        <v>150</v>
      </c>
      <c r="D28" s="7">
        <v>1.937771826499372</v>
      </c>
      <c r="E28" s="7">
        <v>4957</v>
      </c>
      <c r="F28" s="7">
        <v>972054.97444852942</v>
      </c>
      <c r="G28" s="7">
        <v>1</v>
      </c>
      <c r="H28" s="7">
        <v>3799920.8055173028</v>
      </c>
      <c r="I28">
        <f t="shared" si="0"/>
        <v>3.9091624500693401E-4</v>
      </c>
      <c r="J28">
        <f t="shared" si="1"/>
        <v>1.02874840033335E-6</v>
      </c>
    </row>
    <row r="29" spans="1:10" hidden="1" x14ac:dyDescent="0.3">
      <c r="A29" t="s">
        <v>287</v>
      </c>
      <c r="B29" t="s">
        <v>288</v>
      </c>
      <c r="C29" t="s">
        <v>289</v>
      </c>
      <c r="D29" s="7">
        <v>2.1829774485445701</v>
      </c>
      <c r="E29" s="7">
        <v>4760</v>
      </c>
      <c r="F29" s="7">
        <v>801035.21911764704</v>
      </c>
      <c r="G29" s="7">
        <v>1</v>
      </c>
      <c r="H29" s="7">
        <v>3673617.2664365168</v>
      </c>
      <c r="I29">
        <f t="shared" si="0"/>
        <v>4.586087076774307E-4</v>
      </c>
      <c r="J29">
        <f t="shared" si="1"/>
        <v>1.2483845605459344E-6</v>
      </c>
    </row>
    <row r="30" spans="1:10" hidden="1" x14ac:dyDescent="0.3">
      <c r="A30" t="s">
        <v>652</v>
      </c>
      <c r="B30" t="s">
        <v>772</v>
      </c>
      <c r="C30" t="s">
        <v>785</v>
      </c>
      <c r="D30" s="7">
        <v>21.03945169839794</v>
      </c>
      <c r="E30" s="7">
        <v>15832</v>
      </c>
      <c r="F30" s="7">
        <v>5069740.7517156862</v>
      </c>
      <c r="G30" s="7">
        <v>21</v>
      </c>
      <c r="H30" s="7">
        <v>3208227.0287158559</v>
      </c>
      <c r="I30">
        <f t="shared" si="0"/>
        <v>1.328919384689107E-3</v>
      </c>
      <c r="J30">
        <f t="shared" si="1"/>
        <v>4.1422236418880484E-6</v>
      </c>
    </row>
    <row r="31" spans="1:10" hidden="1" x14ac:dyDescent="0.3">
      <c r="A31" t="s">
        <v>232</v>
      </c>
      <c r="B31" t="s">
        <v>233</v>
      </c>
      <c r="C31" t="s">
        <v>241</v>
      </c>
      <c r="D31" s="7">
        <v>1.8380273217293881</v>
      </c>
      <c r="E31" s="7">
        <v>4897</v>
      </c>
      <c r="F31" s="7">
        <v>12037907.272610299</v>
      </c>
      <c r="G31" s="7">
        <v>15</v>
      </c>
      <c r="H31" s="7">
        <v>3012184.6659182659</v>
      </c>
      <c r="I31">
        <f t="shared" si="0"/>
        <v>3.7533741509687322E-4</v>
      </c>
      <c r="J31">
        <f t="shared" si="1"/>
        <v>1.2460637601129652E-6</v>
      </c>
    </row>
    <row r="32" spans="1:10" hidden="1" x14ac:dyDescent="0.3">
      <c r="A32" t="s">
        <v>830</v>
      </c>
      <c r="B32" t="s">
        <v>852</v>
      </c>
      <c r="C32" t="s">
        <v>853</v>
      </c>
      <c r="D32" s="7">
        <v>8.8901720114801286</v>
      </c>
      <c r="E32" s="7">
        <v>1510</v>
      </c>
      <c r="F32" s="7">
        <v>1658933.4121936271</v>
      </c>
      <c r="G32" s="7">
        <v>34</v>
      </c>
      <c r="H32" s="7">
        <v>2872653.562522986</v>
      </c>
      <c r="I32">
        <f t="shared" si="0"/>
        <v>5.8875311334305484E-3</v>
      </c>
      <c r="J32">
        <f t="shared" si="1"/>
        <v>2.0495096276975578E-5</v>
      </c>
    </row>
    <row r="33" spans="1:10" hidden="1" x14ac:dyDescent="0.3">
      <c r="A33" t="s">
        <v>20</v>
      </c>
      <c r="B33" t="s">
        <v>59</v>
      </c>
      <c r="C33" t="s">
        <v>64</v>
      </c>
      <c r="D33" s="7">
        <v>4.664992863061129</v>
      </c>
      <c r="E33" s="7">
        <v>2949</v>
      </c>
      <c r="F33" s="7">
        <v>1499862.6087622549</v>
      </c>
      <c r="G33" s="7">
        <v>9</v>
      </c>
      <c r="H33" s="7">
        <v>2636241.424757231</v>
      </c>
      <c r="I33">
        <f t="shared" si="0"/>
        <v>1.5818897467145233E-3</v>
      </c>
      <c r="J33">
        <f t="shared" si="1"/>
        <v>6.0005496152925301E-6</v>
      </c>
    </row>
    <row r="34" spans="1:10" hidden="1" x14ac:dyDescent="0.3">
      <c r="A34" t="s">
        <v>348</v>
      </c>
      <c r="B34" t="s">
        <v>357</v>
      </c>
      <c r="C34" t="s">
        <v>360</v>
      </c>
      <c r="D34" s="7">
        <v>1.13428381022041</v>
      </c>
      <c r="E34" s="7">
        <v>9509</v>
      </c>
      <c r="F34" s="7">
        <v>2178071.73927696</v>
      </c>
      <c r="G34" s="7">
        <v>1</v>
      </c>
      <c r="H34" s="7">
        <v>2598119.1622257489</v>
      </c>
      <c r="I34">
        <f t="shared" si="0"/>
        <v>1.1928528869706699E-4</v>
      </c>
      <c r="J34">
        <f t="shared" si="1"/>
        <v>4.591217001566548E-7</v>
      </c>
    </row>
    <row r="35" spans="1:10" hidden="1" x14ac:dyDescent="0.3">
      <c r="A35" t="s">
        <v>20</v>
      </c>
      <c r="B35" t="s">
        <v>59</v>
      </c>
      <c r="C35" t="s">
        <v>59</v>
      </c>
      <c r="D35" s="7">
        <v>5.3450526925207544</v>
      </c>
      <c r="E35" s="7">
        <v>12028</v>
      </c>
      <c r="F35" s="7">
        <v>13783198.116176469</v>
      </c>
      <c r="G35" s="7">
        <v>24</v>
      </c>
      <c r="H35" s="7">
        <v>2552097.8897300749</v>
      </c>
      <c r="I35">
        <f t="shared" si="0"/>
        <v>4.4438416133361778E-4</v>
      </c>
      <c r="J35">
        <f t="shared" si="1"/>
        <v>1.7412504556422732E-6</v>
      </c>
    </row>
    <row r="36" spans="1:10" hidden="1" x14ac:dyDescent="0.3">
      <c r="A36" t="s">
        <v>287</v>
      </c>
      <c r="B36" t="s">
        <v>319</v>
      </c>
      <c r="C36" t="s">
        <v>319</v>
      </c>
      <c r="D36" s="7">
        <v>3.8280340129623771</v>
      </c>
      <c r="E36" s="7">
        <v>21458</v>
      </c>
      <c r="F36" s="7">
        <v>2726098.625</v>
      </c>
      <c r="G36" s="7">
        <v>2</v>
      </c>
      <c r="H36" s="7">
        <v>2431633.4838265372</v>
      </c>
      <c r="I36">
        <f t="shared" si="0"/>
        <v>1.783965892889541E-4</v>
      </c>
      <c r="J36">
        <f t="shared" si="1"/>
        <v>7.3364917235890535E-7</v>
      </c>
    </row>
    <row r="37" spans="1:10" hidden="1" x14ac:dyDescent="0.3">
      <c r="A37" t="s">
        <v>20</v>
      </c>
      <c r="B37" t="s">
        <v>21</v>
      </c>
      <c r="C37" t="s">
        <v>35</v>
      </c>
      <c r="D37" s="7">
        <v>4.2263902481453641</v>
      </c>
      <c r="E37" s="7">
        <v>7352</v>
      </c>
      <c r="F37" s="7">
        <v>1678672.349142157</v>
      </c>
      <c r="G37" s="7">
        <v>4</v>
      </c>
      <c r="H37" s="7">
        <v>2412515.1136580789</v>
      </c>
      <c r="I37">
        <f t="shared" si="0"/>
        <v>5.74862656167759E-4</v>
      </c>
      <c r="J37">
        <f t="shared" si="1"/>
        <v>2.3828354604423542E-6</v>
      </c>
    </row>
    <row r="38" spans="1:10" hidden="1" x14ac:dyDescent="0.3">
      <c r="A38" t="s">
        <v>232</v>
      </c>
      <c r="B38" t="s">
        <v>233</v>
      </c>
      <c r="C38" t="s">
        <v>235</v>
      </c>
      <c r="D38" s="7">
        <v>3.8807149894439248</v>
      </c>
      <c r="E38" s="7">
        <v>6514</v>
      </c>
      <c r="F38" s="7">
        <v>17899607.348284312</v>
      </c>
      <c r="G38" s="7">
        <v>47</v>
      </c>
      <c r="H38" s="7">
        <v>2268870.14357448</v>
      </c>
      <c r="I38">
        <f t="shared" si="0"/>
        <v>5.9574992162172622E-4</v>
      </c>
      <c r="J38">
        <f t="shared" si="1"/>
        <v>2.6257559222104935E-6</v>
      </c>
    </row>
    <row r="39" spans="1:10" hidden="1" x14ac:dyDescent="0.3">
      <c r="A39" t="s">
        <v>20</v>
      </c>
      <c r="B39" t="s">
        <v>59</v>
      </c>
      <c r="C39" t="s">
        <v>66</v>
      </c>
      <c r="D39" s="7">
        <v>1.3794936135199249</v>
      </c>
      <c r="E39" s="7">
        <v>1859</v>
      </c>
      <c r="F39" s="7">
        <v>304464.94485294109</v>
      </c>
      <c r="G39" s="7">
        <v>1</v>
      </c>
      <c r="H39" s="7">
        <v>2259319.2413411969</v>
      </c>
      <c r="I39">
        <f t="shared" si="0"/>
        <v>7.4206219124256317E-4</v>
      </c>
      <c r="J39">
        <f t="shared" si="1"/>
        <v>3.2844503674569422E-6</v>
      </c>
    </row>
    <row r="40" spans="1:10" hidden="1" x14ac:dyDescent="0.3">
      <c r="A40" t="s">
        <v>499</v>
      </c>
      <c r="B40" t="s">
        <v>557</v>
      </c>
      <c r="C40" t="s">
        <v>558</v>
      </c>
      <c r="D40" s="7">
        <v>0.71181916183131488</v>
      </c>
      <c r="E40" s="7">
        <v>2349</v>
      </c>
      <c r="F40" s="7">
        <v>743550.78125</v>
      </c>
      <c r="G40" s="7">
        <v>1</v>
      </c>
      <c r="H40" s="7">
        <v>2253187.2877326282</v>
      </c>
      <c r="I40">
        <f t="shared" si="0"/>
        <v>3.0303072023470193E-4</v>
      </c>
      <c r="J40">
        <f t="shared" si="1"/>
        <v>1.3448980556766782E-6</v>
      </c>
    </row>
    <row r="41" spans="1:10" hidden="1" x14ac:dyDescent="0.3">
      <c r="A41" t="s">
        <v>652</v>
      </c>
      <c r="B41" t="s">
        <v>772</v>
      </c>
      <c r="C41" t="s">
        <v>802</v>
      </c>
      <c r="D41" s="7">
        <v>11.97801969502507</v>
      </c>
      <c r="E41" s="7">
        <v>6455</v>
      </c>
      <c r="F41" s="7">
        <v>1778206.684375</v>
      </c>
      <c r="G41" s="7">
        <v>15</v>
      </c>
      <c r="H41" s="7">
        <v>2199782.5651710788</v>
      </c>
      <c r="I41">
        <f t="shared" si="0"/>
        <v>1.8556188528311495E-3</v>
      </c>
      <c r="J41">
        <f t="shared" si="1"/>
        <v>8.4354648600773688E-6</v>
      </c>
    </row>
    <row r="42" spans="1:10" hidden="1" x14ac:dyDescent="0.3">
      <c r="A42" t="s">
        <v>730</v>
      </c>
      <c r="B42" t="s">
        <v>743</v>
      </c>
      <c r="C42" t="s">
        <v>743</v>
      </c>
      <c r="D42" s="7">
        <v>1.773645167859256</v>
      </c>
      <c r="E42" s="7">
        <v>5894</v>
      </c>
      <c r="F42" s="7">
        <v>1402290.059742647</v>
      </c>
      <c r="G42" s="7">
        <v>2</v>
      </c>
      <c r="H42" s="7">
        <v>2109912.613165603</v>
      </c>
      <c r="I42">
        <f t="shared" si="0"/>
        <v>3.0092384931443094E-4</v>
      </c>
      <c r="J42">
        <f t="shared" si="1"/>
        <v>1.426238449103067E-6</v>
      </c>
    </row>
    <row r="43" spans="1:10" hidden="1" x14ac:dyDescent="0.3">
      <c r="A43" t="s">
        <v>20</v>
      </c>
      <c r="B43" t="s">
        <v>21</v>
      </c>
      <c r="C43" t="s">
        <v>33</v>
      </c>
      <c r="D43" s="7">
        <v>24.92380472323546</v>
      </c>
      <c r="E43" s="7">
        <v>28191</v>
      </c>
      <c r="F43" s="7">
        <v>8278236.9174019611</v>
      </c>
      <c r="G43" s="7">
        <v>36</v>
      </c>
      <c r="H43" s="7">
        <v>2033008.5683571701</v>
      </c>
      <c r="I43">
        <f t="shared" si="0"/>
        <v>8.8410502370385793E-4</v>
      </c>
      <c r="J43">
        <f t="shared" si="1"/>
        <v>4.3487520783952423E-6</v>
      </c>
    </row>
    <row r="44" spans="1:10" hidden="1" x14ac:dyDescent="0.3">
      <c r="A44" t="s">
        <v>460</v>
      </c>
      <c r="B44" t="s">
        <v>461</v>
      </c>
      <c r="C44" t="s">
        <v>145</v>
      </c>
      <c r="D44" s="7">
        <v>11.33138118092111</v>
      </c>
      <c r="E44" s="7">
        <v>22436</v>
      </c>
      <c r="F44" s="7">
        <v>4712280.7338235294</v>
      </c>
      <c r="G44" s="7">
        <v>12</v>
      </c>
      <c r="H44" s="7">
        <v>1983295.0476341981</v>
      </c>
      <c r="I44">
        <f t="shared" si="0"/>
        <v>5.0505353810488096E-4</v>
      </c>
      <c r="J44">
        <f t="shared" si="1"/>
        <v>2.5465375850524165E-6</v>
      </c>
    </row>
    <row r="45" spans="1:10" hidden="1" x14ac:dyDescent="0.3">
      <c r="A45" t="s">
        <v>124</v>
      </c>
      <c r="B45" t="s">
        <v>125</v>
      </c>
      <c r="C45" t="s">
        <v>128</v>
      </c>
      <c r="D45" s="7">
        <v>7.7933268777341027</v>
      </c>
      <c r="E45" s="7">
        <v>8990</v>
      </c>
      <c r="F45" s="7">
        <v>9746307.5666666664</v>
      </c>
      <c r="G45" s="7">
        <v>45</v>
      </c>
      <c r="H45" s="7">
        <v>1877546.9217146609</v>
      </c>
      <c r="I45">
        <f t="shared" si="0"/>
        <v>8.6688841799044522E-4</v>
      </c>
      <c r="J45">
        <f t="shared" si="1"/>
        <v>4.617133175019475E-6</v>
      </c>
    </row>
    <row r="46" spans="1:10" hidden="1" x14ac:dyDescent="0.3">
      <c r="A46" t="s">
        <v>124</v>
      </c>
      <c r="B46" t="s">
        <v>125</v>
      </c>
      <c r="C46" t="s">
        <v>116</v>
      </c>
      <c r="D46" s="7">
        <v>6.2614296192203218</v>
      </c>
      <c r="E46" s="7">
        <v>3782</v>
      </c>
      <c r="F46" s="7">
        <v>1885100.8011642159</v>
      </c>
      <c r="G46" s="7">
        <v>18</v>
      </c>
      <c r="H46" s="7">
        <v>1733860.0963078879</v>
      </c>
      <c r="I46">
        <f t="shared" si="0"/>
        <v>1.6555868903279538E-3</v>
      </c>
      <c r="J46">
        <f t="shared" si="1"/>
        <v>9.5485610047395952E-6</v>
      </c>
    </row>
    <row r="47" spans="1:10" hidden="1" x14ac:dyDescent="0.3">
      <c r="A47" t="s">
        <v>124</v>
      </c>
      <c r="B47" t="s">
        <v>125</v>
      </c>
      <c r="C47" t="s">
        <v>127</v>
      </c>
      <c r="D47" s="7">
        <v>2.5425710294281152</v>
      </c>
      <c r="E47" s="7">
        <v>9328</v>
      </c>
      <c r="F47" s="7">
        <v>5032109.4267769596</v>
      </c>
      <c r="G47" s="7">
        <v>8</v>
      </c>
      <c r="H47" s="7">
        <v>1714528.2543732871</v>
      </c>
      <c r="I47">
        <f t="shared" si="0"/>
        <v>2.7257408119941203E-4</v>
      </c>
      <c r="J47">
        <f t="shared" si="1"/>
        <v>1.5897905473657316E-6</v>
      </c>
    </row>
    <row r="48" spans="1:10" hidden="1" x14ac:dyDescent="0.3">
      <c r="A48" t="s">
        <v>20</v>
      </c>
      <c r="B48" t="s">
        <v>71</v>
      </c>
      <c r="C48" t="s">
        <v>71</v>
      </c>
      <c r="D48" s="7">
        <v>2.506061999059563</v>
      </c>
      <c r="E48" s="7">
        <v>10899</v>
      </c>
      <c r="F48" s="7">
        <v>8043268.3742034314</v>
      </c>
      <c r="G48" s="7">
        <v>11</v>
      </c>
      <c r="H48" s="7">
        <v>1681299.3035915571</v>
      </c>
      <c r="I48">
        <f t="shared" si="0"/>
        <v>2.2993503982563198E-4</v>
      </c>
      <c r="J48">
        <f t="shared" si="1"/>
        <v>1.3676032538314239E-6</v>
      </c>
    </row>
    <row r="49" spans="1:10" hidden="1" x14ac:dyDescent="0.3">
      <c r="A49" t="s">
        <v>156</v>
      </c>
      <c r="B49" t="s">
        <v>97</v>
      </c>
      <c r="C49" t="s">
        <v>170</v>
      </c>
      <c r="D49" s="7">
        <v>1.8523647941962511</v>
      </c>
      <c r="E49" s="7">
        <v>2361</v>
      </c>
      <c r="F49" s="7">
        <v>631992.45159313723</v>
      </c>
      <c r="G49" s="7">
        <v>3</v>
      </c>
      <c r="H49" s="7">
        <v>1652803.2860778</v>
      </c>
      <c r="I49">
        <f t="shared" si="0"/>
        <v>7.8456789250158881E-4</v>
      </c>
      <c r="J49">
        <f t="shared" si="1"/>
        <v>4.7468921384069531E-6</v>
      </c>
    </row>
    <row r="50" spans="1:10" hidden="1" x14ac:dyDescent="0.3">
      <c r="A50" t="s">
        <v>191</v>
      </c>
      <c r="B50" t="s">
        <v>218</v>
      </c>
      <c r="C50" t="s">
        <v>223</v>
      </c>
      <c r="D50" s="7">
        <v>5.4706115210228283</v>
      </c>
      <c r="E50" s="7">
        <v>4318</v>
      </c>
      <c r="F50" s="7">
        <v>2044691.788602941</v>
      </c>
      <c r="G50" s="7">
        <v>16</v>
      </c>
      <c r="H50" s="7">
        <v>1619053.157664431</v>
      </c>
      <c r="I50">
        <f t="shared" si="0"/>
        <v>1.2669318019969495E-3</v>
      </c>
      <c r="J50">
        <f t="shared" si="1"/>
        <v>7.8251402432305863E-6</v>
      </c>
    </row>
    <row r="51" spans="1:10" hidden="1" x14ac:dyDescent="0.3">
      <c r="A51" t="s">
        <v>460</v>
      </c>
      <c r="B51" t="s">
        <v>473</v>
      </c>
      <c r="C51" t="s">
        <v>478</v>
      </c>
      <c r="D51" s="7">
        <v>5.1977843170390718</v>
      </c>
      <c r="E51" s="7">
        <v>8637</v>
      </c>
      <c r="F51" s="7">
        <v>4291615.9738970594</v>
      </c>
      <c r="G51" s="7">
        <v>16</v>
      </c>
      <c r="H51" s="7">
        <v>1614195.7713815919</v>
      </c>
      <c r="I51">
        <f t="shared" si="0"/>
        <v>6.0180436691433046E-4</v>
      </c>
      <c r="J51">
        <f t="shared" si="1"/>
        <v>3.7281993769519376E-6</v>
      </c>
    </row>
    <row r="52" spans="1:10" hidden="1" x14ac:dyDescent="0.3">
      <c r="A52" t="s">
        <v>499</v>
      </c>
      <c r="B52" t="s">
        <v>557</v>
      </c>
      <c r="C52" t="s">
        <v>559</v>
      </c>
      <c r="D52" s="7">
        <v>1.198583537667026</v>
      </c>
      <c r="E52" s="7">
        <v>1019</v>
      </c>
      <c r="F52" s="7">
        <v>545341.08719362749</v>
      </c>
      <c r="G52" s="7">
        <v>4</v>
      </c>
      <c r="H52" s="7">
        <v>1603623.2814615311</v>
      </c>
      <c r="I52">
        <f t="shared" si="0"/>
        <v>1.1762350713120961E-3</v>
      </c>
      <c r="J52">
        <f t="shared" si="1"/>
        <v>7.3348590339751346E-6</v>
      </c>
    </row>
    <row r="53" spans="1:10" hidden="1" x14ac:dyDescent="0.3">
      <c r="A53" t="s">
        <v>20</v>
      </c>
      <c r="B53" t="s">
        <v>46</v>
      </c>
      <c r="C53" t="s">
        <v>51</v>
      </c>
      <c r="D53" s="7">
        <v>1.974968849809738</v>
      </c>
      <c r="E53" s="7">
        <v>4906</v>
      </c>
      <c r="F53" s="7">
        <v>397781.24528186268</v>
      </c>
      <c r="G53" s="7">
        <v>1</v>
      </c>
      <c r="H53" s="7">
        <v>1601315.875397892</v>
      </c>
      <c r="I53">
        <f t="shared" si="0"/>
        <v>4.0256193432730087E-4</v>
      </c>
      <c r="J53">
        <f t="shared" si="1"/>
        <v>2.5139445659169097E-6</v>
      </c>
    </row>
    <row r="54" spans="1:10" hidden="1" x14ac:dyDescent="0.3">
      <c r="A54" t="s">
        <v>499</v>
      </c>
      <c r="B54" t="s">
        <v>557</v>
      </c>
      <c r="C54" t="s">
        <v>562</v>
      </c>
      <c r="D54" s="7">
        <v>0.91633534384636095</v>
      </c>
      <c r="E54" s="7">
        <v>1162</v>
      </c>
      <c r="F54" s="7">
        <v>998323.5321078432</v>
      </c>
      <c r="G54" s="7">
        <v>5</v>
      </c>
      <c r="H54" s="7">
        <v>1574525.19288116</v>
      </c>
      <c r="I54">
        <f t="shared" si="0"/>
        <v>7.8858463325848617E-4</v>
      </c>
      <c r="J54">
        <f t="shared" si="1"/>
        <v>5.0083964157822523E-6</v>
      </c>
    </row>
    <row r="55" spans="1:10" hidden="1" x14ac:dyDescent="0.3">
      <c r="A55" t="s">
        <v>940</v>
      </c>
      <c r="B55" t="s">
        <v>940</v>
      </c>
      <c r="C55" t="s">
        <v>1005</v>
      </c>
      <c r="D55" s="7">
        <v>0.99635045666023603</v>
      </c>
      <c r="E55" s="7">
        <v>21538</v>
      </c>
      <c r="F55" s="7">
        <v>3394763.1814338239</v>
      </c>
      <c r="G55" s="7">
        <v>1</v>
      </c>
      <c r="H55" s="7">
        <v>1570421.508995703</v>
      </c>
      <c r="I55">
        <f t="shared" si="0"/>
        <v>4.6260119633217382E-5</v>
      </c>
      <c r="J55">
        <f t="shared" si="1"/>
        <v>2.9457135786939829E-7</v>
      </c>
    </row>
    <row r="56" spans="1:10" hidden="1" x14ac:dyDescent="0.3">
      <c r="A56" t="s">
        <v>652</v>
      </c>
      <c r="B56" t="s">
        <v>817</v>
      </c>
      <c r="C56" t="s">
        <v>466</v>
      </c>
      <c r="D56" s="7">
        <v>4.1397454302914589</v>
      </c>
      <c r="E56" s="7">
        <v>4925</v>
      </c>
      <c r="F56" s="7">
        <v>10311875.14963235</v>
      </c>
      <c r="G56" s="7">
        <v>56</v>
      </c>
      <c r="H56" s="7">
        <v>1547807.760276526</v>
      </c>
      <c r="I56">
        <f t="shared" si="0"/>
        <v>8.4055744777491548E-4</v>
      </c>
      <c r="J56">
        <f t="shared" si="1"/>
        <v>5.430632080722639E-6</v>
      </c>
    </row>
    <row r="57" spans="1:10" hidden="1" x14ac:dyDescent="0.3">
      <c r="A57" t="s">
        <v>406</v>
      </c>
      <c r="B57" t="s">
        <v>298</v>
      </c>
      <c r="C57" t="s">
        <v>427</v>
      </c>
      <c r="D57" s="7">
        <v>5.8498380301395549</v>
      </c>
      <c r="E57" s="7">
        <v>3943</v>
      </c>
      <c r="F57" s="7">
        <v>308496.38909313717</v>
      </c>
      <c r="G57" s="7">
        <v>3</v>
      </c>
      <c r="H57" s="7">
        <v>1525618.3186049231</v>
      </c>
      <c r="I57">
        <f t="shared" si="0"/>
        <v>1.4836008192086114E-3</v>
      </c>
      <c r="J57">
        <f t="shared" si="1"/>
        <v>9.7245870812908593E-6</v>
      </c>
    </row>
    <row r="58" spans="1:10" hidden="1" x14ac:dyDescent="0.3">
      <c r="A58" t="s">
        <v>20</v>
      </c>
      <c r="B58" t="s">
        <v>59</v>
      </c>
      <c r="C58" t="s">
        <v>61</v>
      </c>
      <c r="D58" s="7">
        <v>6.398989844522907</v>
      </c>
      <c r="E58" s="7">
        <v>3551</v>
      </c>
      <c r="F58" s="7">
        <v>2828613.645833333</v>
      </c>
      <c r="G58" s="7">
        <v>34</v>
      </c>
      <c r="H58" s="7">
        <v>1499185.8129248109</v>
      </c>
      <c r="I58">
        <f t="shared" si="0"/>
        <v>1.8020247379675885E-3</v>
      </c>
      <c r="J58">
        <f t="shared" si="1"/>
        <v>1.2020022617823198E-5</v>
      </c>
    </row>
    <row r="59" spans="1:10" hidden="1" x14ac:dyDescent="0.3">
      <c r="A59" t="s">
        <v>940</v>
      </c>
      <c r="B59" t="s">
        <v>101</v>
      </c>
      <c r="C59" t="s">
        <v>1009</v>
      </c>
      <c r="D59" s="7">
        <v>14.75400317620689</v>
      </c>
      <c r="E59" s="7">
        <v>38386</v>
      </c>
      <c r="F59" s="7">
        <v>9579240.8906862736</v>
      </c>
      <c r="G59" s="7">
        <v>25</v>
      </c>
      <c r="H59" s="7">
        <v>1472746.8402733931</v>
      </c>
      <c r="I59">
        <f t="shared" si="0"/>
        <v>3.8435896358586177E-4</v>
      </c>
      <c r="J59">
        <f t="shared" si="1"/>
        <v>2.6098101389544402E-6</v>
      </c>
    </row>
    <row r="60" spans="1:10" hidden="1" x14ac:dyDescent="0.3">
      <c r="A60" t="s">
        <v>730</v>
      </c>
      <c r="B60" t="s">
        <v>743</v>
      </c>
      <c r="C60" t="s">
        <v>745</v>
      </c>
      <c r="D60" s="7">
        <v>0.5900822306610588</v>
      </c>
      <c r="E60" s="7">
        <v>182</v>
      </c>
      <c r="F60" s="7">
        <v>87643.080882352951</v>
      </c>
      <c r="G60" s="7">
        <v>2</v>
      </c>
      <c r="H60" s="7">
        <v>1420786.392007319</v>
      </c>
      <c r="I60">
        <f t="shared" si="0"/>
        <v>3.2422100585772461E-3</v>
      </c>
      <c r="J60">
        <f t="shared" si="1"/>
        <v>2.2819827644862068E-5</v>
      </c>
    </row>
    <row r="61" spans="1:10" hidden="1" x14ac:dyDescent="0.3">
      <c r="A61" t="s">
        <v>652</v>
      </c>
      <c r="B61" t="s">
        <v>772</v>
      </c>
      <c r="C61" t="s">
        <v>780</v>
      </c>
      <c r="D61" s="7">
        <v>19.156452340972571</v>
      </c>
      <c r="E61" s="7">
        <v>19370</v>
      </c>
      <c r="F61" s="7">
        <v>11986847.415073531</v>
      </c>
      <c r="G61" s="7">
        <v>84</v>
      </c>
      <c r="H61" s="7">
        <v>1411273.3929823141</v>
      </c>
      <c r="I61">
        <f t="shared" si="0"/>
        <v>9.8897534026704025E-4</v>
      </c>
      <c r="J61">
        <f t="shared" si="1"/>
        <v>7.0076807596941215E-6</v>
      </c>
    </row>
    <row r="62" spans="1:10" hidden="1" x14ac:dyDescent="0.3">
      <c r="A62" t="s">
        <v>191</v>
      </c>
      <c r="B62" t="s">
        <v>211</v>
      </c>
      <c r="C62" t="s">
        <v>213</v>
      </c>
      <c r="D62" s="7">
        <v>0.67686622750580949</v>
      </c>
      <c r="E62" s="7">
        <v>4303</v>
      </c>
      <c r="F62" s="7">
        <v>3483975.0509803919</v>
      </c>
      <c r="G62" s="7">
        <v>4</v>
      </c>
      <c r="H62" s="7">
        <v>1370081.9483392159</v>
      </c>
      <c r="I62">
        <f t="shared" si="0"/>
        <v>1.5730100569505217E-4</v>
      </c>
      <c r="J62">
        <f t="shared" si="1"/>
        <v>1.1481138473923338E-6</v>
      </c>
    </row>
    <row r="63" spans="1:10" hidden="1" x14ac:dyDescent="0.3">
      <c r="A63" t="s">
        <v>730</v>
      </c>
      <c r="B63" t="s">
        <v>748</v>
      </c>
      <c r="C63" t="s">
        <v>753</v>
      </c>
      <c r="D63" s="7">
        <v>1.686300076827207</v>
      </c>
      <c r="E63" s="7">
        <v>2591</v>
      </c>
      <c r="F63" s="7">
        <v>1020545.138357843</v>
      </c>
      <c r="G63" s="7">
        <v>5</v>
      </c>
      <c r="H63" s="7">
        <v>1328402.4278027511</v>
      </c>
      <c r="I63">
        <f t="shared" si="0"/>
        <v>6.5082982509733964E-4</v>
      </c>
      <c r="J63">
        <f t="shared" si="1"/>
        <v>4.899342333887837E-6</v>
      </c>
    </row>
    <row r="64" spans="1:10" hidden="1" x14ac:dyDescent="0.3">
      <c r="A64" t="s">
        <v>124</v>
      </c>
      <c r="B64" t="s">
        <v>133</v>
      </c>
      <c r="C64" t="s">
        <v>136</v>
      </c>
      <c r="D64" s="7">
        <v>4.868919136958076</v>
      </c>
      <c r="E64" s="7">
        <v>1128</v>
      </c>
      <c r="F64" s="7">
        <v>293773.09754901961</v>
      </c>
      <c r="G64" s="7">
        <v>10</v>
      </c>
      <c r="H64" s="7">
        <v>1268047.3905849941</v>
      </c>
      <c r="I64">
        <f t="shared" si="0"/>
        <v>4.3164176746082238E-3</v>
      </c>
      <c r="J64">
        <f t="shared" si="1"/>
        <v>3.4039876637551461E-5</v>
      </c>
    </row>
    <row r="65" spans="1:10" hidden="1" x14ac:dyDescent="0.3">
      <c r="A65" t="s">
        <v>460</v>
      </c>
      <c r="B65" t="s">
        <v>461</v>
      </c>
      <c r="C65" t="s">
        <v>463</v>
      </c>
      <c r="D65" s="7">
        <v>1.9317359860824941</v>
      </c>
      <c r="E65" s="7">
        <v>6430</v>
      </c>
      <c r="F65" s="7">
        <v>2461767.046629902</v>
      </c>
      <c r="G65" s="7">
        <v>6</v>
      </c>
      <c r="H65" s="7">
        <v>1232629.339898135</v>
      </c>
      <c r="I65">
        <f t="shared" si="0"/>
        <v>3.0042550327877049E-4</v>
      </c>
      <c r="J65">
        <f t="shared" si="1"/>
        <v>2.4372736682026235E-6</v>
      </c>
    </row>
    <row r="66" spans="1:10" hidden="1" x14ac:dyDescent="0.3">
      <c r="A66" t="s">
        <v>460</v>
      </c>
      <c r="B66" t="s">
        <v>468</v>
      </c>
      <c r="C66" t="s">
        <v>469</v>
      </c>
      <c r="D66" s="7">
        <v>13.253881790482099</v>
      </c>
      <c r="E66" s="7">
        <v>29425</v>
      </c>
      <c r="F66" s="7">
        <v>5043379.8027573526</v>
      </c>
      <c r="G66" s="7">
        <v>19</v>
      </c>
      <c r="H66" s="7">
        <v>1195624.1958637191</v>
      </c>
      <c r="I66">
        <f t="shared" si="0"/>
        <v>4.5042928769692777E-4</v>
      </c>
      <c r="J66">
        <f t="shared" si="1"/>
        <v>3.7673149243315336E-6</v>
      </c>
    </row>
    <row r="67" spans="1:10" hidden="1" x14ac:dyDescent="0.3">
      <c r="A67" t="s">
        <v>586</v>
      </c>
      <c r="B67" t="s">
        <v>591</v>
      </c>
      <c r="C67" t="s">
        <v>591</v>
      </c>
      <c r="D67" s="7">
        <v>1.6774922327016599</v>
      </c>
      <c r="E67" s="7">
        <v>22623</v>
      </c>
      <c r="F67" s="7">
        <v>3215039.7272671568</v>
      </c>
      <c r="G67" s="7">
        <v>2</v>
      </c>
      <c r="H67" s="7">
        <v>1191973.6927723819</v>
      </c>
      <c r="I67">
        <f t="shared" ref="I67:I130" si="2">D67/E67</f>
        <v>7.4149857786397032E-5</v>
      </c>
      <c r="J67">
        <f t="shared" ref="J67:J130" si="3">G67/F67</f>
        <v>6.2207629443510391E-7</v>
      </c>
    </row>
    <row r="68" spans="1:10" hidden="1" x14ac:dyDescent="0.3">
      <c r="A68" t="s">
        <v>674</v>
      </c>
      <c r="B68" t="s">
        <v>121</v>
      </c>
      <c r="C68" t="s">
        <v>702</v>
      </c>
      <c r="D68" s="7">
        <v>0.88506223812493146</v>
      </c>
      <c r="E68" s="7">
        <v>3527</v>
      </c>
      <c r="F68" s="7">
        <v>938718.44454656879</v>
      </c>
      <c r="G68" s="7">
        <v>2</v>
      </c>
      <c r="H68" s="7">
        <v>1177805.8512893971</v>
      </c>
      <c r="I68">
        <f t="shared" si="2"/>
        <v>2.5093910919334603E-4</v>
      </c>
      <c r="J68">
        <f t="shared" si="3"/>
        <v>2.1305642939252826E-6</v>
      </c>
    </row>
    <row r="69" spans="1:10" hidden="1" x14ac:dyDescent="0.3">
      <c r="A69" t="s">
        <v>874</v>
      </c>
      <c r="B69" t="s">
        <v>898</v>
      </c>
      <c r="C69" t="s">
        <v>900</v>
      </c>
      <c r="D69" s="7">
        <v>0.84827329907151694</v>
      </c>
      <c r="E69" s="7">
        <v>1807</v>
      </c>
      <c r="F69" s="7">
        <v>495651.96875</v>
      </c>
      <c r="G69" s="7">
        <v>2</v>
      </c>
      <c r="H69" s="7">
        <v>1163387.7441141531</v>
      </c>
      <c r="I69">
        <f t="shared" si="2"/>
        <v>4.6943735421777361E-4</v>
      </c>
      <c r="J69">
        <f t="shared" si="3"/>
        <v>4.0350893895243905E-6</v>
      </c>
    </row>
    <row r="70" spans="1:10" hidden="1" x14ac:dyDescent="0.3">
      <c r="A70" t="s">
        <v>652</v>
      </c>
      <c r="B70" t="s">
        <v>772</v>
      </c>
      <c r="C70" t="s">
        <v>796</v>
      </c>
      <c r="D70" s="7">
        <v>6.9269461305052458</v>
      </c>
      <c r="E70" s="7">
        <v>5402</v>
      </c>
      <c r="F70" s="7">
        <v>2161899.6732230391</v>
      </c>
      <c r="G70" s="7">
        <v>24</v>
      </c>
      <c r="H70" s="7">
        <v>1155078.5647270209</v>
      </c>
      <c r="I70">
        <f t="shared" si="2"/>
        <v>1.2822928786570243E-3</v>
      </c>
      <c r="J70">
        <f t="shared" si="3"/>
        <v>1.1101347716205498E-5</v>
      </c>
    </row>
    <row r="71" spans="1:10" hidden="1" x14ac:dyDescent="0.3">
      <c r="A71" t="s">
        <v>460</v>
      </c>
      <c r="B71" t="s">
        <v>481</v>
      </c>
      <c r="C71" t="s">
        <v>482</v>
      </c>
      <c r="D71" s="7">
        <v>11.251790366598501</v>
      </c>
      <c r="E71" s="7">
        <v>7242</v>
      </c>
      <c r="F71" s="7">
        <v>817035.22187500005</v>
      </c>
      <c r="G71" s="7">
        <v>11</v>
      </c>
      <c r="H71" s="7">
        <v>1154014.34042138</v>
      </c>
      <c r="I71">
        <f t="shared" si="2"/>
        <v>1.553685496630558E-3</v>
      </c>
      <c r="J71">
        <f t="shared" si="3"/>
        <v>1.3463311868925663E-5</v>
      </c>
    </row>
    <row r="72" spans="1:10" hidden="1" x14ac:dyDescent="0.3">
      <c r="A72" t="s">
        <v>652</v>
      </c>
      <c r="B72" t="s">
        <v>772</v>
      </c>
      <c r="C72" t="s">
        <v>25</v>
      </c>
      <c r="D72" s="7">
        <v>5.1461571910546704</v>
      </c>
      <c r="E72" s="7">
        <v>12043</v>
      </c>
      <c r="F72" s="7">
        <v>3204864.0896446081</v>
      </c>
      <c r="G72" s="7">
        <v>12</v>
      </c>
      <c r="H72" s="7">
        <v>1141239.3355253041</v>
      </c>
      <c r="I72">
        <f t="shared" si="2"/>
        <v>4.2731521971723578E-4</v>
      </c>
      <c r="J72">
        <f t="shared" si="3"/>
        <v>3.7443085461170669E-6</v>
      </c>
    </row>
    <row r="73" spans="1:10" hidden="1" x14ac:dyDescent="0.3">
      <c r="A73" t="s">
        <v>124</v>
      </c>
      <c r="B73" t="s">
        <v>124</v>
      </c>
      <c r="C73" t="s">
        <v>124</v>
      </c>
      <c r="D73" s="7">
        <v>4.2850521600282372</v>
      </c>
      <c r="E73" s="7">
        <v>18106</v>
      </c>
      <c r="F73" s="7">
        <v>10981029.82696078</v>
      </c>
      <c r="G73" s="7">
        <v>23</v>
      </c>
      <c r="H73" s="7">
        <v>1129922.9556225131</v>
      </c>
      <c r="I73">
        <f t="shared" si="2"/>
        <v>2.3666476085431554E-4</v>
      </c>
      <c r="J73">
        <f t="shared" si="3"/>
        <v>2.0945212209086325E-6</v>
      </c>
    </row>
    <row r="74" spans="1:10" hidden="1" x14ac:dyDescent="0.3">
      <c r="A74" t="s">
        <v>156</v>
      </c>
      <c r="B74" t="s">
        <v>157</v>
      </c>
      <c r="C74" t="s">
        <v>159</v>
      </c>
      <c r="D74" s="7">
        <v>1.6818590420920601</v>
      </c>
      <c r="E74" s="7">
        <v>11101</v>
      </c>
      <c r="F74" s="7">
        <v>1489862.375</v>
      </c>
      <c r="G74" s="7">
        <v>2</v>
      </c>
      <c r="H74" s="7">
        <v>1128609.362609901</v>
      </c>
      <c r="I74">
        <f t="shared" si="2"/>
        <v>1.5150518350527521E-4</v>
      </c>
      <c r="J74">
        <f t="shared" si="3"/>
        <v>1.3424058715490415E-6</v>
      </c>
    </row>
    <row r="75" spans="1:10" hidden="1" x14ac:dyDescent="0.3">
      <c r="A75" t="s">
        <v>959</v>
      </c>
      <c r="B75" t="s">
        <v>971</v>
      </c>
      <c r="C75" t="s">
        <v>976</v>
      </c>
      <c r="D75" s="7">
        <v>0.50291289718250587</v>
      </c>
      <c r="E75" s="7">
        <v>443</v>
      </c>
      <c r="F75" s="7">
        <v>496629.59375</v>
      </c>
      <c r="G75" s="7">
        <v>5</v>
      </c>
      <c r="H75" s="7">
        <v>1127591.0962500379</v>
      </c>
      <c r="I75">
        <f t="shared" si="2"/>
        <v>1.1352435602313903E-3</v>
      </c>
      <c r="J75">
        <f t="shared" si="3"/>
        <v>1.0067865594246013E-5</v>
      </c>
    </row>
    <row r="76" spans="1:10" hidden="1" x14ac:dyDescent="0.3">
      <c r="A76" t="s">
        <v>499</v>
      </c>
      <c r="B76" t="s">
        <v>499</v>
      </c>
      <c r="C76" t="s">
        <v>502</v>
      </c>
      <c r="D76" s="7">
        <v>0.75207390119943873</v>
      </c>
      <c r="E76" s="7">
        <v>1716</v>
      </c>
      <c r="F76" s="7">
        <v>495559.765625</v>
      </c>
      <c r="G76" s="7">
        <v>2</v>
      </c>
      <c r="H76" s="7">
        <v>1085948.6194961341</v>
      </c>
      <c r="I76">
        <f t="shared" si="2"/>
        <v>4.382715041954771E-4</v>
      </c>
      <c r="J76">
        <f t="shared" si="3"/>
        <v>4.0358401523529658E-6</v>
      </c>
    </row>
    <row r="77" spans="1:10" hidden="1" x14ac:dyDescent="0.3">
      <c r="A77" t="s">
        <v>97</v>
      </c>
      <c r="B77" t="s">
        <v>109</v>
      </c>
      <c r="C77" t="s">
        <v>110</v>
      </c>
      <c r="D77" s="7">
        <v>7.8459288258120568</v>
      </c>
      <c r="E77" s="7">
        <v>6301</v>
      </c>
      <c r="F77" s="7">
        <v>1127218.9616421571</v>
      </c>
      <c r="G77" s="7">
        <v>13</v>
      </c>
      <c r="H77" s="7">
        <v>1079691.836967286</v>
      </c>
      <c r="I77">
        <f t="shared" si="2"/>
        <v>1.2451878790369873E-3</v>
      </c>
      <c r="J77">
        <f t="shared" si="3"/>
        <v>1.1532808125460663E-5</v>
      </c>
    </row>
    <row r="78" spans="1:10" hidden="1" x14ac:dyDescent="0.3">
      <c r="A78" t="s">
        <v>20</v>
      </c>
      <c r="B78" t="s">
        <v>69</v>
      </c>
      <c r="C78" t="s">
        <v>69</v>
      </c>
      <c r="D78" s="7">
        <v>1.513541682245368</v>
      </c>
      <c r="E78" s="7">
        <v>3121</v>
      </c>
      <c r="F78" s="7">
        <v>1058946.872794118</v>
      </c>
      <c r="G78" s="7">
        <v>5</v>
      </c>
      <c r="H78" s="7">
        <v>1027081.2119559631</v>
      </c>
      <c r="I78">
        <f t="shared" si="2"/>
        <v>4.8495407954032941E-4</v>
      </c>
      <c r="J78">
        <f t="shared" si="3"/>
        <v>4.7216721900382886E-6</v>
      </c>
    </row>
    <row r="79" spans="1:10" hidden="1" x14ac:dyDescent="0.3">
      <c r="A79" t="s">
        <v>232</v>
      </c>
      <c r="B79" t="s">
        <v>244</v>
      </c>
      <c r="C79" t="s">
        <v>244</v>
      </c>
      <c r="D79" s="7">
        <v>3.392128393306304</v>
      </c>
      <c r="E79" s="7">
        <v>10784</v>
      </c>
      <c r="F79" s="7">
        <v>3722206.15625</v>
      </c>
      <c r="G79" s="7">
        <v>12</v>
      </c>
      <c r="H79" s="7">
        <v>975689.38460954104</v>
      </c>
      <c r="I79">
        <f t="shared" si="2"/>
        <v>3.1455196525466471E-4</v>
      </c>
      <c r="J79">
        <f t="shared" si="3"/>
        <v>3.2238945120894659E-6</v>
      </c>
    </row>
    <row r="80" spans="1:10" hidden="1" x14ac:dyDescent="0.3">
      <c r="A80" t="s">
        <v>124</v>
      </c>
      <c r="B80" t="s">
        <v>133</v>
      </c>
      <c r="C80" t="s">
        <v>133</v>
      </c>
      <c r="D80" s="7">
        <v>4.940534233041614</v>
      </c>
      <c r="E80" s="7">
        <v>12940</v>
      </c>
      <c r="F80" s="7">
        <v>7335642.8530024504</v>
      </c>
      <c r="G80" s="7">
        <v>30</v>
      </c>
      <c r="H80" s="7">
        <v>933590.79434893501</v>
      </c>
      <c r="I80">
        <f t="shared" si="2"/>
        <v>3.8180326375901192E-4</v>
      </c>
      <c r="J80">
        <f t="shared" si="3"/>
        <v>4.0896211281225498E-6</v>
      </c>
    </row>
    <row r="81" spans="1:10" hidden="1" x14ac:dyDescent="0.3">
      <c r="A81" t="s">
        <v>20</v>
      </c>
      <c r="B81" t="s">
        <v>46</v>
      </c>
      <c r="C81" t="s">
        <v>50</v>
      </c>
      <c r="D81" s="7">
        <v>2.289243369595058</v>
      </c>
      <c r="E81" s="7">
        <v>1442</v>
      </c>
      <c r="F81" s="7">
        <v>578704.2323529413</v>
      </c>
      <c r="G81" s="7">
        <v>10</v>
      </c>
      <c r="H81" s="7">
        <v>918720.40698375076</v>
      </c>
      <c r="I81">
        <f t="shared" si="2"/>
        <v>1.5875474130340207E-3</v>
      </c>
      <c r="J81">
        <f t="shared" si="3"/>
        <v>1.7279984214632769E-5</v>
      </c>
    </row>
    <row r="82" spans="1:10" hidden="1" x14ac:dyDescent="0.3">
      <c r="A82" t="s">
        <v>460</v>
      </c>
      <c r="B82" t="s">
        <v>461</v>
      </c>
      <c r="C82" t="s">
        <v>101</v>
      </c>
      <c r="D82" s="7">
        <v>1.8011395138739821</v>
      </c>
      <c r="E82" s="7">
        <v>2487</v>
      </c>
      <c r="F82" s="7">
        <v>993268.703125</v>
      </c>
      <c r="G82" s="7">
        <v>8</v>
      </c>
      <c r="H82" s="7">
        <v>899183.50879212038</v>
      </c>
      <c r="I82">
        <f t="shared" si="2"/>
        <v>7.2422175869480581E-4</v>
      </c>
      <c r="J82">
        <f t="shared" si="3"/>
        <v>8.0542153143762387E-6</v>
      </c>
    </row>
    <row r="83" spans="1:10" hidden="1" x14ac:dyDescent="0.3">
      <c r="A83" t="s">
        <v>406</v>
      </c>
      <c r="B83" t="s">
        <v>454</v>
      </c>
      <c r="C83" t="s">
        <v>454</v>
      </c>
      <c r="D83" s="7">
        <v>8.252692561950397</v>
      </c>
      <c r="E83" s="7">
        <v>23331</v>
      </c>
      <c r="F83" s="7">
        <v>3971155.265625</v>
      </c>
      <c r="G83" s="7">
        <v>16</v>
      </c>
      <c r="H83" s="7">
        <v>877928.6015112293</v>
      </c>
      <c r="I83">
        <f t="shared" si="2"/>
        <v>3.5372219630321874E-4</v>
      </c>
      <c r="J83">
        <f t="shared" si="3"/>
        <v>4.0290542499052458E-6</v>
      </c>
    </row>
    <row r="84" spans="1:10" hidden="1" x14ac:dyDescent="0.3">
      <c r="A84" t="s">
        <v>922</v>
      </c>
      <c r="B84" t="s">
        <v>935</v>
      </c>
      <c r="C84" t="s">
        <v>941</v>
      </c>
      <c r="D84" s="7">
        <v>5.9200283946735563</v>
      </c>
      <c r="E84" s="7">
        <v>2801</v>
      </c>
      <c r="F84" s="7">
        <v>248325.625</v>
      </c>
      <c r="G84" s="7">
        <v>6</v>
      </c>
      <c r="H84" s="7">
        <v>874743.99091101834</v>
      </c>
      <c r="I84">
        <f t="shared" si="2"/>
        <v>2.1135410191622838E-3</v>
      </c>
      <c r="J84">
        <f t="shared" si="3"/>
        <v>2.4161823815000969E-5</v>
      </c>
    </row>
    <row r="85" spans="1:10" hidden="1" x14ac:dyDescent="0.3">
      <c r="A85" t="s">
        <v>959</v>
      </c>
      <c r="B85" t="s">
        <v>977</v>
      </c>
      <c r="C85" t="s">
        <v>977</v>
      </c>
      <c r="D85" s="7">
        <v>26.025714569778401</v>
      </c>
      <c r="E85" s="7">
        <v>27236</v>
      </c>
      <c r="F85" s="7">
        <v>5711429.796875</v>
      </c>
      <c r="G85" s="7">
        <v>64</v>
      </c>
      <c r="H85" s="7">
        <v>852754.86533675657</v>
      </c>
      <c r="I85">
        <f t="shared" si="2"/>
        <v>9.5556302576657365E-4</v>
      </c>
      <c r="J85">
        <f t="shared" si="3"/>
        <v>1.1205600397122539E-5</v>
      </c>
    </row>
    <row r="86" spans="1:10" hidden="1" x14ac:dyDescent="0.3">
      <c r="A86" t="s">
        <v>756</v>
      </c>
      <c r="B86" t="s">
        <v>769</v>
      </c>
      <c r="C86" t="s">
        <v>769</v>
      </c>
      <c r="D86" s="7">
        <v>0.75816464102605263</v>
      </c>
      <c r="E86" s="7">
        <v>3822</v>
      </c>
      <c r="F86" s="7">
        <v>1241338.640625</v>
      </c>
      <c r="G86" s="7">
        <v>3</v>
      </c>
      <c r="H86" s="7">
        <v>820808.53380535613</v>
      </c>
      <c r="I86">
        <f t="shared" si="2"/>
        <v>1.9836856123130628E-4</v>
      </c>
      <c r="J86">
        <f t="shared" si="3"/>
        <v>2.4167458434142788E-6</v>
      </c>
    </row>
    <row r="87" spans="1:10" hidden="1" x14ac:dyDescent="0.3">
      <c r="A87" t="s">
        <v>940</v>
      </c>
      <c r="B87" t="s">
        <v>101</v>
      </c>
      <c r="C87" t="s">
        <v>101</v>
      </c>
      <c r="D87" s="7">
        <v>27.94598435340972</v>
      </c>
      <c r="E87" s="7">
        <v>36598</v>
      </c>
      <c r="F87" s="7">
        <v>13991572.75116422</v>
      </c>
      <c r="G87" s="7">
        <v>132</v>
      </c>
      <c r="H87" s="7">
        <v>809384.08868101123</v>
      </c>
      <c r="I87">
        <f t="shared" si="2"/>
        <v>7.6359321147083771E-4</v>
      </c>
      <c r="J87">
        <f t="shared" si="3"/>
        <v>9.434250341085955E-6</v>
      </c>
    </row>
    <row r="88" spans="1:10" hidden="1" x14ac:dyDescent="0.3">
      <c r="A88" t="s">
        <v>499</v>
      </c>
      <c r="B88" t="s">
        <v>557</v>
      </c>
      <c r="C88" t="s">
        <v>561</v>
      </c>
      <c r="D88" s="7">
        <v>0.67432476881311454</v>
      </c>
      <c r="E88" s="7">
        <v>2243</v>
      </c>
      <c r="F88" s="7">
        <v>495756.34375</v>
      </c>
      <c r="G88" s="7">
        <v>2</v>
      </c>
      <c r="H88" s="7">
        <v>745209.05458505056</v>
      </c>
      <c r="I88">
        <f t="shared" si="2"/>
        <v>3.0063520678248528E-4</v>
      </c>
      <c r="J88">
        <f t="shared" si="3"/>
        <v>4.0342398543437702E-6</v>
      </c>
    </row>
    <row r="89" spans="1:10" hidden="1" x14ac:dyDescent="0.3">
      <c r="A89" t="s">
        <v>674</v>
      </c>
      <c r="B89" t="s">
        <v>121</v>
      </c>
      <c r="C89" t="s">
        <v>704</v>
      </c>
      <c r="D89" s="7">
        <v>0.97951838026564297</v>
      </c>
      <c r="E89" s="7">
        <v>694</v>
      </c>
      <c r="F89" s="7">
        <v>52529.12205882353</v>
      </c>
      <c r="G89" s="7">
        <v>1</v>
      </c>
      <c r="H89" s="7">
        <v>741401.16074690316</v>
      </c>
      <c r="I89">
        <f t="shared" si="2"/>
        <v>1.4114097698352205E-3</v>
      </c>
      <c r="J89">
        <f t="shared" si="3"/>
        <v>1.9037059078965245E-5</v>
      </c>
    </row>
    <row r="90" spans="1:10" hidden="1" x14ac:dyDescent="0.3">
      <c r="A90" t="s">
        <v>406</v>
      </c>
      <c r="B90" t="s">
        <v>446</v>
      </c>
      <c r="C90" t="s">
        <v>449</v>
      </c>
      <c r="D90" s="7">
        <v>4.9497679313269778</v>
      </c>
      <c r="E90" s="7">
        <v>19058</v>
      </c>
      <c r="F90" s="7">
        <v>1401251.1904411761</v>
      </c>
      <c r="G90" s="7">
        <v>5</v>
      </c>
      <c r="H90" s="7">
        <v>727869.47278617765</v>
      </c>
      <c r="I90">
        <f t="shared" si="2"/>
        <v>2.5972126830344096E-4</v>
      </c>
      <c r="J90">
        <f t="shared" si="3"/>
        <v>3.5682396090780685E-6</v>
      </c>
    </row>
    <row r="91" spans="1:10" hidden="1" x14ac:dyDescent="0.3">
      <c r="A91" t="s">
        <v>20</v>
      </c>
      <c r="B91" t="s">
        <v>43</v>
      </c>
      <c r="C91" t="s">
        <v>44</v>
      </c>
      <c r="D91" s="7">
        <v>2.314787993473375</v>
      </c>
      <c r="E91" s="7">
        <v>2808</v>
      </c>
      <c r="F91" s="7">
        <v>437553.3703431373</v>
      </c>
      <c r="G91" s="7">
        <v>5</v>
      </c>
      <c r="H91" s="7">
        <v>721398.35340035835</v>
      </c>
      <c r="I91">
        <f t="shared" si="2"/>
        <v>8.2435469853040422E-4</v>
      </c>
      <c r="J91">
        <f t="shared" si="3"/>
        <v>1.1427177434558233E-5</v>
      </c>
    </row>
    <row r="92" spans="1:10" hidden="1" x14ac:dyDescent="0.3">
      <c r="A92" t="s">
        <v>156</v>
      </c>
      <c r="B92" t="s">
        <v>172</v>
      </c>
      <c r="C92" t="s">
        <v>173</v>
      </c>
      <c r="D92" s="7">
        <v>1.9377961798011041</v>
      </c>
      <c r="E92" s="7">
        <v>7413</v>
      </c>
      <c r="F92" s="7">
        <v>2731433.3125</v>
      </c>
      <c r="G92" s="7">
        <v>10</v>
      </c>
      <c r="H92" s="7">
        <v>714010.66212653113</v>
      </c>
      <c r="I92">
        <f t="shared" si="2"/>
        <v>2.6140512340497827E-4</v>
      </c>
      <c r="J92">
        <f t="shared" si="3"/>
        <v>3.6610815113942125E-6</v>
      </c>
    </row>
    <row r="93" spans="1:10" hidden="1" x14ac:dyDescent="0.3">
      <c r="A93" t="s">
        <v>20</v>
      </c>
      <c r="B93" t="s">
        <v>21</v>
      </c>
      <c r="C93" t="s">
        <v>30</v>
      </c>
      <c r="D93" s="7">
        <v>3.6546354223391928</v>
      </c>
      <c r="E93" s="7">
        <v>2631</v>
      </c>
      <c r="F93" s="7">
        <v>1228527.481801471</v>
      </c>
      <c r="G93" s="7">
        <v>25</v>
      </c>
      <c r="H93" s="7">
        <v>682602.82057146681</v>
      </c>
      <c r="I93">
        <f t="shared" si="2"/>
        <v>1.3890670552410462E-3</v>
      </c>
      <c r="J93">
        <f t="shared" si="3"/>
        <v>2.0349565126000152E-5</v>
      </c>
    </row>
    <row r="94" spans="1:10" hidden="1" x14ac:dyDescent="0.3">
      <c r="A94" t="s">
        <v>652</v>
      </c>
      <c r="B94" t="s">
        <v>772</v>
      </c>
      <c r="C94" t="s">
        <v>799</v>
      </c>
      <c r="D94" s="7">
        <v>20.46628784731033</v>
      </c>
      <c r="E94" s="7">
        <v>4033</v>
      </c>
      <c r="F94" s="7">
        <v>2742297.7333333329</v>
      </c>
      <c r="G94" s="7">
        <v>205</v>
      </c>
      <c r="H94" s="7">
        <v>678846.52559586661</v>
      </c>
      <c r="I94">
        <f t="shared" si="2"/>
        <v>5.0747056402951473E-3</v>
      </c>
      <c r="J94">
        <f t="shared" si="3"/>
        <v>7.4754829684673689E-5</v>
      </c>
    </row>
    <row r="95" spans="1:10" hidden="1" x14ac:dyDescent="0.3">
      <c r="A95" t="s">
        <v>97</v>
      </c>
      <c r="B95" t="s">
        <v>98</v>
      </c>
      <c r="C95" t="s">
        <v>100</v>
      </c>
      <c r="D95" s="7">
        <v>1.04434447909058</v>
      </c>
      <c r="E95" s="7">
        <v>2648</v>
      </c>
      <c r="F95" s="7">
        <v>337792.17126225488</v>
      </c>
      <c r="G95" s="7">
        <v>2</v>
      </c>
      <c r="H95" s="7">
        <v>666109.11846252973</v>
      </c>
      <c r="I95">
        <f t="shared" si="2"/>
        <v>3.9438990902212237E-4</v>
      </c>
      <c r="J95">
        <f t="shared" si="3"/>
        <v>5.9208003327206811E-6</v>
      </c>
    </row>
    <row r="96" spans="1:10" hidden="1" x14ac:dyDescent="0.3">
      <c r="A96" t="s">
        <v>156</v>
      </c>
      <c r="B96" t="s">
        <v>157</v>
      </c>
      <c r="C96" t="s">
        <v>164</v>
      </c>
      <c r="D96" s="7">
        <v>3.477368556894048</v>
      </c>
      <c r="E96" s="7">
        <v>1833</v>
      </c>
      <c r="F96" s="7">
        <v>67187.868933823527</v>
      </c>
      <c r="G96" s="7">
        <v>2</v>
      </c>
      <c r="H96" s="7">
        <v>637307.64548607846</v>
      </c>
      <c r="I96">
        <f t="shared" si="2"/>
        <v>1.8970914112897152E-3</v>
      </c>
      <c r="J96">
        <f t="shared" si="3"/>
        <v>2.976727840512241E-5</v>
      </c>
    </row>
    <row r="97" spans="1:10" hidden="1" x14ac:dyDescent="0.3">
      <c r="A97" t="s">
        <v>232</v>
      </c>
      <c r="B97" t="s">
        <v>233</v>
      </c>
      <c r="C97" t="s">
        <v>237</v>
      </c>
      <c r="D97" s="7">
        <v>1.8049903721932219</v>
      </c>
      <c r="E97" s="7">
        <v>2857</v>
      </c>
      <c r="F97" s="7">
        <v>1982727.3794117649</v>
      </c>
      <c r="G97" s="7">
        <v>20</v>
      </c>
      <c r="H97" s="7">
        <v>626321.98644069524</v>
      </c>
      <c r="I97">
        <f t="shared" si="2"/>
        <v>6.3177821917858657E-4</v>
      </c>
      <c r="J97">
        <f t="shared" si="3"/>
        <v>1.008711545907718E-5</v>
      </c>
    </row>
    <row r="98" spans="1:10" hidden="1" x14ac:dyDescent="0.3">
      <c r="A98" t="s">
        <v>232</v>
      </c>
      <c r="B98" t="s">
        <v>254</v>
      </c>
      <c r="C98" t="s">
        <v>255</v>
      </c>
      <c r="D98" s="7">
        <v>1.783463090798568</v>
      </c>
      <c r="E98" s="7">
        <v>15066</v>
      </c>
      <c r="F98" s="7">
        <v>34029732.617034309</v>
      </c>
      <c r="G98" s="7">
        <v>65</v>
      </c>
      <c r="H98" s="7">
        <v>619742.59016455628</v>
      </c>
      <c r="I98">
        <f t="shared" si="2"/>
        <v>1.1837668198583354E-4</v>
      </c>
      <c r="J98">
        <f t="shared" si="3"/>
        <v>1.9100943498880995E-6</v>
      </c>
    </row>
    <row r="99" spans="1:10" hidden="1" x14ac:dyDescent="0.3">
      <c r="A99" t="s">
        <v>406</v>
      </c>
      <c r="B99" t="s">
        <v>436</v>
      </c>
      <c r="C99" t="s">
        <v>436</v>
      </c>
      <c r="D99" s="7">
        <v>1.3483665033950101</v>
      </c>
      <c r="E99" s="7">
        <v>40268</v>
      </c>
      <c r="F99" s="7">
        <v>3698736.2879901961</v>
      </c>
      <c r="G99" s="7">
        <v>2</v>
      </c>
      <c r="H99" s="7">
        <v>619257.4892740614</v>
      </c>
      <c r="I99">
        <f t="shared" si="2"/>
        <v>3.3484814328871811E-5</v>
      </c>
      <c r="J99">
        <f t="shared" si="3"/>
        <v>5.4072522188024159E-7</v>
      </c>
    </row>
    <row r="100" spans="1:10" hidden="1" x14ac:dyDescent="0.3">
      <c r="A100" t="s">
        <v>460</v>
      </c>
      <c r="B100" t="s">
        <v>481</v>
      </c>
      <c r="C100" t="s">
        <v>486</v>
      </c>
      <c r="D100" s="7">
        <v>1.630928719253526</v>
      </c>
      <c r="E100" s="7">
        <v>8862</v>
      </c>
      <c r="F100" s="7">
        <v>1665232.7466299019</v>
      </c>
      <c r="G100" s="7">
        <v>5</v>
      </c>
      <c r="H100" s="7">
        <v>612926.18161140557</v>
      </c>
      <c r="I100">
        <f t="shared" si="2"/>
        <v>1.8403619039195735E-4</v>
      </c>
      <c r="J100">
        <f t="shared" si="3"/>
        <v>3.0025832785951393E-6</v>
      </c>
    </row>
    <row r="101" spans="1:10" hidden="1" x14ac:dyDescent="0.3">
      <c r="A101" t="s">
        <v>406</v>
      </c>
      <c r="B101" t="s">
        <v>439</v>
      </c>
      <c r="C101" t="s">
        <v>440</v>
      </c>
      <c r="D101" s="7">
        <v>5.6376269247302968</v>
      </c>
      <c r="E101" s="7">
        <v>17488</v>
      </c>
      <c r="F101" s="7">
        <v>1489090.03125</v>
      </c>
      <c r="G101" s="7">
        <v>8</v>
      </c>
      <c r="H101" s="7">
        <v>600049.60926939035</v>
      </c>
      <c r="I101">
        <f t="shared" si="2"/>
        <v>3.2237116449738659E-4</v>
      </c>
      <c r="J101">
        <f t="shared" si="3"/>
        <v>5.3724085395189231E-6</v>
      </c>
    </row>
    <row r="102" spans="1:10" hidden="1" x14ac:dyDescent="0.3">
      <c r="A102" t="s">
        <v>232</v>
      </c>
      <c r="B102" t="s">
        <v>233</v>
      </c>
      <c r="C102" t="s">
        <v>243</v>
      </c>
      <c r="D102" s="7">
        <v>7.2104669413260796</v>
      </c>
      <c r="E102" s="7">
        <v>20440</v>
      </c>
      <c r="F102" s="7">
        <v>14405479.776899509</v>
      </c>
      <c r="G102" s="7">
        <v>85</v>
      </c>
      <c r="H102" s="7">
        <v>597848.71477653552</v>
      </c>
      <c r="I102">
        <f t="shared" si="2"/>
        <v>3.5276257051497452E-4</v>
      </c>
      <c r="J102">
        <f t="shared" si="3"/>
        <v>5.9005323888139561E-6</v>
      </c>
    </row>
    <row r="103" spans="1:10" hidden="1" x14ac:dyDescent="0.3">
      <c r="A103" t="s">
        <v>156</v>
      </c>
      <c r="B103" t="s">
        <v>188</v>
      </c>
      <c r="C103" t="s">
        <v>189</v>
      </c>
      <c r="D103" s="7">
        <v>3.510164948065047</v>
      </c>
      <c r="E103" s="7">
        <v>6766</v>
      </c>
      <c r="F103" s="7">
        <v>1986492.921875</v>
      </c>
      <c r="G103" s="7">
        <v>18</v>
      </c>
      <c r="H103" s="7">
        <v>572545.55653635354</v>
      </c>
      <c r="I103">
        <f t="shared" si="2"/>
        <v>5.1879470116243675E-4</v>
      </c>
      <c r="J103">
        <f t="shared" si="3"/>
        <v>9.0611951352991784E-6</v>
      </c>
    </row>
    <row r="104" spans="1:10" hidden="1" x14ac:dyDescent="0.3">
      <c r="A104" t="s">
        <v>830</v>
      </c>
      <c r="B104" t="s">
        <v>857</v>
      </c>
      <c r="C104" t="s">
        <v>425</v>
      </c>
      <c r="D104" s="7">
        <v>7.6194333908433736</v>
      </c>
      <c r="E104" s="7">
        <v>2801</v>
      </c>
      <c r="F104" s="7">
        <v>6121937.6761642164</v>
      </c>
      <c r="G104" s="7">
        <v>296</v>
      </c>
      <c r="H104" s="7">
        <v>562609.11096456531</v>
      </c>
      <c r="I104">
        <f t="shared" si="2"/>
        <v>2.7202546914828181E-3</v>
      </c>
      <c r="J104">
        <f t="shared" si="3"/>
        <v>4.835070457389283E-5</v>
      </c>
    </row>
    <row r="105" spans="1:10" hidden="1" x14ac:dyDescent="0.3">
      <c r="A105" t="s">
        <v>940</v>
      </c>
      <c r="B105" t="s">
        <v>175</v>
      </c>
      <c r="C105" t="s">
        <v>175</v>
      </c>
      <c r="D105" s="7">
        <v>47.165561070140363</v>
      </c>
      <c r="E105" s="7">
        <v>117479</v>
      </c>
      <c r="F105" s="7">
        <v>17913957.325980391</v>
      </c>
      <c r="G105" s="7">
        <v>132</v>
      </c>
      <c r="H105" s="7">
        <v>544856.79082452157</v>
      </c>
      <c r="I105">
        <f t="shared" si="2"/>
        <v>4.014807843967038E-4</v>
      </c>
      <c r="J105">
        <f t="shared" si="3"/>
        <v>7.3685561262648557E-6</v>
      </c>
    </row>
    <row r="106" spans="1:10" hidden="1" x14ac:dyDescent="0.3">
      <c r="A106" t="s">
        <v>287</v>
      </c>
      <c r="B106" t="s">
        <v>330</v>
      </c>
      <c r="C106" t="s">
        <v>330</v>
      </c>
      <c r="D106" s="7">
        <v>5.3935477050384089</v>
      </c>
      <c r="E106" s="7">
        <v>64424</v>
      </c>
      <c r="F106" s="7">
        <v>9358460.5775735285</v>
      </c>
      <c r="G106" s="7">
        <v>15</v>
      </c>
      <c r="H106" s="7">
        <v>522324.0155931965</v>
      </c>
      <c r="I106">
        <f t="shared" si="2"/>
        <v>8.3719540932547008E-5</v>
      </c>
      <c r="J106">
        <f t="shared" si="3"/>
        <v>1.6028277167663419E-6</v>
      </c>
    </row>
    <row r="107" spans="1:10" hidden="1" x14ac:dyDescent="0.3">
      <c r="A107" t="s">
        <v>874</v>
      </c>
      <c r="B107" t="s">
        <v>892</v>
      </c>
      <c r="C107" t="s">
        <v>893</v>
      </c>
      <c r="D107" s="7">
        <v>0.65366090933568088</v>
      </c>
      <c r="E107" s="7">
        <v>3121</v>
      </c>
      <c r="F107" s="7">
        <v>991357.21875</v>
      </c>
      <c r="G107" s="7">
        <v>4</v>
      </c>
      <c r="H107" s="7">
        <v>519073.58305400232</v>
      </c>
      <c r="I107">
        <f t="shared" si="2"/>
        <v>2.0943957364167923E-4</v>
      </c>
      <c r="J107">
        <f t="shared" si="3"/>
        <v>4.0348725205668958E-6</v>
      </c>
    </row>
    <row r="108" spans="1:10" hidden="1" x14ac:dyDescent="0.3">
      <c r="A108" t="s">
        <v>940</v>
      </c>
      <c r="B108" t="s">
        <v>940</v>
      </c>
      <c r="C108" t="s">
        <v>1007</v>
      </c>
      <c r="D108" s="7">
        <v>4.0301949292020716</v>
      </c>
      <c r="E108" s="7">
        <v>8296</v>
      </c>
      <c r="F108" s="7">
        <v>1985058.609375</v>
      </c>
      <c r="G108" s="7">
        <v>19</v>
      </c>
      <c r="H108" s="7">
        <v>507547.9077851114</v>
      </c>
      <c r="I108">
        <f t="shared" si="2"/>
        <v>4.8579977449398162E-4</v>
      </c>
      <c r="J108">
        <f t="shared" si="3"/>
        <v>9.5715058035400739E-6</v>
      </c>
    </row>
    <row r="109" spans="1:10" hidden="1" x14ac:dyDescent="0.3">
      <c r="A109" t="s">
        <v>460</v>
      </c>
      <c r="B109" t="s">
        <v>468</v>
      </c>
      <c r="C109" t="s">
        <v>471</v>
      </c>
      <c r="D109" s="7">
        <v>12.250827865651081</v>
      </c>
      <c r="E109" s="7">
        <v>8352</v>
      </c>
      <c r="F109" s="7">
        <v>931938.80686274497</v>
      </c>
      <c r="G109" s="7">
        <v>27</v>
      </c>
      <c r="H109" s="7">
        <v>506289.10813979967</v>
      </c>
      <c r="I109">
        <f t="shared" si="2"/>
        <v>1.4668136812321696E-3</v>
      </c>
      <c r="J109">
        <f t="shared" si="3"/>
        <v>2.8971859312192516E-5</v>
      </c>
    </row>
    <row r="110" spans="1:10" hidden="1" x14ac:dyDescent="0.3">
      <c r="A110" t="s">
        <v>674</v>
      </c>
      <c r="B110" t="s">
        <v>698</v>
      </c>
      <c r="C110" t="s">
        <v>698</v>
      </c>
      <c r="D110" s="7">
        <v>1.701509381623592</v>
      </c>
      <c r="E110" s="7">
        <v>7038</v>
      </c>
      <c r="F110" s="7">
        <v>2233977.9375</v>
      </c>
      <c r="G110" s="7">
        <v>11</v>
      </c>
      <c r="H110" s="7">
        <v>490988.45475165627</v>
      </c>
      <c r="I110">
        <f t="shared" si="2"/>
        <v>2.4176035544523899E-4</v>
      </c>
      <c r="J110">
        <f t="shared" si="3"/>
        <v>4.9239519403266264E-6</v>
      </c>
    </row>
    <row r="111" spans="1:10" hidden="1" x14ac:dyDescent="0.3">
      <c r="A111" t="s">
        <v>156</v>
      </c>
      <c r="B111" t="s">
        <v>172</v>
      </c>
      <c r="C111" t="s">
        <v>176</v>
      </c>
      <c r="D111" s="7">
        <v>1.8306409724817241</v>
      </c>
      <c r="E111" s="7">
        <v>3125</v>
      </c>
      <c r="F111" s="7">
        <v>248312.96875</v>
      </c>
      <c r="G111" s="7">
        <v>3</v>
      </c>
      <c r="H111" s="7">
        <v>484876.68756514561</v>
      </c>
      <c r="I111">
        <f t="shared" si="2"/>
        <v>5.8580511119415166E-4</v>
      </c>
      <c r="J111">
        <f t="shared" si="3"/>
        <v>1.208152765883276E-5</v>
      </c>
    </row>
    <row r="112" spans="1:10" hidden="1" x14ac:dyDescent="0.3">
      <c r="A112" t="s">
        <v>499</v>
      </c>
      <c r="B112" t="s">
        <v>518</v>
      </c>
      <c r="C112" t="s">
        <v>518</v>
      </c>
      <c r="D112" s="7">
        <v>7.3970698246191766</v>
      </c>
      <c r="E112" s="7">
        <v>29459</v>
      </c>
      <c r="F112" s="7">
        <v>6936724.421875</v>
      </c>
      <c r="G112" s="7">
        <v>36</v>
      </c>
      <c r="H112" s="7">
        <v>483830.96377593023</v>
      </c>
      <c r="I112">
        <f t="shared" si="2"/>
        <v>2.5109711207505945E-4</v>
      </c>
      <c r="J112">
        <f t="shared" si="3"/>
        <v>5.1897693796907654E-6</v>
      </c>
    </row>
    <row r="113" spans="1:10" hidden="1" x14ac:dyDescent="0.3">
      <c r="A113" t="s">
        <v>652</v>
      </c>
      <c r="B113" t="s">
        <v>772</v>
      </c>
      <c r="C113" t="s">
        <v>789</v>
      </c>
      <c r="D113" s="7">
        <v>20.597490019697421</v>
      </c>
      <c r="E113" s="7">
        <v>23111</v>
      </c>
      <c r="F113" s="7">
        <v>4290670.4570465675</v>
      </c>
      <c r="G113" s="7">
        <v>80</v>
      </c>
      <c r="H113" s="7">
        <v>478003.12576709827</v>
      </c>
      <c r="I113">
        <f t="shared" si="2"/>
        <v>8.9124183374572369E-4</v>
      </c>
      <c r="J113">
        <f t="shared" si="3"/>
        <v>1.864510472218066E-5</v>
      </c>
    </row>
    <row r="114" spans="1:10" hidden="1" x14ac:dyDescent="0.3">
      <c r="A114" t="s">
        <v>586</v>
      </c>
      <c r="B114" t="s">
        <v>597</v>
      </c>
      <c r="C114" t="s">
        <v>466</v>
      </c>
      <c r="D114" s="7">
        <v>4.138718510443363</v>
      </c>
      <c r="E114" s="7">
        <v>7203</v>
      </c>
      <c r="F114" s="7">
        <v>744876.390625</v>
      </c>
      <c r="G114" s="7">
        <v>9</v>
      </c>
      <c r="H114" s="7">
        <v>475547.79734862462</v>
      </c>
      <c r="I114">
        <f t="shared" si="2"/>
        <v>5.7458260592022255E-4</v>
      </c>
      <c r="J114">
        <f t="shared" si="3"/>
        <v>1.2082541631435534E-5</v>
      </c>
    </row>
    <row r="115" spans="1:10" hidden="1" x14ac:dyDescent="0.3">
      <c r="A115" t="s">
        <v>20</v>
      </c>
      <c r="B115" t="s">
        <v>21</v>
      </c>
      <c r="C115" t="s">
        <v>25</v>
      </c>
      <c r="D115" s="7">
        <v>1.252252192760732</v>
      </c>
      <c r="E115" s="7">
        <v>3349</v>
      </c>
      <c r="F115" s="7">
        <v>991172.77892156865</v>
      </c>
      <c r="G115" s="7">
        <v>8</v>
      </c>
      <c r="H115" s="7">
        <v>463271.97887775529</v>
      </c>
      <c r="I115">
        <f t="shared" si="2"/>
        <v>3.7391824209039471E-4</v>
      </c>
      <c r="J115">
        <f t="shared" si="3"/>
        <v>8.0712466788124317E-6</v>
      </c>
    </row>
    <row r="116" spans="1:10" hidden="1" x14ac:dyDescent="0.3">
      <c r="A116" t="s">
        <v>287</v>
      </c>
      <c r="B116" t="s">
        <v>301</v>
      </c>
      <c r="C116" t="s">
        <v>301</v>
      </c>
      <c r="D116" s="7">
        <v>1.8178741490300621</v>
      </c>
      <c r="E116" s="7">
        <v>6597</v>
      </c>
      <c r="F116" s="7">
        <v>991220.21875</v>
      </c>
      <c r="G116" s="7">
        <v>6</v>
      </c>
      <c r="H116" s="7">
        <v>455235.61509311001</v>
      </c>
      <c r="I116">
        <f t="shared" si="2"/>
        <v>2.7556073200395062E-4</v>
      </c>
      <c r="J116">
        <f t="shared" si="3"/>
        <v>6.0531452915341371E-6</v>
      </c>
    </row>
    <row r="117" spans="1:10" hidden="1" x14ac:dyDescent="0.3">
      <c r="A117" t="s">
        <v>730</v>
      </c>
      <c r="B117" t="s">
        <v>748</v>
      </c>
      <c r="C117" t="s">
        <v>749</v>
      </c>
      <c r="D117" s="7">
        <v>0.83308951827834321</v>
      </c>
      <c r="E117" s="7">
        <v>2362</v>
      </c>
      <c r="F117" s="7">
        <v>2454944.06317402</v>
      </c>
      <c r="G117" s="7">
        <v>20</v>
      </c>
      <c r="H117" s="7">
        <v>432935.6831054028</v>
      </c>
      <c r="I117">
        <f t="shared" si="2"/>
        <v>3.5270513051581E-4</v>
      </c>
      <c r="J117">
        <f t="shared" si="3"/>
        <v>8.1468251354541307E-6</v>
      </c>
    </row>
    <row r="118" spans="1:10" hidden="1" x14ac:dyDescent="0.3">
      <c r="A118" t="s">
        <v>97</v>
      </c>
      <c r="B118" t="s">
        <v>109</v>
      </c>
      <c r="C118" t="s">
        <v>113</v>
      </c>
      <c r="D118" s="7">
        <v>2.594486943992083</v>
      </c>
      <c r="E118" s="7">
        <v>1233</v>
      </c>
      <c r="F118" s="7">
        <v>141145.16035539209</v>
      </c>
      <c r="G118" s="7">
        <v>7</v>
      </c>
      <c r="H118" s="7">
        <v>424283.71654470381</v>
      </c>
      <c r="I118">
        <f t="shared" si="2"/>
        <v>2.1042067672279669E-3</v>
      </c>
      <c r="J118">
        <f t="shared" si="3"/>
        <v>4.9594332404841702E-5</v>
      </c>
    </row>
    <row r="119" spans="1:10" hidden="1" x14ac:dyDescent="0.3">
      <c r="A119" t="s">
        <v>287</v>
      </c>
      <c r="B119" t="s">
        <v>290</v>
      </c>
      <c r="C119" t="s">
        <v>290</v>
      </c>
      <c r="D119" s="7">
        <v>2.13268852940076</v>
      </c>
      <c r="E119" s="7">
        <v>25063</v>
      </c>
      <c r="F119" s="7">
        <v>4461500.9375</v>
      </c>
      <c r="G119" s="7">
        <v>9</v>
      </c>
      <c r="H119" s="7">
        <v>421825.52737399482</v>
      </c>
      <c r="I119">
        <f t="shared" si="2"/>
        <v>8.5093106547530625E-5</v>
      </c>
      <c r="J119">
        <f t="shared" si="3"/>
        <v>2.0172583455833915E-6</v>
      </c>
    </row>
    <row r="120" spans="1:10" hidden="1" x14ac:dyDescent="0.3">
      <c r="A120" t="s">
        <v>20</v>
      </c>
      <c r="B120" t="s">
        <v>21</v>
      </c>
      <c r="C120" t="s">
        <v>38</v>
      </c>
      <c r="D120" s="7">
        <v>8.8457011833304868</v>
      </c>
      <c r="E120" s="7">
        <v>27971</v>
      </c>
      <c r="F120" s="7">
        <v>5027592.009681372</v>
      </c>
      <c r="G120" s="7">
        <v>38</v>
      </c>
      <c r="H120" s="7">
        <v>418408.69574824133</v>
      </c>
      <c r="I120">
        <f t="shared" si="2"/>
        <v>3.1624543932396007E-4</v>
      </c>
      <c r="J120">
        <f t="shared" si="3"/>
        <v>7.5582903160847941E-6</v>
      </c>
    </row>
    <row r="121" spans="1:10" hidden="1" x14ac:dyDescent="0.3">
      <c r="A121" t="s">
        <v>922</v>
      </c>
      <c r="B121" t="s">
        <v>922</v>
      </c>
      <c r="C121" t="s">
        <v>951</v>
      </c>
      <c r="D121" s="7">
        <v>0.7252912147539925</v>
      </c>
      <c r="E121" s="7">
        <v>629</v>
      </c>
      <c r="F121" s="7">
        <v>552126.33566176472</v>
      </c>
      <c r="G121" s="7">
        <v>16</v>
      </c>
      <c r="H121" s="7">
        <v>397905.78367427661</v>
      </c>
      <c r="I121">
        <f t="shared" si="2"/>
        <v>1.1530861919777306E-3</v>
      </c>
      <c r="J121">
        <f t="shared" si="3"/>
        <v>2.8978874881638824E-5</v>
      </c>
    </row>
    <row r="122" spans="1:10" hidden="1" x14ac:dyDescent="0.3">
      <c r="A122" t="s">
        <v>406</v>
      </c>
      <c r="B122" t="s">
        <v>407</v>
      </c>
      <c r="C122" t="s">
        <v>410</v>
      </c>
      <c r="D122" s="7">
        <v>8.302824638953167</v>
      </c>
      <c r="E122" s="7">
        <v>35200</v>
      </c>
      <c r="F122" s="7">
        <v>4673154.3247549012</v>
      </c>
      <c r="G122" s="7">
        <v>28</v>
      </c>
      <c r="H122" s="7">
        <v>393672.69550736138</v>
      </c>
      <c r="I122">
        <f t="shared" si="2"/>
        <v>2.3587569997026044E-4</v>
      </c>
      <c r="J122">
        <f t="shared" si="3"/>
        <v>5.9916703053602989E-6</v>
      </c>
    </row>
    <row r="123" spans="1:10" hidden="1" x14ac:dyDescent="0.3">
      <c r="A123" t="s">
        <v>674</v>
      </c>
      <c r="B123" t="s">
        <v>698</v>
      </c>
      <c r="C123" t="s">
        <v>700</v>
      </c>
      <c r="D123" s="7">
        <v>0.64456444435579485</v>
      </c>
      <c r="E123" s="7">
        <v>2636</v>
      </c>
      <c r="F123" s="7">
        <v>954871.5431985294</v>
      </c>
      <c r="G123" s="7">
        <v>6</v>
      </c>
      <c r="H123" s="7">
        <v>389147.85386502312</v>
      </c>
      <c r="I123">
        <f t="shared" si="2"/>
        <v>2.4452368905758531E-4</v>
      </c>
      <c r="J123">
        <f t="shared" si="3"/>
        <v>6.2835677141469982E-6</v>
      </c>
    </row>
    <row r="124" spans="1:10" hidden="1" x14ac:dyDescent="0.3">
      <c r="A124" t="s">
        <v>406</v>
      </c>
      <c r="B124" t="s">
        <v>435</v>
      </c>
      <c r="C124" t="s">
        <v>435</v>
      </c>
      <c r="D124" s="7">
        <v>1.9116473402348779</v>
      </c>
      <c r="E124" s="7">
        <v>18892</v>
      </c>
      <c r="F124" s="7">
        <v>2234049.65625</v>
      </c>
      <c r="G124" s="7">
        <v>6</v>
      </c>
      <c r="H124" s="7">
        <v>376765.74593504798</v>
      </c>
      <c r="I124">
        <f t="shared" si="2"/>
        <v>1.0118819289831029E-4</v>
      </c>
      <c r="J124">
        <f t="shared" si="3"/>
        <v>2.6857057466087823E-6</v>
      </c>
    </row>
    <row r="125" spans="1:10" hidden="1" x14ac:dyDescent="0.3">
      <c r="A125" t="s">
        <v>124</v>
      </c>
      <c r="B125" t="s">
        <v>125</v>
      </c>
      <c r="C125" t="s">
        <v>125</v>
      </c>
      <c r="D125" s="7">
        <v>16.28929995304031</v>
      </c>
      <c r="E125" s="7">
        <v>43166</v>
      </c>
      <c r="F125" s="7">
        <v>14311956.00520833</v>
      </c>
      <c r="G125" s="7">
        <v>145</v>
      </c>
      <c r="H125" s="7">
        <v>372470.26200946001</v>
      </c>
      <c r="I125">
        <f t="shared" si="2"/>
        <v>3.7736412808785411E-4</v>
      </c>
      <c r="J125">
        <f t="shared" si="3"/>
        <v>1.0131389444408044E-5</v>
      </c>
    </row>
    <row r="126" spans="1:10" hidden="1" x14ac:dyDescent="0.3">
      <c r="A126" t="s">
        <v>191</v>
      </c>
      <c r="B126" t="s">
        <v>224</v>
      </c>
      <c r="C126" t="s">
        <v>225</v>
      </c>
      <c r="D126" s="7">
        <v>9.9184972171023364</v>
      </c>
      <c r="E126" s="7">
        <v>2227</v>
      </c>
      <c r="F126" s="7">
        <v>852984.04301470588</v>
      </c>
      <c r="G126" s="7">
        <v>103</v>
      </c>
      <c r="H126" s="7">
        <v>368832.63465038792</v>
      </c>
      <c r="I126">
        <f t="shared" si="2"/>
        <v>4.4537481890895092E-3</v>
      </c>
      <c r="J126">
        <f t="shared" si="3"/>
        <v>1.2075255198909298E-4</v>
      </c>
    </row>
    <row r="127" spans="1:10" hidden="1" x14ac:dyDescent="0.3">
      <c r="A127" t="s">
        <v>830</v>
      </c>
      <c r="B127" t="s">
        <v>857</v>
      </c>
      <c r="C127" t="s">
        <v>167</v>
      </c>
      <c r="D127" s="7">
        <v>10.66496326637197</v>
      </c>
      <c r="E127" s="7">
        <v>8205</v>
      </c>
      <c r="F127" s="7">
        <v>4326591.290808823</v>
      </c>
      <c r="G127" s="7">
        <v>154</v>
      </c>
      <c r="H127" s="7">
        <v>365179.11302959872</v>
      </c>
      <c r="I127">
        <f t="shared" si="2"/>
        <v>1.2998127076626412E-3</v>
      </c>
      <c r="J127">
        <f t="shared" si="3"/>
        <v>3.5593840427486016E-5</v>
      </c>
    </row>
    <row r="128" spans="1:10" hidden="1" x14ac:dyDescent="0.3">
      <c r="A128" t="s">
        <v>406</v>
      </c>
      <c r="B128" t="s">
        <v>442</v>
      </c>
      <c r="C128" t="s">
        <v>443</v>
      </c>
      <c r="D128" s="7">
        <v>3.0232377690873218</v>
      </c>
      <c r="E128" s="7">
        <v>32017</v>
      </c>
      <c r="F128" s="7">
        <v>2233833.328125</v>
      </c>
      <c r="G128" s="7">
        <v>6</v>
      </c>
      <c r="H128" s="7">
        <v>351553.30436088808</v>
      </c>
      <c r="I128">
        <f t="shared" si="2"/>
        <v>9.4426016462732985E-5</v>
      </c>
      <c r="J128">
        <f t="shared" si="3"/>
        <v>2.6859658348083588E-6</v>
      </c>
    </row>
    <row r="129" spans="1:10" hidden="1" x14ac:dyDescent="0.3">
      <c r="A129" t="s">
        <v>460</v>
      </c>
      <c r="B129" t="s">
        <v>473</v>
      </c>
      <c r="C129" t="s">
        <v>473</v>
      </c>
      <c r="D129" s="7">
        <v>7.4661543572232807</v>
      </c>
      <c r="E129" s="7">
        <v>22428</v>
      </c>
      <c r="F129" s="7">
        <v>5540038.8656249996</v>
      </c>
      <c r="G129" s="7">
        <v>54</v>
      </c>
      <c r="H129" s="7">
        <v>341527.33451383858</v>
      </c>
      <c r="I129">
        <f t="shared" si="2"/>
        <v>3.3289434444548247E-4</v>
      </c>
      <c r="J129">
        <f t="shared" si="3"/>
        <v>9.7472240375533881E-6</v>
      </c>
    </row>
    <row r="130" spans="1:10" hidden="1" x14ac:dyDescent="0.3">
      <c r="A130" t="s">
        <v>348</v>
      </c>
      <c r="B130" t="s">
        <v>102</v>
      </c>
      <c r="C130" t="s">
        <v>178</v>
      </c>
      <c r="D130" s="7">
        <v>0.92601184524596925</v>
      </c>
      <c r="E130" s="7">
        <v>2073</v>
      </c>
      <c r="F130" s="7">
        <v>75945.425367647069</v>
      </c>
      <c r="G130" s="7">
        <v>1</v>
      </c>
      <c r="H130" s="7">
        <v>339249.22085231502</v>
      </c>
      <c r="I130">
        <f t="shared" si="2"/>
        <v>4.4670132428652643E-4</v>
      </c>
      <c r="J130">
        <f t="shared" si="3"/>
        <v>1.3167350043258857E-5</v>
      </c>
    </row>
    <row r="131" spans="1:10" hidden="1" x14ac:dyDescent="0.3">
      <c r="A131" t="s">
        <v>191</v>
      </c>
      <c r="B131" t="s">
        <v>211</v>
      </c>
      <c r="C131" t="s">
        <v>214</v>
      </c>
      <c r="D131" s="7">
        <v>3.6138756181169271</v>
      </c>
      <c r="E131" s="7">
        <v>3730</v>
      </c>
      <c r="F131" s="7">
        <v>7627040.3794730389</v>
      </c>
      <c r="G131" s="7">
        <v>233</v>
      </c>
      <c r="H131" s="7">
        <v>317149.83794280101</v>
      </c>
      <c r="I131">
        <f t="shared" ref="I131:I194" si="4">D131/E131</f>
        <v>9.6886745794019498E-4</v>
      </c>
      <c r="J131">
        <f t="shared" ref="J131:J194" si="5">G131/F131</f>
        <v>3.0549202365190342E-5</v>
      </c>
    </row>
    <row r="132" spans="1:10" hidden="1" x14ac:dyDescent="0.3">
      <c r="A132" t="s">
        <v>156</v>
      </c>
      <c r="B132" t="s">
        <v>97</v>
      </c>
      <c r="C132" t="s">
        <v>97</v>
      </c>
      <c r="D132" s="7">
        <v>1.817560973041862</v>
      </c>
      <c r="E132" s="7">
        <v>6158</v>
      </c>
      <c r="F132" s="7">
        <v>2234852.875</v>
      </c>
      <c r="G132" s="7">
        <v>21</v>
      </c>
      <c r="H132" s="7">
        <v>314107.96378620161</v>
      </c>
      <c r="I132">
        <f t="shared" si="4"/>
        <v>2.9515442887980873E-4</v>
      </c>
      <c r="J132">
        <f t="shared" si="5"/>
        <v>9.3965917107630638E-6</v>
      </c>
    </row>
    <row r="133" spans="1:10" hidden="1" x14ac:dyDescent="0.3">
      <c r="A133" t="s">
        <v>406</v>
      </c>
      <c r="B133" t="s">
        <v>442</v>
      </c>
      <c r="C133" t="s">
        <v>444</v>
      </c>
      <c r="D133" s="7">
        <v>1.804389975547088</v>
      </c>
      <c r="E133" s="7">
        <v>11037</v>
      </c>
      <c r="F133" s="7">
        <v>744636.03125</v>
      </c>
      <c r="G133" s="7">
        <v>4</v>
      </c>
      <c r="H133" s="7">
        <v>304343.07108332613</v>
      </c>
      <c r="I133">
        <f t="shared" si="4"/>
        <v>1.6348554639368379E-4</v>
      </c>
      <c r="J133">
        <f t="shared" si="5"/>
        <v>5.3717518789485787E-6</v>
      </c>
    </row>
    <row r="134" spans="1:10" hidden="1" x14ac:dyDescent="0.3">
      <c r="A134" t="s">
        <v>830</v>
      </c>
      <c r="B134" t="s">
        <v>857</v>
      </c>
      <c r="C134" t="s">
        <v>859</v>
      </c>
      <c r="D134" s="7">
        <v>9.8972878462424241</v>
      </c>
      <c r="E134" s="7">
        <v>2750</v>
      </c>
      <c r="F134" s="7">
        <v>1439907.361642157</v>
      </c>
      <c r="G134" s="7">
        <v>173</v>
      </c>
      <c r="H134" s="7">
        <v>299551.81566150108</v>
      </c>
      <c r="I134">
        <f t="shared" si="4"/>
        <v>3.5990137622699723E-3</v>
      </c>
      <c r="J134">
        <f t="shared" si="5"/>
        <v>1.201466181843118E-4</v>
      </c>
    </row>
    <row r="135" spans="1:10" hidden="1" x14ac:dyDescent="0.3">
      <c r="A135" t="s">
        <v>959</v>
      </c>
      <c r="B135" t="s">
        <v>984</v>
      </c>
      <c r="C135" t="s">
        <v>988</v>
      </c>
      <c r="D135" s="7">
        <v>0.51564568319505044</v>
      </c>
      <c r="E135" s="7">
        <v>5728</v>
      </c>
      <c r="F135" s="7">
        <v>993223.75</v>
      </c>
      <c r="G135" s="7">
        <v>3</v>
      </c>
      <c r="H135" s="7">
        <v>298039.76904928999</v>
      </c>
      <c r="I135">
        <f t="shared" si="4"/>
        <v>9.0021941898577238E-5</v>
      </c>
      <c r="J135">
        <f t="shared" si="5"/>
        <v>3.0204674425072901E-6</v>
      </c>
    </row>
    <row r="136" spans="1:10" hidden="1" x14ac:dyDescent="0.3">
      <c r="A136" t="s">
        <v>232</v>
      </c>
      <c r="B136" t="s">
        <v>261</v>
      </c>
      <c r="C136" t="s">
        <v>261</v>
      </c>
      <c r="D136" s="7">
        <v>1.7681200540719451</v>
      </c>
      <c r="E136" s="7">
        <v>7146</v>
      </c>
      <c r="F136" s="7">
        <v>1488800.40625</v>
      </c>
      <c r="G136" s="7">
        <v>13</v>
      </c>
      <c r="H136" s="7">
        <v>283362.16654837388</v>
      </c>
      <c r="I136">
        <f t="shared" si="4"/>
        <v>2.474279392767905E-4</v>
      </c>
      <c r="J136">
        <f t="shared" si="5"/>
        <v>8.7318622062607334E-6</v>
      </c>
    </row>
    <row r="137" spans="1:10" hidden="1" x14ac:dyDescent="0.3">
      <c r="A137" t="s">
        <v>156</v>
      </c>
      <c r="B137" t="s">
        <v>181</v>
      </c>
      <c r="C137" t="s">
        <v>182</v>
      </c>
      <c r="D137" s="7">
        <v>2.9095682783581438</v>
      </c>
      <c r="E137" s="7">
        <v>21554</v>
      </c>
      <c r="F137" s="7">
        <v>3724699.53125</v>
      </c>
      <c r="G137" s="7">
        <v>18</v>
      </c>
      <c r="H137" s="7">
        <v>279331.17860413762</v>
      </c>
      <c r="I137">
        <f t="shared" si="4"/>
        <v>1.3498971320210373E-4</v>
      </c>
      <c r="J137">
        <f t="shared" si="5"/>
        <v>4.8326045762835652E-6</v>
      </c>
    </row>
    <row r="138" spans="1:10" hidden="1" x14ac:dyDescent="0.3">
      <c r="A138" t="s">
        <v>156</v>
      </c>
      <c r="B138" t="s">
        <v>177</v>
      </c>
      <c r="C138" t="s">
        <v>177</v>
      </c>
      <c r="D138" s="7">
        <v>3.3159357355696901</v>
      </c>
      <c r="E138" s="7">
        <v>7025</v>
      </c>
      <c r="F138" s="7">
        <v>2101440.7673406862</v>
      </c>
      <c r="G138" s="7">
        <v>36</v>
      </c>
      <c r="H138" s="7">
        <v>275533.51271680387</v>
      </c>
      <c r="I138">
        <f t="shared" si="4"/>
        <v>4.7201932178927975E-4</v>
      </c>
      <c r="J138">
        <f t="shared" si="5"/>
        <v>1.7131103840512709E-5</v>
      </c>
    </row>
    <row r="139" spans="1:10" hidden="1" x14ac:dyDescent="0.3">
      <c r="A139" t="s">
        <v>652</v>
      </c>
      <c r="B139" t="s">
        <v>772</v>
      </c>
      <c r="C139" t="s">
        <v>797</v>
      </c>
      <c r="D139" s="7">
        <v>18.882092878835369</v>
      </c>
      <c r="E139" s="7">
        <v>18632</v>
      </c>
      <c r="F139" s="7">
        <v>1867797.3920955879</v>
      </c>
      <c r="G139" s="7">
        <v>72</v>
      </c>
      <c r="H139" s="7">
        <v>262898.38745464332</v>
      </c>
      <c r="I139">
        <f t="shared" si="4"/>
        <v>1.0134227607790558E-3</v>
      </c>
      <c r="J139">
        <f t="shared" si="5"/>
        <v>3.8548078236269037E-5</v>
      </c>
    </row>
    <row r="140" spans="1:10" hidden="1" x14ac:dyDescent="0.3">
      <c r="A140" t="s">
        <v>922</v>
      </c>
      <c r="B140" t="s">
        <v>935</v>
      </c>
      <c r="C140" t="s">
        <v>936</v>
      </c>
      <c r="D140" s="7">
        <v>0.54351599534291506</v>
      </c>
      <c r="E140" s="7">
        <v>3235</v>
      </c>
      <c r="F140" s="7">
        <v>1241629.46875</v>
      </c>
      <c r="G140" s="7">
        <v>8</v>
      </c>
      <c r="H140" s="7">
        <v>260759.4577104912</v>
      </c>
      <c r="I140">
        <f t="shared" si="4"/>
        <v>1.6801112684479601E-4</v>
      </c>
      <c r="J140">
        <f t="shared" si="5"/>
        <v>6.4431460442493622E-6</v>
      </c>
    </row>
    <row r="141" spans="1:10" hidden="1" x14ac:dyDescent="0.3">
      <c r="A141" t="s">
        <v>348</v>
      </c>
      <c r="B141" t="s">
        <v>400</v>
      </c>
      <c r="C141" t="s">
        <v>405</v>
      </c>
      <c r="D141" s="7">
        <v>1.293401308282895</v>
      </c>
      <c r="E141" s="7">
        <v>6464</v>
      </c>
      <c r="F141" s="7">
        <v>248284.515625</v>
      </c>
      <c r="G141" s="7">
        <v>2</v>
      </c>
      <c r="H141" s="7">
        <v>248399.9979391706</v>
      </c>
      <c r="I141">
        <f t="shared" si="4"/>
        <v>2.0009302417742805E-4</v>
      </c>
      <c r="J141">
        <f t="shared" si="5"/>
        <v>8.0552747921691912E-6</v>
      </c>
    </row>
    <row r="142" spans="1:10" hidden="1" x14ac:dyDescent="0.3">
      <c r="A142" t="s">
        <v>191</v>
      </c>
      <c r="B142" t="s">
        <v>192</v>
      </c>
      <c r="C142" t="s">
        <v>198</v>
      </c>
      <c r="D142" s="7">
        <v>9.1064468513855896</v>
      </c>
      <c r="E142" s="7">
        <v>3385</v>
      </c>
      <c r="F142" s="7">
        <v>6443013.4837622549</v>
      </c>
      <c r="G142" s="7">
        <v>700</v>
      </c>
      <c r="H142" s="7">
        <v>247617.4714186186</v>
      </c>
      <c r="I142">
        <f t="shared" si="4"/>
        <v>2.6902354066131728E-3</v>
      </c>
      <c r="J142">
        <f t="shared" si="5"/>
        <v>1.0864481376054027E-4</v>
      </c>
    </row>
    <row r="143" spans="1:10" hidden="1" x14ac:dyDescent="0.3">
      <c r="A143" t="s">
        <v>406</v>
      </c>
      <c r="B143" t="s">
        <v>423</v>
      </c>
      <c r="C143" t="s">
        <v>425</v>
      </c>
      <c r="D143" s="7">
        <v>1.5178901316596469</v>
      </c>
      <c r="E143" s="7">
        <v>10571</v>
      </c>
      <c r="F143" s="7">
        <v>170392.29932598039</v>
      </c>
      <c r="G143" s="7">
        <v>1</v>
      </c>
      <c r="H143" s="7">
        <v>244666.34155491661</v>
      </c>
      <c r="I143">
        <f t="shared" si="4"/>
        <v>1.4359002286062312E-4</v>
      </c>
      <c r="J143">
        <f t="shared" si="5"/>
        <v>5.8688098227190597E-6</v>
      </c>
    </row>
    <row r="144" spans="1:10" hidden="1" x14ac:dyDescent="0.3">
      <c r="A144" t="s">
        <v>287</v>
      </c>
      <c r="B144" t="s">
        <v>336</v>
      </c>
      <c r="C144" t="s">
        <v>341</v>
      </c>
      <c r="D144" s="7">
        <v>1.5158755142226441</v>
      </c>
      <c r="E144" s="7">
        <v>2422</v>
      </c>
      <c r="F144" s="7">
        <v>506386.50821078429</v>
      </c>
      <c r="G144" s="7">
        <v>13</v>
      </c>
      <c r="H144" s="7">
        <v>243796.8965665476</v>
      </c>
      <c r="I144">
        <f t="shared" si="4"/>
        <v>6.2587758638424612E-4</v>
      </c>
      <c r="J144">
        <f t="shared" si="5"/>
        <v>2.5672089973196378E-5</v>
      </c>
    </row>
    <row r="145" spans="1:10" hidden="1" x14ac:dyDescent="0.3">
      <c r="A145" t="s">
        <v>652</v>
      </c>
      <c r="B145" t="s">
        <v>772</v>
      </c>
      <c r="C145" t="s">
        <v>795</v>
      </c>
      <c r="D145" s="7">
        <v>16.183488412157629</v>
      </c>
      <c r="E145" s="7">
        <v>38625</v>
      </c>
      <c r="F145" s="7">
        <v>18210596.126286771</v>
      </c>
      <c r="G145" s="7">
        <v>315</v>
      </c>
      <c r="H145" s="7">
        <v>242224.0479895162</v>
      </c>
      <c r="I145">
        <f t="shared" si="4"/>
        <v>4.1898999125327194E-4</v>
      </c>
      <c r="J145">
        <f t="shared" si="5"/>
        <v>1.7297621550417089E-5</v>
      </c>
    </row>
    <row r="146" spans="1:10" hidden="1" x14ac:dyDescent="0.3">
      <c r="A146" t="s">
        <v>124</v>
      </c>
      <c r="B146" t="s">
        <v>152</v>
      </c>
      <c r="C146" t="s">
        <v>152</v>
      </c>
      <c r="D146" s="7">
        <v>4.4082035689426071</v>
      </c>
      <c r="E146" s="7">
        <v>9714</v>
      </c>
      <c r="F146" s="7">
        <v>1481752.5919730391</v>
      </c>
      <c r="G146" s="7">
        <v>28</v>
      </c>
      <c r="H146" s="7">
        <v>240149.23469166411</v>
      </c>
      <c r="I146">
        <f t="shared" si="4"/>
        <v>4.5379900853846069E-4</v>
      </c>
      <c r="J146">
        <f t="shared" si="5"/>
        <v>1.8896541940727354E-5</v>
      </c>
    </row>
    <row r="147" spans="1:10" hidden="1" x14ac:dyDescent="0.3">
      <c r="A147" t="s">
        <v>756</v>
      </c>
      <c r="B147" t="s">
        <v>766</v>
      </c>
      <c r="C147" t="s">
        <v>768</v>
      </c>
      <c r="D147" s="7">
        <v>5.1647824438831744</v>
      </c>
      <c r="E147" s="7">
        <v>9945</v>
      </c>
      <c r="F147" s="7">
        <v>5461355.96875</v>
      </c>
      <c r="G147" s="7">
        <v>123</v>
      </c>
      <c r="H147" s="7">
        <v>230591.1409271039</v>
      </c>
      <c r="I147">
        <f t="shared" si="4"/>
        <v>5.193345846036374E-4</v>
      </c>
      <c r="J147">
        <f t="shared" si="5"/>
        <v>2.2521879310524479E-5</v>
      </c>
    </row>
    <row r="148" spans="1:10" hidden="1" x14ac:dyDescent="0.3">
      <c r="A148" t="s">
        <v>287</v>
      </c>
      <c r="B148" t="s">
        <v>310</v>
      </c>
      <c r="C148" t="s">
        <v>310</v>
      </c>
      <c r="D148" s="7">
        <v>1.6036495929100569</v>
      </c>
      <c r="E148" s="7">
        <v>6938</v>
      </c>
      <c r="F148" s="7">
        <v>1486804.125</v>
      </c>
      <c r="G148" s="7">
        <v>15</v>
      </c>
      <c r="H148" s="7">
        <v>229106.6426245069</v>
      </c>
      <c r="I148">
        <f t="shared" si="4"/>
        <v>2.3114003933555159E-4</v>
      </c>
      <c r="J148">
        <f t="shared" si="5"/>
        <v>1.0088753284835015E-5</v>
      </c>
    </row>
    <row r="149" spans="1:10" hidden="1" x14ac:dyDescent="0.3">
      <c r="A149" t="s">
        <v>830</v>
      </c>
      <c r="B149" t="s">
        <v>872</v>
      </c>
      <c r="C149" t="s">
        <v>873</v>
      </c>
      <c r="D149" s="7">
        <v>5.1701432897421844</v>
      </c>
      <c r="E149" s="7">
        <v>1293</v>
      </c>
      <c r="F149" s="7">
        <v>744767.65625</v>
      </c>
      <c r="G149" s="7">
        <v>131</v>
      </c>
      <c r="H149" s="7">
        <v>227328.33285382541</v>
      </c>
      <c r="I149">
        <f t="shared" si="4"/>
        <v>3.9985640291896243E-3</v>
      </c>
      <c r="J149">
        <f t="shared" si="5"/>
        <v>1.758937823100451E-4</v>
      </c>
    </row>
    <row r="150" spans="1:10" hidden="1" x14ac:dyDescent="0.3">
      <c r="A150" t="s">
        <v>460</v>
      </c>
      <c r="B150" t="s">
        <v>481</v>
      </c>
      <c r="C150" t="s">
        <v>483</v>
      </c>
      <c r="D150" s="7">
        <v>5.7744348028492869</v>
      </c>
      <c r="E150" s="7">
        <v>9229</v>
      </c>
      <c r="F150" s="7">
        <v>1337058.510110294</v>
      </c>
      <c r="G150" s="7">
        <v>37</v>
      </c>
      <c r="H150" s="7">
        <v>226101.54226620251</v>
      </c>
      <c r="I150">
        <f t="shared" si="4"/>
        <v>6.2568369301650088E-4</v>
      </c>
      <c r="J150">
        <f t="shared" si="5"/>
        <v>2.7672685765223445E-5</v>
      </c>
    </row>
    <row r="151" spans="1:10" hidden="1" x14ac:dyDescent="0.3">
      <c r="A151" t="s">
        <v>20</v>
      </c>
      <c r="B151" t="s">
        <v>76</v>
      </c>
      <c r="C151" t="s">
        <v>76</v>
      </c>
      <c r="D151" s="7">
        <v>1.8850651658675519</v>
      </c>
      <c r="E151" s="7">
        <v>11140</v>
      </c>
      <c r="F151" s="7">
        <v>1735887.140625</v>
      </c>
      <c r="G151" s="7">
        <v>13</v>
      </c>
      <c r="H151" s="7">
        <v>225953.62385510409</v>
      </c>
      <c r="I151">
        <f t="shared" si="4"/>
        <v>1.6921590357877486E-4</v>
      </c>
      <c r="J151">
        <f t="shared" si="5"/>
        <v>7.4889661290534106E-6</v>
      </c>
    </row>
    <row r="152" spans="1:10" hidden="1" x14ac:dyDescent="0.3">
      <c r="A152" t="s">
        <v>406</v>
      </c>
      <c r="B152" t="s">
        <v>416</v>
      </c>
      <c r="C152" t="s">
        <v>416</v>
      </c>
      <c r="D152" s="7">
        <v>0.95885753906347859</v>
      </c>
      <c r="E152" s="7">
        <v>21331</v>
      </c>
      <c r="F152" s="7">
        <v>1489432.71875</v>
      </c>
      <c r="G152" s="7">
        <v>3</v>
      </c>
      <c r="H152" s="7">
        <v>223173.43948576419</v>
      </c>
      <c r="I152">
        <f t="shared" si="4"/>
        <v>4.4951363699005141E-5</v>
      </c>
      <c r="J152">
        <f t="shared" si="5"/>
        <v>2.0141896725068166E-6</v>
      </c>
    </row>
    <row r="153" spans="1:10" hidden="1" x14ac:dyDescent="0.3">
      <c r="A153" t="s">
        <v>922</v>
      </c>
      <c r="B153" t="s">
        <v>923</v>
      </c>
      <c r="C153" t="s">
        <v>924</v>
      </c>
      <c r="D153" s="7">
        <v>9.1473590497282693</v>
      </c>
      <c r="E153" s="7">
        <v>68944</v>
      </c>
      <c r="F153" s="7">
        <v>19704434.839644611</v>
      </c>
      <c r="G153" s="7">
        <v>119</v>
      </c>
      <c r="H153" s="7">
        <v>219693.02616348729</v>
      </c>
      <c r="I153">
        <f t="shared" si="4"/>
        <v>1.3267810178881802E-4</v>
      </c>
      <c r="J153">
        <f t="shared" si="5"/>
        <v>6.0392495886548492E-6</v>
      </c>
    </row>
    <row r="154" spans="1:10" hidden="1" x14ac:dyDescent="0.3">
      <c r="A154" t="s">
        <v>922</v>
      </c>
      <c r="B154" t="s">
        <v>923</v>
      </c>
      <c r="C154" t="s">
        <v>929</v>
      </c>
      <c r="D154" s="7">
        <v>1.3534565905597979</v>
      </c>
      <c r="E154" s="7">
        <v>9088</v>
      </c>
      <c r="F154" s="7">
        <v>1738283.34375</v>
      </c>
      <c r="G154" s="7">
        <v>12</v>
      </c>
      <c r="H154" s="7">
        <v>215732.3804154527</v>
      </c>
      <c r="I154">
        <f t="shared" si="4"/>
        <v>1.4892788188378058E-4</v>
      </c>
      <c r="J154">
        <f t="shared" si="5"/>
        <v>6.90336247145554E-6</v>
      </c>
    </row>
    <row r="155" spans="1:10" hidden="1" x14ac:dyDescent="0.3">
      <c r="A155" t="s">
        <v>20</v>
      </c>
      <c r="B155" t="s">
        <v>95</v>
      </c>
      <c r="C155" t="s">
        <v>95</v>
      </c>
      <c r="D155" s="7">
        <v>3.104288539987714</v>
      </c>
      <c r="E155" s="7">
        <v>3755</v>
      </c>
      <c r="F155" s="7">
        <v>2902601.3778799018</v>
      </c>
      <c r="G155" s="7">
        <v>112</v>
      </c>
      <c r="H155" s="7">
        <v>214250.33749061069</v>
      </c>
      <c r="I155">
        <f t="shared" si="4"/>
        <v>8.2670799999672809E-4</v>
      </c>
      <c r="J155">
        <f t="shared" si="5"/>
        <v>3.8586076907951537E-5</v>
      </c>
    </row>
    <row r="156" spans="1:10" hidden="1" x14ac:dyDescent="0.3">
      <c r="A156" t="s">
        <v>232</v>
      </c>
      <c r="B156" t="s">
        <v>266</v>
      </c>
      <c r="C156" t="s">
        <v>268</v>
      </c>
      <c r="D156" s="7">
        <v>0.78775994027479324</v>
      </c>
      <c r="E156" s="7">
        <v>10442</v>
      </c>
      <c r="F156" s="7">
        <v>3967734.6639705878</v>
      </c>
      <c r="G156" s="7">
        <v>14</v>
      </c>
      <c r="H156" s="7">
        <v>213808.41258623809</v>
      </c>
      <c r="I156">
        <f t="shared" si="4"/>
        <v>7.5441480585595975E-5</v>
      </c>
      <c r="J156">
        <f t="shared" si="5"/>
        <v>3.5284617510158637E-6</v>
      </c>
    </row>
    <row r="157" spans="1:10" hidden="1" x14ac:dyDescent="0.3">
      <c r="A157" t="s">
        <v>460</v>
      </c>
      <c r="B157" t="s">
        <v>468</v>
      </c>
      <c r="C157" t="s">
        <v>324</v>
      </c>
      <c r="D157" s="7">
        <v>10.978722373292779</v>
      </c>
      <c r="E157" s="7">
        <v>12809</v>
      </c>
      <c r="F157" s="7">
        <v>1375027.440073529</v>
      </c>
      <c r="G157" s="7">
        <v>57</v>
      </c>
      <c r="H157" s="7">
        <v>206763.12461532341</v>
      </c>
      <c r="I157">
        <f t="shared" si="4"/>
        <v>8.5711002992370827E-4</v>
      </c>
      <c r="J157">
        <f t="shared" si="5"/>
        <v>4.1453718186854474E-5</v>
      </c>
    </row>
    <row r="158" spans="1:10" hidden="1" x14ac:dyDescent="0.3">
      <c r="A158" t="s">
        <v>20</v>
      </c>
      <c r="B158" t="s">
        <v>21</v>
      </c>
      <c r="C158" t="s">
        <v>41</v>
      </c>
      <c r="D158" s="7">
        <v>11.128568658698359</v>
      </c>
      <c r="E158" s="7">
        <v>36409</v>
      </c>
      <c r="F158" s="7">
        <v>4724842.6190563729</v>
      </c>
      <c r="G158" s="7">
        <v>72</v>
      </c>
      <c r="H158" s="7">
        <v>200578.97577107401</v>
      </c>
      <c r="I158">
        <f t="shared" si="4"/>
        <v>3.0565433433212555E-4</v>
      </c>
      <c r="J158">
        <f t="shared" si="5"/>
        <v>1.5238602807553315E-5</v>
      </c>
    </row>
    <row r="159" spans="1:10" hidden="1" x14ac:dyDescent="0.3">
      <c r="A159" t="s">
        <v>287</v>
      </c>
      <c r="B159" t="s">
        <v>336</v>
      </c>
      <c r="C159" t="s">
        <v>336</v>
      </c>
      <c r="D159" s="7">
        <v>10.028362483574419</v>
      </c>
      <c r="E159" s="7">
        <v>12149</v>
      </c>
      <c r="F159" s="7">
        <v>1239120.78125</v>
      </c>
      <c r="G159" s="7">
        <v>53</v>
      </c>
      <c r="H159" s="7">
        <v>192986.6477915711</v>
      </c>
      <c r="I159">
        <f t="shared" si="4"/>
        <v>8.2544756634903439E-4</v>
      </c>
      <c r="J159">
        <f t="shared" si="5"/>
        <v>4.2772263044878214E-5</v>
      </c>
    </row>
    <row r="160" spans="1:10" hidden="1" x14ac:dyDescent="0.3">
      <c r="A160" t="s">
        <v>652</v>
      </c>
      <c r="B160" t="s">
        <v>809</v>
      </c>
      <c r="C160" t="s">
        <v>812</v>
      </c>
      <c r="D160" s="7">
        <v>3.838609854703217</v>
      </c>
      <c r="E160" s="7">
        <v>13123</v>
      </c>
      <c r="F160" s="7">
        <v>3871791.2958333329</v>
      </c>
      <c r="G160" s="7">
        <v>59</v>
      </c>
      <c r="H160" s="7">
        <v>191955.59386017779</v>
      </c>
      <c r="I160">
        <f t="shared" si="4"/>
        <v>2.9251008570473346E-4</v>
      </c>
      <c r="J160">
        <f t="shared" si="5"/>
        <v>1.5238424670124509E-5</v>
      </c>
    </row>
    <row r="161" spans="1:12" hidden="1" x14ac:dyDescent="0.3">
      <c r="A161" t="s">
        <v>499</v>
      </c>
      <c r="B161" t="s">
        <v>499</v>
      </c>
      <c r="C161" t="s">
        <v>506</v>
      </c>
      <c r="D161" s="7">
        <v>0.73610117423772048</v>
      </c>
      <c r="E161" s="7">
        <v>4906</v>
      </c>
      <c r="F161" s="7">
        <v>495612.59375</v>
      </c>
      <c r="G161" s="7">
        <v>4</v>
      </c>
      <c r="H161" s="7">
        <v>185905.53007866759</v>
      </c>
      <c r="I161">
        <f t="shared" si="4"/>
        <v>1.5004100575575225E-4</v>
      </c>
      <c r="J161">
        <f t="shared" si="5"/>
        <v>8.0708199316212397E-6</v>
      </c>
    </row>
    <row r="162" spans="1:12" hidden="1" x14ac:dyDescent="0.3">
      <c r="A162" t="s">
        <v>20</v>
      </c>
      <c r="B162" t="s">
        <v>46</v>
      </c>
      <c r="C162" t="s">
        <v>53</v>
      </c>
      <c r="D162" s="7">
        <v>1.9050266378261851</v>
      </c>
      <c r="E162" s="7">
        <v>2794</v>
      </c>
      <c r="F162" s="7">
        <v>731412.09785539214</v>
      </c>
      <c r="G162" s="7">
        <v>27</v>
      </c>
      <c r="H162" s="7">
        <v>184702.60739187861</v>
      </c>
      <c r="I162">
        <f t="shared" si="4"/>
        <v>6.8182771575740341E-4</v>
      </c>
      <c r="J162">
        <f t="shared" si="5"/>
        <v>3.6914893914344557E-5</v>
      </c>
    </row>
    <row r="163" spans="1:12" hidden="1" x14ac:dyDescent="0.3">
      <c r="A163" t="s">
        <v>406</v>
      </c>
      <c r="B163" t="s">
        <v>429</v>
      </c>
      <c r="C163" t="s">
        <v>431</v>
      </c>
      <c r="D163" s="7">
        <v>1.437556904973502</v>
      </c>
      <c r="E163" s="7">
        <v>9875</v>
      </c>
      <c r="F163" s="7">
        <v>496173.71875</v>
      </c>
      <c r="G163" s="7">
        <v>4</v>
      </c>
      <c r="H163" s="7">
        <v>180576.69758365641</v>
      </c>
      <c r="I163">
        <f t="shared" si="4"/>
        <v>1.4557538278212677E-4</v>
      </c>
      <c r="J163">
        <f t="shared" si="5"/>
        <v>8.0616926065272381E-6</v>
      </c>
    </row>
    <row r="164" spans="1:12" hidden="1" x14ac:dyDescent="0.3">
      <c r="A164" t="s">
        <v>124</v>
      </c>
      <c r="B164" t="s">
        <v>124</v>
      </c>
      <c r="C164" t="s">
        <v>141</v>
      </c>
      <c r="D164" s="7">
        <v>0.82012366333892606</v>
      </c>
      <c r="E164" s="7">
        <v>3372</v>
      </c>
      <c r="F164" s="7">
        <v>496183.765625</v>
      </c>
      <c r="G164" s="7">
        <v>7</v>
      </c>
      <c r="H164" s="7">
        <v>172399.61343572201</v>
      </c>
      <c r="I164">
        <f t="shared" si="4"/>
        <v>2.4321579577073728E-4</v>
      </c>
      <c r="J164">
        <f t="shared" si="5"/>
        <v>1.4107676399252407E-5</v>
      </c>
    </row>
    <row r="165" spans="1:12" hidden="1" x14ac:dyDescent="0.3">
      <c r="A165" t="s">
        <v>191</v>
      </c>
      <c r="B165" t="s">
        <v>224</v>
      </c>
      <c r="C165" t="s">
        <v>1011</v>
      </c>
      <c r="D165" s="7">
        <v>1.2718281283910571</v>
      </c>
      <c r="E165" s="7">
        <v>4182</v>
      </c>
      <c r="F165" s="7">
        <v>3814125.3053308828</v>
      </c>
      <c r="G165" s="7">
        <v>68</v>
      </c>
      <c r="H165" s="7">
        <v>170580.91570765269</v>
      </c>
      <c r="I165">
        <f t="shared" si="4"/>
        <v>3.041195907200041E-4</v>
      </c>
      <c r="J165">
        <f t="shared" si="5"/>
        <v>1.782846512802255E-5</v>
      </c>
    </row>
    <row r="166" spans="1:12" x14ac:dyDescent="0.3">
      <c r="A166" t="s">
        <v>232</v>
      </c>
      <c r="B166" t="s">
        <v>254</v>
      </c>
      <c r="C166" t="s">
        <v>259</v>
      </c>
      <c r="D166" s="2">
        <v>1.5988315580280781</v>
      </c>
      <c r="E166" s="2">
        <v>3335</v>
      </c>
      <c r="F166" s="2">
        <v>603493.37665441202</v>
      </c>
      <c r="G166" s="2">
        <v>17</v>
      </c>
      <c r="H166" s="2">
        <v>170188.59787565019</v>
      </c>
      <c r="I166">
        <f>D166/E166</f>
        <v>4.7940976252715983E-4</v>
      </c>
      <c r="J166">
        <f>G166/F166</f>
        <v>2.8169323239706375E-5</v>
      </c>
      <c r="K166">
        <f>F166/G166</f>
        <v>35499.610391435999</v>
      </c>
      <c r="L166">
        <f>K166*I166</f>
        <v>17.018859787565027</v>
      </c>
    </row>
    <row r="167" spans="1:12" hidden="1" x14ac:dyDescent="0.3">
      <c r="A167" t="s">
        <v>874</v>
      </c>
      <c r="B167" t="s">
        <v>895</v>
      </c>
      <c r="C167" t="s">
        <v>896</v>
      </c>
      <c r="D167" s="7">
        <v>0.67661452825967716</v>
      </c>
      <c r="E167" s="7">
        <v>3000</v>
      </c>
      <c r="F167" s="7">
        <v>603502.99675245094</v>
      </c>
      <c r="G167" s="7">
        <v>8</v>
      </c>
      <c r="H167" s="7">
        <v>170141.2064379004</v>
      </c>
      <c r="I167">
        <f t="shared" si="4"/>
        <v>2.2553817608655905E-4</v>
      </c>
      <c r="J167">
        <f t="shared" si="5"/>
        <v>1.3255940804021386E-5</v>
      </c>
    </row>
    <row r="168" spans="1:12" hidden="1" x14ac:dyDescent="0.3">
      <c r="A168" t="s">
        <v>156</v>
      </c>
      <c r="B168" t="s">
        <v>97</v>
      </c>
      <c r="C168" t="s">
        <v>168</v>
      </c>
      <c r="D168" s="7">
        <v>1.8304713096813721</v>
      </c>
      <c r="E168" s="7">
        <v>2657</v>
      </c>
      <c r="F168" s="7">
        <v>217157.7006127451</v>
      </c>
      <c r="G168" s="7">
        <v>9</v>
      </c>
      <c r="H168" s="7">
        <v>166227.9683218362</v>
      </c>
      <c r="I168">
        <f t="shared" si="4"/>
        <v>6.8892409096024546E-4</v>
      </c>
      <c r="J168">
        <f t="shared" si="5"/>
        <v>4.1444535351981826E-5</v>
      </c>
    </row>
    <row r="169" spans="1:12" hidden="1" x14ac:dyDescent="0.3">
      <c r="A169" t="s">
        <v>612</v>
      </c>
      <c r="B169" t="s">
        <v>635</v>
      </c>
      <c r="C169" t="s">
        <v>639</v>
      </c>
      <c r="D169" s="7">
        <v>0.92518029033714677</v>
      </c>
      <c r="E169" s="7">
        <v>1003</v>
      </c>
      <c r="F169" s="7">
        <v>993078.515625</v>
      </c>
      <c r="G169" s="7">
        <v>56</v>
      </c>
      <c r="H169" s="7">
        <v>163576.53279688081</v>
      </c>
      <c r="I169">
        <f t="shared" si="4"/>
        <v>9.2241305118359596E-4</v>
      </c>
      <c r="J169">
        <f t="shared" si="5"/>
        <v>5.6390304612275352E-5</v>
      </c>
    </row>
    <row r="170" spans="1:12" hidden="1" x14ac:dyDescent="0.3">
      <c r="A170" t="s">
        <v>756</v>
      </c>
      <c r="B170" t="s">
        <v>766</v>
      </c>
      <c r="C170" t="s">
        <v>766</v>
      </c>
      <c r="D170" s="7">
        <v>0.79779016942915981</v>
      </c>
      <c r="E170" s="7">
        <v>2002</v>
      </c>
      <c r="F170" s="7">
        <v>859620.42941176472</v>
      </c>
      <c r="G170" s="7">
        <v>21</v>
      </c>
      <c r="H170" s="7">
        <v>163121.81343065959</v>
      </c>
      <c r="I170">
        <f t="shared" si="4"/>
        <v>3.9849658812645344E-4</v>
      </c>
      <c r="J170">
        <f t="shared" si="5"/>
        <v>2.4429386833407655E-5</v>
      </c>
    </row>
    <row r="171" spans="1:12" hidden="1" x14ac:dyDescent="0.3">
      <c r="A171" t="s">
        <v>756</v>
      </c>
      <c r="B171" t="s">
        <v>770</v>
      </c>
      <c r="C171" t="s">
        <v>770</v>
      </c>
      <c r="D171" s="7">
        <v>0.51533368708746219</v>
      </c>
      <c r="E171" s="7">
        <v>5967</v>
      </c>
      <c r="F171" s="7">
        <v>1489621.5</v>
      </c>
      <c r="G171" s="7">
        <v>8</v>
      </c>
      <c r="H171" s="7">
        <v>160811.9951315058</v>
      </c>
      <c r="I171">
        <f t="shared" si="4"/>
        <v>8.6363949570548385E-5</v>
      </c>
      <c r="J171">
        <f t="shared" si="5"/>
        <v>5.3704917658613276E-6</v>
      </c>
    </row>
    <row r="172" spans="1:12" hidden="1" x14ac:dyDescent="0.3">
      <c r="A172" t="s">
        <v>652</v>
      </c>
      <c r="B172" t="s">
        <v>772</v>
      </c>
      <c r="C172" t="s">
        <v>145</v>
      </c>
      <c r="D172" s="7">
        <v>6.5166491842014747</v>
      </c>
      <c r="E172" s="7">
        <v>52356</v>
      </c>
      <c r="F172" s="7">
        <v>57340996.450551473</v>
      </c>
      <c r="G172" s="7">
        <v>444</v>
      </c>
      <c r="H172" s="7">
        <v>160745.9902634639</v>
      </c>
      <c r="I172">
        <f t="shared" si="4"/>
        <v>1.2446804920546785E-4</v>
      </c>
      <c r="J172">
        <f t="shared" si="5"/>
        <v>7.7431511045136335E-6</v>
      </c>
    </row>
    <row r="173" spans="1:12" hidden="1" x14ac:dyDescent="0.3">
      <c r="A173" t="s">
        <v>20</v>
      </c>
      <c r="B173" t="s">
        <v>21</v>
      </c>
      <c r="C173" t="s">
        <v>37</v>
      </c>
      <c r="D173" s="7">
        <v>7.3988976459034141</v>
      </c>
      <c r="E173" s="7">
        <v>5271</v>
      </c>
      <c r="F173" s="7">
        <v>102130.48995098039</v>
      </c>
      <c r="G173" s="7">
        <v>9</v>
      </c>
      <c r="H173" s="7">
        <v>159289.41201822789</v>
      </c>
      <c r="I173">
        <f t="shared" si="4"/>
        <v>1.4036990411503347E-3</v>
      </c>
      <c r="J173">
        <f t="shared" si="5"/>
        <v>8.812255776232673E-5</v>
      </c>
    </row>
    <row r="174" spans="1:12" hidden="1" x14ac:dyDescent="0.3">
      <c r="A174" t="s">
        <v>156</v>
      </c>
      <c r="B174" t="s">
        <v>177</v>
      </c>
      <c r="C174" t="s">
        <v>178</v>
      </c>
      <c r="D174" s="7">
        <v>0.7941511402866589</v>
      </c>
      <c r="E174" s="7">
        <v>2809</v>
      </c>
      <c r="F174" s="7">
        <v>649509.52751225489</v>
      </c>
      <c r="G174" s="7">
        <v>12</v>
      </c>
      <c r="H174" s="7">
        <v>153022.64504002209</v>
      </c>
      <c r="I174">
        <f t="shared" si="4"/>
        <v>2.8271667507535024E-4</v>
      </c>
      <c r="J174">
        <f t="shared" si="5"/>
        <v>1.8475479560649839E-5</v>
      </c>
    </row>
    <row r="175" spans="1:12" hidden="1" x14ac:dyDescent="0.3">
      <c r="A175" t="s">
        <v>287</v>
      </c>
      <c r="B175" t="s">
        <v>336</v>
      </c>
      <c r="C175" t="s">
        <v>342</v>
      </c>
      <c r="D175" s="7">
        <v>4.0383612816169494</v>
      </c>
      <c r="E175" s="7">
        <v>1011</v>
      </c>
      <c r="F175" s="7">
        <v>96218.330514705885</v>
      </c>
      <c r="G175" s="7">
        <v>26</v>
      </c>
      <c r="H175" s="7">
        <v>147821.7988786468</v>
      </c>
      <c r="I175">
        <f t="shared" si="4"/>
        <v>3.9944226326577145E-3</v>
      </c>
      <c r="J175">
        <f t="shared" si="5"/>
        <v>2.7021878119186648E-4</v>
      </c>
    </row>
    <row r="176" spans="1:12" hidden="1" x14ac:dyDescent="0.3">
      <c r="A176" t="s">
        <v>612</v>
      </c>
      <c r="B176" t="s">
        <v>668</v>
      </c>
      <c r="C176" t="s">
        <v>669</v>
      </c>
      <c r="D176" s="7">
        <v>0.94042103350561157</v>
      </c>
      <c r="E176" s="7">
        <v>6596</v>
      </c>
      <c r="F176" s="7">
        <v>3608842.4644607841</v>
      </c>
      <c r="G176" s="7">
        <v>35</v>
      </c>
      <c r="H176" s="7">
        <v>147008.2023818396</v>
      </c>
      <c r="I176">
        <f t="shared" si="4"/>
        <v>1.4257444413365853E-4</v>
      </c>
      <c r="J176">
        <f t="shared" si="5"/>
        <v>9.6984006214384681E-6</v>
      </c>
    </row>
    <row r="177" spans="1:10" hidden="1" x14ac:dyDescent="0.3">
      <c r="A177" t="s">
        <v>20</v>
      </c>
      <c r="B177" t="s">
        <v>46</v>
      </c>
      <c r="C177" t="s">
        <v>52</v>
      </c>
      <c r="D177" s="7">
        <v>2.153131758478279</v>
      </c>
      <c r="E177" s="7">
        <v>3183</v>
      </c>
      <c r="F177" s="7">
        <v>250925.4317401961</v>
      </c>
      <c r="G177" s="7">
        <v>12</v>
      </c>
      <c r="H177" s="7">
        <v>141448.19250436951</v>
      </c>
      <c r="I177">
        <f t="shared" si="4"/>
        <v>6.764473008100154E-4</v>
      </c>
      <c r="J177">
        <f t="shared" si="5"/>
        <v>4.7822972413671467E-5</v>
      </c>
    </row>
    <row r="178" spans="1:10" hidden="1" x14ac:dyDescent="0.3">
      <c r="A178" t="s">
        <v>940</v>
      </c>
      <c r="B178" t="s">
        <v>940</v>
      </c>
      <c r="C178" t="s">
        <v>940</v>
      </c>
      <c r="D178" s="7">
        <v>4.2419589232432164</v>
      </c>
      <c r="E178" s="7">
        <v>75980</v>
      </c>
      <c r="F178" s="7">
        <v>24223062.226286761</v>
      </c>
      <c r="G178" s="7">
        <v>96</v>
      </c>
      <c r="H178" s="7">
        <v>140872.09759020031</v>
      </c>
      <c r="I178">
        <f t="shared" si="4"/>
        <v>5.5829941079800164E-5</v>
      </c>
      <c r="J178">
        <f t="shared" si="5"/>
        <v>3.9631653134185989E-6</v>
      </c>
    </row>
    <row r="179" spans="1:10" hidden="1" x14ac:dyDescent="0.3">
      <c r="A179" t="s">
        <v>97</v>
      </c>
      <c r="B179" t="s">
        <v>109</v>
      </c>
      <c r="C179" t="s">
        <v>111</v>
      </c>
      <c r="D179" s="7">
        <v>1.939486299550194</v>
      </c>
      <c r="E179" s="7">
        <v>2873</v>
      </c>
      <c r="F179" s="7">
        <v>40883.757352941167</v>
      </c>
      <c r="G179" s="7">
        <v>2</v>
      </c>
      <c r="H179" s="7">
        <v>137997.71538490069</v>
      </c>
      <c r="I179">
        <f t="shared" si="4"/>
        <v>6.7507354665861258E-4</v>
      </c>
      <c r="J179">
        <f t="shared" si="5"/>
        <v>4.891918281224513E-5</v>
      </c>
    </row>
    <row r="180" spans="1:10" hidden="1" x14ac:dyDescent="0.3">
      <c r="A180" t="s">
        <v>830</v>
      </c>
      <c r="B180" t="s">
        <v>831</v>
      </c>
      <c r="C180" t="s">
        <v>404</v>
      </c>
      <c r="D180" s="7">
        <v>13.36331437080068</v>
      </c>
      <c r="E180" s="7">
        <v>6487</v>
      </c>
      <c r="F180" s="7">
        <v>5745079.1718137264</v>
      </c>
      <c r="G180" s="7">
        <v>864</v>
      </c>
      <c r="H180" s="7">
        <v>136978.54943877429</v>
      </c>
      <c r="I180">
        <f t="shared" si="4"/>
        <v>2.0600145476800803E-3</v>
      </c>
      <c r="J180">
        <f t="shared" si="5"/>
        <v>1.5038957239073774E-4</v>
      </c>
    </row>
    <row r="181" spans="1:10" hidden="1" x14ac:dyDescent="0.3">
      <c r="A181" t="s">
        <v>830</v>
      </c>
      <c r="B181" t="s">
        <v>857</v>
      </c>
      <c r="C181" t="s">
        <v>863</v>
      </c>
      <c r="D181" s="7">
        <v>14.19498901039873</v>
      </c>
      <c r="E181" s="7">
        <v>6583</v>
      </c>
      <c r="F181" s="7">
        <v>5324504.5558823533</v>
      </c>
      <c r="G181" s="7">
        <v>843</v>
      </c>
      <c r="H181" s="7">
        <v>136195.52367364871</v>
      </c>
      <c r="I181">
        <f t="shared" si="4"/>
        <v>2.1563100425943688E-3</v>
      </c>
      <c r="J181">
        <f t="shared" si="5"/>
        <v>1.5832458985666164E-4</v>
      </c>
    </row>
    <row r="182" spans="1:10" hidden="1" x14ac:dyDescent="0.3">
      <c r="A182" t="s">
        <v>830</v>
      </c>
      <c r="B182" t="s">
        <v>831</v>
      </c>
      <c r="C182" t="s">
        <v>845</v>
      </c>
      <c r="D182" s="7">
        <v>8.5011116666974278</v>
      </c>
      <c r="E182" s="7">
        <v>6432</v>
      </c>
      <c r="F182" s="7">
        <v>1650299.4102328429</v>
      </c>
      <c r="G182" s="7">
        <v>161</v>
      </c>
      <c r="H182" s="7">
        <v>135477.30649812179</v>
      </c>
      <c r="I182">
        <f t="shared" si="4"/>
        <v>1.321690246688033E-3</v>
      </c>
      <c r="J182">
        <f t="shared" si="5"/>
        <v>9.7558054618273354E-5</v>
      </c>
    </row>
    <row r="183" spans="1:10" hidden="1" x14ac:dyDescent="0.3">
      <c r="A183" t="s">
        <v>499</v>
      </c>
      <c r="B183" t="s">
        <v>550</v>
      </c>
      <c r="C183" t="s">
        <v>551</v>
      </c>
      <c r="D183" s="7">
        <v>1.007591329415048</v>
      </c>
      <c r="E183" s="7">
        <v>9413</v>
      </c>
      <c r="F183" s="7">
        <v>1734124.1875</v>
      </c>
      <c r="G183" s="7">
        <v>14</v>
      </c>
      <c r="H183" s="7">
        <v>132589.31382540221</v>
      </c>
      <c r="I183">
        <f t="shared" si="4"/>
        <v>1.0704252941836269E-4</v>
      </c>
      <c r="J183">
        <f t="shared" si="5"/>
        <v>8.073239564337718E-6</v>
      </c>
    </row>
    <row r="184" spans="1:10" hidden="1" x14ac:dyDescent="0.3">
      <c r="A184" t="s">
        <v>406</v>
      </c>
      <c r="B184" t="s">
        <v>441</v>
      </c>
      <c r="C184" t="s">
        <v>441</v>
      </c>
      <c r="D184" s="7">
        <v>2.1710890531756011</v>
      </c>
      <c r="E184" s="7">
        <v>45829</v>
      </c>
      <c r="F184" s="7">
        <v>2233966.078125</v>
      </c>
      <c r="G184" s="7">
        <v>8</v>
      </c>
      <c r="H184" s="7">
        <v>132289.03361907351</v>
      </c>
      <c r="I184">
        <f t="shared" si="4"/>
        <v>4.7373694673145845E-5</v>
      </c>
      <c r="J184">
        <f t="shared" si="5"/>
        <v>3.5810749672235471E-6</v>
      </c>
    </row>
    <row r="185" spans="1:10" hidden="1" x14ac:dyDescent="0.3">
      <c r="A185" t="s">
        <v>830</v>
      </c>
      <c r="B185" t="s">
        <v>831</v>
      </c>
      <c r="C185" t="s">
        <v>832</v>
      </c>
      <c r="D185" s="7">
        <v>9.8510331513224365</v>
      </c>
      <c r="E185" s="7">
        <v>5533</v>
      </c>
      <c r="F185" s="7">
        <v>5883512.7572916681</v>
      </c>
      <c r="G185" s="7">
        <v>814</v>
      </c>
      <c r="H185" s="7">
        <v>128686.6232098335</v>
      </c>
      <c r="I185">
        <f t="shared" si="4"/>
        <v>1.7804144499046514E-3</v>
      </c>
      <c r="J185">
        <f t="shared" si="5"/>
        <v>1.3835272116834927E-4</v>
      </c>
    </row>
    <row r="186" spans="1:10" hidden="1" x14ac:dyDescent="0.3">
      <c r="A186" t="s">
        <v>830</v>
      </c>
      <c r="B186" t="s">
        <v>831</v>
      </c>
      <c r="C186" t="s">
        <v>834</v>
      </c>
      <c r="D186" s="7">
        <v>5.338210639583445</v>
      </c>
      <c r="E186" s="7">
        <v>4116</v>
      </c>
      <c r="F186" s="7">
        <v>4082386.286825981</v>
      </c>
      <c r="G186" s="7">
        <v>417</v>
      </c>
      <c r="H186" s="7">
        <v>126969.1996328535</v>
      </c>
      <c r="I186">
        <f t="shared" si="4"/>
        <v>1.2969413604430138E-3</v>
      </c>
      <c r="J186">
        <f t="shared" si="5"/>
        <v>1.0214613970894307E-4</v>
      </c>
    </row>
    <row r="187" spans="1:10" hidden="1" x14ac:dyDescent="0.3">
      <c r="A187" t="s">
        <v>612</v>
      </c>
      <c r="B187" t="s">
        <v>627</v>
      </c>
      <c r="C187" t="s">
        <v>631</v>
      </c>
      <c r="D187" s="7">
        <v>1.1259569595567831</v>
      </c>
      <c r="E187" s="7">
        <v>12549</v>
      </c>
      <c r="F187" s="7">
        <v>1241568.609375</v>
      </c>
      <c r="G187" s="7">
        <v>9</v>
      </c>
      <c r="H187" s="7">
        <v>123777.2656956303</v>
      </c>
      <c r="I187">
        <f t="shared" si="4"/>
        <v>8.9724835409736475E-5</v>
      </c>
      <c r="J187">
        <f t="shared" si="5"/>
        <v>7.2488946096426833E-6</v>
      </c>
    </row>
    <row r="188" spans="1:10" hidden="1" x14ac:dyDescent="0.3">
      <c r="A188" t="s">
        <v>406</v>
      </c>
      <c r="B188" t="s">
        <v>434</v>
      </c>
      <c r="C188" t="s">
        <v>434</v>
      </c>
      <c r="D188" s="7">
        <v>2.5249725091008481</v>
      </c>
      <c r="E188" s="7">
        <v>46278</v>
      </c>
      <c r="F188" s="7">
        <v>6451971.875</v>
      </c>
      <c r="G188" s="7">
        <v>30</v>
      </c>
      <c r="H188" s="7">
        <v>117341.94515656721</v>
      </c>
      <c r="I188">
        <f t="shared" si="4"/>
        <v>5.4560968691405165E-5</v>
      </c>
      <c r="J188">
        <f t="shared" si="5"/>
        <v>4.6497412854887874E-6</v>
      </c>
    </row>
    <row r="189" spans="1:10" hidden="1" x14ac:dyDescent="0.3">
      <c r="A189" t="s">
        <v>232</v>
      </c>
      <c r="B189" t="s">
        <v>260</v>
      </c>
      <c r="C189" t="s">
        <v>260</v>
      </c>
      <c r="D189" s="7">
        <v>1.9583491269941959</v>
      </c>
      <c r="E189" s="7">
        <v>14062</v>
      </c>
      <c r="F189" s="7">
        <v>5509436.9285539212</v>
      </c>
      <c r="G189" s="7">
        <v>67</v>
      </c>
      <c r="H189" s="7">
        <v>114518.4438983771</v>
      </c>
      <c r="I189">
        <f t="shared" si="4"/>
        <v>1.3926533402035244E-4</v>
      </c>
      <c r="J189">
        <f t="shared" si="5"/>
        <v>1.2160952356629609E-5</v>
      </c>
    </row>
    <row r="190" spans="1:10" hidden="1" x14ac:dyDescent="0.3">
      <c r="A190" t="s">
        <v>191</v>
      </c>
      <c r="B190" t="s">
        <v>218</v>
      </c>
      <c r="C190" t="s">
        <v>221</v>
      </c>
      <c r="D190" s="7">
        <v>2.1752577208042192</v>
      </c>
      <c r="E190" s="7">
        <v>7590</v>
      </c>
      <c r="F190" s="7">
        <v>1111916.7229779409</v>
      </c>
      <c r="G190" s="7">
        <v>28</v>
      </c>
      <c r="H190" s="7">
        <v>113810.7207109492</v>
      </c>
      <c r="I190">
        <f t="shared" si="4"/>
        <v>2.8659522013230822E-4</v>
      </c>
      <c r="J190">
        <f t="shared" si="5"/>
        <v>2.5181741960863993E-5</v>
      </c>
    </row>
    <row r="191" spans="1:10" hidden="1" x14ac:dyDescent="0.3">
      <c r="A191" t="s">
        <v>191</v>
      </c>
      <c r="B191" t="s">
        <v>218</v>
      </c>
      <c r="C191" t="s">
        <v>220</v>
      </c>
      <c r="D191" s="7">
        <v>0.80200736137056561</v>
      </c>
      <c r="E191" s="7">
        <v>6229</v>
      </c>
      <c r="F191" s="7">
        <v>3567507.7468137252</v>
      </c>
      <c r="G191" s="7">
        <v>42</v>
      </c>
      <c r="H191" s="7">
        <v>109364.32029490051</v>
      </c>
      <c r="I191">
        <f t="shared" si="4"/>
        <v>1.2875379055555717E-4</v>
      </c>
      <c r="J191">
        <f t="shared" si="5"/>
        <v>1.1772924680405186E-5</v>
      </c>
    </row>
    <row r="192" spans="1:10" hidden="1" x14ac:dyDescent="0.3">
      <c r="A192" t="s">
        <v>874</v>
      </c>
      <c r="B192" t="s">
        <v>895</v>
      </c>
      <c r="C192" t="s">
        <v>897</v>
      </c>
      <c r="D192" s="7">
        <v>0.95480554471251444</v>
      </c>
      <c r="E192" s="7">
        <v>4334</v>
      </c>
      <c r="F192" s="7">
        <v>991225.1875</v>
      </c>
      <c r="G192" s="7">
        <v>20</v>
      </c>
      <c r="H192" s="7">
        <v>109186.35268616769</v>
      </c>
      <c r="I192">
        <f t="shared" si="4"/>
        <v>2.2030584788013715E-4</v>
      </c>
      <c r="J192">
        <f t="shared" si="5"/>
        <v>2.0177049829053098E-5</v>
      </c>
    </row>
    <row r="193" spans="1:10" hidden="1" x14ac:dyDescent="0.3">
      <c r="A193" t="s">
        <v>830</v>
      </c>
      <c r="B193" t="s">
        <v>831</v>
      </c>
      <c r="C193" t="s">
        <v>835</v>
      </c>
      <c r="D193" s="7">
        <v>22.061761723525851</v>
      </c>
      <c r="E193" s="7">
        <v>16532</v>
      </c>
      <c r="F193" s="7">
        <v>9716365.3017156832</v>
      </c>
      <c r="G193" s="7">
        <v>1209</v>
      </c>
      <c r="H193" s="7">
        <v>107248.7716156899</v>
      </c>
      <c r="I193">
        <f t="shared" si="4"/>
        <v>1.3344883694365987E-3</v>
      </c>
      <c r="J193">
        <f t="shared" si="5"/>
        <v>1.2442924514031176E-4</v>
      </c>
    </row>
    <row r="194" spans="1:10" hidden="1" x14ac:dyDescent="0.3">
      <c r="A194" t="s">
        <v>97</v>
      </c>
      <c r="B194" t="s">
        <v>98</v>
      </c>
      <c r="C194" t="s">
        <v>104</v>
      </c>
      <c r="D194" s="7">
        <v>2.2816317558860431</v>
      </c>
      <c r="E194" s="7">
        <v>1984</v>
      </c>
      <c r="F194" s="7">
        <v>525669.01629901957</v>
      </c>
      <c r="G194" s="7">
        <v>57</v>
      </c>
      <c r="H194" s="7">
        <v>106057.5057188403</v>
      </c>
      <c r="I194">
        <f t="shared" si="4"/>
        <v>1.1500160059909491E-3</v>
      </c>
      <c r="J194">
        <f t="shared" si="5"/>
        <v>1.0843325026327276E-4</v>
      </c>
    </row>
    <row r="195" spans="1:10" hidden="1" x14ac:dyDescent="0.3">
      <c r="A195" t="s">
        <v>830</v>
      </c>
      <c r="B195" t="s">
        <v>831</v>
      </c>
      <c r="C195" t="s">
        <v>839</v>
      </c>
      <c r="D195" s="7">
        <v>17.529422483712949</v>
      </c>
      <c r="E195" s="7">
        <v>10875</v>
      </c>
      <c r="F195" s="7">
        <v>10035801.80085784</v>
      </c>
      <c r="G195" s="7">
        <v>1563</v>
      </c>
      <c r="H195" s="7">
        <v>103497.8767504545</v>
      </c>
      <c r="I195">
        <f t="shared" ref="I195:I258" si="6">D195/E195</f>
        <v>1.61190091804257E-3</v>
      </c>
      <c r="J195">
        <f t="shared" ref="J195:J258" si="7">G195/F195</f>
        <v>1.5574241411048969E-4</v>
      </c>
    </row>
    <row r="196" spans="1:10" hidden="1" x14ac:dyDescent="0.3">
      <c r="A196" t="s">
        <v>406</v>
      </c>
      <c r="B196" t="s">
        <v>429</v>
      </c>
      <c r="C196" t="s">
        <v>433</v>
      </c>
      <c r="D196" s="7">
        <v>1.0751381583574739</v>
      </c>
      <c r="E196" s="7">
        <v>9935</v>
      </c>
      <c r="F196" s="7">
        <v>442740.72028186283</v>
      </c>
      <c r="G196" s="7">
        <v>5</v>
      </c>
      <c r="H196" s="7">
        <v>95824.346780815977</v>
      </c>
      <c r="I196">
        <f t="shared" si="6"/>
        <v>1.0821722781655501E-4</v>
      </c>
      <c r="J196">
        <f t="shared" si="7"/>
        <v>1.1293291470495058E-5</v>
      </c>
    </row>
    <row r="197" spans="1:10" hidden="1" x14ac:dyDescent="0.3">
      <c r="A197" t="s">
        <v>674</v>
      </c>
      <c r="B197" t="s">
        <v>698</v>
      </c>
      <c r="C197" t="s">
        <v>699</v>
      </c>
      <c r="D197" s="7">
        <v>0.52484877405899777</v>
      </c>
      <c r="E197" s="7">
        <v>1022</v>
      </c>
      <c r="F197" s="7">
        <v>36987.842524509811</v>
      </c>
      <c r="G197" s="7">
        <v>2</v>
      </c>
      <c r="H197" s="7">
        <v>94975.654618768283</v>
      </c>
      <c r="I197">
        <f t="shared" si="6"/>
        <v>5.1355065954892154E-4</v>
      </c>
      <c r="J197">
        <f t="shared" si="7"/>
        <v>5.4071820995634172E-5</v>
      </c>
    </row>
    <row r="198" spans="1:10" hidden="1" x14ac:dyDescent="0.3">
      <c r="A198" t="s">
        <v>124</v>
      </c>
      <c r="B198" t="s">
        <v>149</v>
      </c>
      <c r="C198" t="s">
        <v>149</v>
      </c>
      <c r="D198" s="7">
        <v>3.4592324114335979</v>
      </c>
      <c r="E198" s="7">
        <v>48693</v>
      </c>
      <c r="F198" s="7">
        <v>7443280.515625</v>
      </c>
      <c r="G198" s="7">
        <v>56</v>
      </c>
      <c r="H198" s="7">
        <v>94425.559874557293</v>
      </c>
      <c r="I198">
        <f t="shared" si="6"/>
        <v>7.1041677683313776E-5</v>
      </c>
      <c r="J198">
        <f t="shared" si="7"/>
        <v>7.5235643588125298E-6</v>
      </c>
    </row>
    <row r="199" spans="1:10" hidden="1" x14ac:dyDescent="0.3">
      <c r="A199" t="s">
        <v>830</v>
      </c>
      <c r="B199" t="s">
        <v>864</v>
      </c>
      <c r="C199" t="s">
        <v>273</v>
      </c>
      <c r="D199" s="7">
        <v>4.8170942469660849</v>
      </c>
      <c r="E199" s="7">
        <v>12807</v>
      </c>
      <c r="F199" s="7">
        <v>786721.13186274515</v>
      </c>
      <c r="G199" s="7">
        <v>32</v>
      </c>
      <c r="H199" s="7">
        <v>92471.642418762101</v>
      </c>
      <c r="I199">
        <f t="shared" si="6"/>
        <v>3.7612979206419028E-4</v>
      </c>
      <c r="J199">
        <f t="shared" si="7"/>
        <v>4.0675149940656306E-5</v>
      </c>
    </row>
    <row r="200" spans="1:10" hidden="1" x14ac:dyDescent="0.3">
      <c r="A200" t="s">
        <v>730</v>
      </c>
      <c r="B200" t="s">
        <v>731</v>
      </c>
      <c r="C200" t="s">
        <v>735</v>
      </c>
      <c r="D200" s="7">
        <v>0.81331189495001899</v>
      </c>
      <c r="E200" s="7">
        <v>5104</v>
      </c>
      <c r="F200" s="7">
        <v>1489720.6875</v>
      </c>
      <c r="G200" s="7">
        <v>26</v>
      </c>
      <c r="H200" s="7">
        <v>91301.509773395694</v>
      </c>
      <c r="I200">
        <f t="shared" si="6"/>
        <v>1.5934794180055232E-4</v>
      </c>
      <c r="J200">
        <f t="shared" si="7"/>
        <v>1.7452936122967011E-5</v>
      </c>
    </row>
    <row r="201" spans="1:10" hidden="1" x14ac:dyDescent="0.3">
      <c r="A201" t="s">
        <v>922</v>
      </c>
      <c r="B201" t="s">
        <v>942</v>
      </c>
      <c r="C201" t="s">
        <v>942</v>
      </c>
      <c r="D201" s="7">
        <v>20.710219305651201</v>
      </c>
      <c r="E201" s="7">
        <v>32229</v>
      </c>
      <c r="F201" s="7">
        <v>6953101.75</v>
      </c>
      <c r="G201" s="7">
        <v>490</v>
      </c>
      <c r="H201" s="7">
        <v>91184.363744534276</v>
      </c>
      <c r="I201">
        <f t="shared" si="6"/>
        <v>6.4259577727050798E-4</v>
      </c>
      <c r="J201">
        <f t="shared" si="7"/>
        <v>7.0472145758545816E-5</v>
      </c>
    </row>
    <row r="202" spans="1:10" hidden="1" x14ac:dyDescent="0.3">
      <c r="A202" t="s">
        <v>499</v>
      </c>
      <c r="B202" t="s">
        <v>499</v>
      </c>
      <c r="C202" t="s">
        <v>505</v>
      </c>
      <c r="D202" s="7">
        <v>1.3229422189762621</v>
      </c>
      <c r="E202" s="7">
        <v>9088</v>
      </c>
      <c r="F202" s="7">
        <v>743010.6875</v>
      </c>
      <c r="G202" s="7">
        <v>12</v>
      </c>
      <c r="H202" s="7">
        <v>90133.528429827638</v>
      </c>
      <c r="I202">
        <f t="shared" si="6"/>
        <v>1.4557022655988799E-4</v>
      </c>
      <c r="J202">
        <f t="shared" si="7"/>
        <v>1.6150507929268513E-5</v>
      </c>
    </row>
    <row r="203" spans="1:10" hidden="1" x14ac:dyDescent="0.3">
      <c r="A203" t="s">
        <v>232</v>
      </c>
      <c r="B203" t="s">
        <v>269</v>
      </c>
      <c r="C203" t="s">
        <v>273</v>
      </c>
      <c r="D203" s="7">
        <v>1.719116731010945</v>
      </c>
      <c r="E203" s="7">
        <v>13770</v>
      </c>
      <c r="F203" s="7">
        <v>11978390.730759799</v>
      </c>
      <c r="G203" s="7">
        <v>167</v>
      </c>
      <c r="H203" s="7">
        <v>89547.492882799095</v>
      </c>
      <c r="I203">
        <f t="shared" si="6"/>
        <v>1.2484507850478904E-4</v>
      </c>
      <c r="J203">
        <f t="shared" si="7"/>
        <v>1.3941772626531031E-5</v>
      </c>
    </row>
    <row r="204" spans="1:10" hidden="1" x14ac:dyDescent="0.3">
      <c r="A204" t="s">
        <v>287</v>
      </c>
      <c r="B204" t="s">
        <v>326</v>
      </c>
      <c r="C204" t="s">
        <v>326</v>
      </c>
      <c r="D204" s="7">
        <v>5.8955254151152756</v>
      </c>
      <c r="E204" s="7">
        <v>11938</v>
      </c>
      <c r="F204" s="7">
        <v>991269.6875</v>
      </c>
      <c r="G204" s="7">
        <v>57</v>
      </c>
      <c r="H204" s="7">
        <v>85883.139435175704</v>
      </c>
      <c r="I204">
        <f t="shared" si="6"/>
        <v>4.9384531873976172E-4</v>
      </c>
      <c r="J204">
        <f t="shared" si="7"/>
        <v>5.7502010521228616E-5</v>
      </c>
    </row>
    <row r="205" spans="1:10" hidden="1" x14ac:dyDescent="0.3">
      <c r="A205" t="s">
        <v>287</v>
      </c>
      <c r="B205" t="s">
        <v>290</v>
      </c>
      <c r="C205" t="s">
        <v>292</v>
      </c>
      <c r="D205" s="7">
        <v>0.86068795019469813</v>
      </c>
      <c r="E205" s="7">
        <v>3550</v>
      </c>
      <c r="F205" s="7">
        <v>991328.25</v>
      </c>
      <c r="G205" s="7">
        <v>28</v>
      </c>
      <c r="H205" s="7">
        <v>85837.452662233132</v>
      </c>
      <c r="I205">
        <f t="shared" si="6"/>
        <v>2.4244730991399948E-4</v>
      </c>
      <c r="J205">
        <f t="shared" si="7"/>
        <v>2.8244932997723004E-5</v>
      </c>
    </row>
    <row r="206" spans="1:10" hidden="1" x14ac:dyDescent="0.3">
      <c r="A206" t="s">
        <v>830</v>
      </c>
      <c r="B206" t="s">
        <v>831</v>
      </c>
      <c r="C206" t="s">
        <v>843</v>
      </c>
      <c r="D206" s="7">
        <v>23.32528865840391</v>
      </c>
      <c r="E206" s="7">
        <v>10131</v>
      </c>
      <c r="F206" s="7">
        <v>5039269.777144609</v>
      </c>
      <c r="G206" s="7">
        <v>1359</v>
      </c>
      <c r="H206" s="7">
        <v>85373.456272839598</v>
      </c>
      <c r="I206">
        <f t="shared" si="6"/>
        <v>2.3023678470441133E-3</v>
      </c>
      <c r="J206">
        <f t="shared" si="7"/>
        <v>2.6968193014068943E-4</v>
      </c>
    </row>
    <row r="207" spans="1:10" hidden="1" x14ac:dyDescent="0.3">
      <c r="A207" t="s">
        <v>586</v>
      </c>
      <c r="B207" t="s">
        <v>606</v>
      </c>
      <c r="C207" t="s">
        <v>608</v>
      </c>
      <c r="D207" s="7">
        <v>1.2713710423530249</v>
      </c>
      <c r="E207" s="7">
        <v>15570</v>
      </c>
      <c r="F207" s="7">
        <v>1241570.890625</v>
      </c>
      <c r="G207" s="7">
        <v>12</v>
      </c>
      <c r="H207" s="7">
        <v>84483.904804596459</v>
      </c>
      <c r="I207">
        <f t="shared" si="6"/>
        <v>8.1655172919269415E-5</v>
      </c>
      <c r="J207">
        <f t="shared" si="7"/>
        <v>9.6651750541278111E-6</v>
      </c>
    </row>
    <row r="208" spans="1:10" hidden="1" x14ac:dyDescent="0.3">
      <c r="A208" t="s">
        <v>652</v>
      </c>
      <c r="B208" t="s">
        <v>772</v>
      </c>
      <c r="C208" t="s">
        <v>782</v>
      </c>
      <c r="D208" s="7">
        <v>8.9033807144219992</v>
      </c>
      <c r="E208" s="7">
        <v>4542</v>
      </c>
      <c r="F208" s="7">
        <v>85696.276470588229</v>
      </c>
      <c r="G208" s="7">
        <v>20</v>
      </c>
      <c r="H208" s="7">
        <v>83992.357466535774</v>
      </c>
      <c r="I208">
        <f t="shared" si="6"/>
        <v>1.9602335346591807E-3</v>
      </c>
      <c r="J208">
        <f t="shared" si="7"/>
        <v>2.3338236879946807E-4</v>
      </c>
    </row>
    <row r="209" spans="1:10" hidden="1" x14ac:dyDescent="0.3">
      <c r="A209" t="s">
        <v>652</v>
      </c>
      <c r="B209" t="s">
        <v>772</v>
      </c>
      <c r="C209" t="s">
        <v>777</v>
      </c>
      <c r="D209" s="7">
        <v>30.717545014308151</v>
      </c>
      <c r="E209" s="7">
        <v>133855</v>
      </c>
      <c r="F209" s="7">
        <v>28580557.175306369</v>
      </c>
      <c r="G209" s="7">
        <v>785</v>
      </c>
      <c r="H209" s="7">
        <v>83551.247613122687</v>
      </c>
      <c r="I209">
        <f t="shared" si="6"/>
        <v>2.2948373250388966E-4</v>
      </c>
      <c r="J209">
        <f t="shared" si="7"/>
        <v>2.7466224510075011E-5</v>
      </c>
    </row>
    <row r="210" spans="1:10" hidden="1" x14ac:dyDescent="0.3">
      <c r="A210" t="s">
        <v>830</v>
      </c>
      <c r="B210" t="s">
        <v>831</v>
      </c>
      <c r="C210" t="s">
        <v>295</v>
      </c>
      <c r="D210" s="7">
        <v>19.5293425197682</v>
      </c>
      <c r="E210" s="7">
        <v>14903</v>
      </c>
      <c r="F210" s="7">
        <v>9206544.3256740198</v>
      </c>
      <c r="G210" s="7">
        <v>1444</v>
      </c>
      <c r="H210" s="7">
        <v>83549.407851063967</v>
      </c>
      <c r="I210">
        <f t="shared" si="6"/>
        <v>1.3104302838199155E-3</v>
      </c>
      <c r="J210">
        <f t="shared" si="7"/>
        <v>1.5684495169084883E-4</v>
      </c>
    </row>
    <row r="211" spans="1:10" hidden="1" x14ac:dyDescent="0.3">
      <c r="A211" t="s">
        <v>874</v>
      </c>
      <c r="B211" t="s">
        <v>895</v>
      </c>
      <c r="C211" t="s">
        <v>895</v>
      </c>
      <c r="D211" s="7">
        <v>1.7328974862001709</v>
      </c>
      <c r="E211" s="7">
        <v>17156</v>
      </c>
      <c r="F211" s="7">
        <v>1625718.057291667</v>
      </c>
      <c r="G211" s="7">
        <v>20</v>
      </c>
      <c r="H211" s="7">
        <v>82105.465573296635</v>
      </c>
      <c r="I211">
        <f t="shared" si="6"/>
        <v>1.0100824703894677E-4</v>
      </c>
      <c r="J211">
        <f t="shared" si="7"/>
        <v>1.230225616938684E-5</v>
      </c>
    </row>
    <row r="212" spans="1:10" hidden="1" x14ac:dyDescent="0.3">
      <c r="A212" t="s">
        <v>830</v>
      </c>
      <c r="B212" t="s">
        <v>851</v>
      </c>
      <c r="C212" t="s">
        <v>851</v>
      </c>
      <c r="D212" s="7">
        <v>14.465367507216589</v>
      </c>
      <c r="E212" s="7">
        <v>10927</v>
      </c>
      <c r="F212" s="7">
        <v>3613874.9346813732</v>
      </c>
      <c r="G212" s="7">
        <v>585</v>
      </c>
      <c r="H212" s="7">
        <v>81779.750551694509</v>
      </c>
      <c r="I212">
        <f t="shared" si="6"/>
        <v>1.3238187523763696E-3</v>
      </c>
      <c r="J212">
        <f t="shared" si="7"/>
        <v>1.6187610544734528E-4</v>
      </c>
    </row>
    <row r="213" spans="1:10" hidden="1" x14ac:dyDescent="0.3">
      <c r="A213" t="s">
        <v>232</v>
      </c>
      <c r="B213" t="s">
        <v>266</v>
      </c>
      <c r="C213" t="s">
        <v>266</v>
      </c>
      <c r="D213" s="7">
        <v>1.2858811518155251</v>
      </c>
      <c r="E213" s="7">
        <v>20296</v>
      </c>
      <c r="F213" s="7">
        <v>8245770.0241421573</v>
      </c>
      <c r="G213" s="7">
        <v>64</v>
      </c>
      <c r="H213" s="7">
        <v>81628.463245912426</v>
      </c>
      <c r="I213">
        <f t="shared" si="6"/>
        <v>6.3356383120591507E-5</v>
      </c>
      <c r="J213">
        <f t="shared" si="7"/>
        <v>7.761555295941957E-6</v>
      </c>
    </row>
    <row r="214" spans="1:10" hidden="1" x14ac:dyDescent="0.3">
      <c r="A214" t="s">
        <v>124</v>
      </c>
      <c r="B214" t="s">
        <v>133</v>
      </c>
      <c r="C214" t="s">
        <v>134</v>
      </c>
      <c r="D214" s="7">
        <v>1.4945792341256059</v>
      </c>
      <c r="E214" s="7">
        <v>2333</v>
      </c>
      <c r="F214" s="7">
        <v>47666.002022058827</v>
      </c>
      <c r="G214" s="7">
        <v>4</v>
      </c>
      <c r="H214" s="7">
        <v>76340.138015386052</v>
      </c>
      <c r="I214">
        <f t="shared" si="6"/>
        <v>6.4062547540746071E-4</v>
      </c>
      <c r="J214">
        <f t="shared" si="7"/>
        <v>8.3917254024134101E-5</v>
      </c>
    </row>
    <row r="215" spans="1:10" hidden="1" x14ac:dyDescent="0.3">
      <c r="A215" t="s">
        <v>830</v>
      </c>
      <c r="B215" t="s">
        <v>831</v>
      </c>
      <c r="C215" t="s">
        <v>842</v>
      </c>
      <c r="D215" s="7">
        <v>12.2768105077899</v>
      </c>
      <c r="E215" s="7">
        <v>10725</v>
      </c>
      <c r="F215" s="7">
        <v>4711304.5744485306</v>
      </c>
      <c r="G215" s="7">
        <v>722</v>
      </c>
      <c r="H215" s="7">
        <v>74695.121044222309</v>
      </c>
      <c r="I215">
        <f t="shared" si="6"/>
        <v>1.1446909564372866E-3</v>
      </c>
      <c r="J215">
        <f t="shared" si="7"/>
        <v>1.5324842378387557E-4</v>
      </c>
    </row>
    <row r="216" spans="1:10" hidden="1" x14ac:dyDescent="0.3">
      <c r="A216" t="s">
        <v>460</v>
      </c>
      <c r="B216" t="s">
        <v>481</v>
      </c>
      <c r="C216" t="s">
        <v>481</v>
      </c>
      <c r="D216" s="7">
        <v>8.9649537953749103</v>
      </c>
      <c r="E216" s="7">
        <v>58154</v>
      </c>
      <c r="F216" s="7">
        <v>12066614.977573531</v>
      </c>
      <c r="G216" s="7">
        <v>264</v>
      </c>
      <c r="H216" s="7">
        <v>70461.192995222184</v>
      </c>
      <c r="I216">
        <f t="shared" si="6"/>
        <v>1.5415885055842951E-4</v>
      </c>
      <c r="J216">
        <f t="shared" si="7"/>
        <v>2.1878546758196772E-5</v>
      </c>
    </row>
    <row r="217" spans="1:10" hidden="1" x14ac:dyDescent="0.3">
      <c r="A217" t="s">
        <v>232</v>
      </c>
      <c r="B217" t="s">
        <v>233</v>
      </c>
      <c r="C217" t="s">
        <v>51</v>
      </c>
      <c r="D217" s="7">
        <v>1.0324493441852609</v>
      </c>
      <c r="E217" s="7">
        <v>6603</v>
      </c>
      <c r="F217" s="7">
        <v>1001672.359865196</v>
      </c>
      <c r="G217" s="7">
        <v>24</v>
      </c>
      <c r="H217" s="7">
        <v>65259.223776523577</v>
      </c>
      <c r="I217">
        <f t="shared" si="6"/>
        <v>1.5636064579513265E-4</v>
      </c>
      <c r="J217">
        <f t="shared" si="7"/>
        <v>2.3959930374069515E-5</v>
      </c>
    </row>
    <row r="218" spans="1:10" hidden="1" x14ac:dyDescent="0.3">
      <c r="A218" t="s">
        <v>406</v>
      </c>
      <c r="B218" t="s">
        <v>373</v>
      </c>
      <c r="C218" t="s">
        <v>373</v>
      </c>
      <c r="D218" s="7">
        <v>17.075037376022092</v>
      </c>
      <c r="E218" s="7">
        <v>192051</v>
      </c>
      <c r="F218" s="7">
        <v>16764321.89601716</v>
      </c>
      <c r="G218" s="7">
        <v>233</v>
      </c>
      <c r="H218" s="7">
        <v>63969.824663696032</v>
      </c>
      <c r="I218">
        <f t="shared" si="6"/>
        <v>8.8908869914877258E-5</v>
      </c>
      <c r="J218">
        <f t="shared" si="7"/>
        <v>1.3898563952971802E-5</v>
      </c>
    </row>
    <row r="219" spans="1:10" hidden="1" x14ac:dyDescent="0.3">
      <c r="A219" t="s">
        <v>830</v>
      </c>
      <c r="B219" t="s">
        <v>831</v>
      </c>
      <c r="C219" t="s">
        <v>836</v>
      </c>
      <c r="D219" s="7">
        <v>16.517442296054959</v>
      </c>
      <c r="E219" s="7">
        <v>23289</v>
      </c>
      <c r="F219" s="7">
        <v>19771185.55306372</v>
      </c>
      <c r="G219" s="7">
        <v>2206</v>
      </c>
      <c r="H219" s="7">
        <v>63565.162455990321</v>
      </c>
      <c r="I219">
        <f t="shared" si="6"/>
        <v>7.0923793619541236E-4</v>
      </c>
      <c r="J219">
        <f t="shared" si="7"/>
        <v>1.1157651593928624E-4</v>
      </c>
    </row>
    <row r="220" spans="1:10" hidden="1" x14ac:dyDescent="0.3">
      <c r="A220" t="s">
        <v>97</v>
      </c>
      <c r="B220" t="s">
        <v>116</v>
      </c>
      <c r="C220" t="s">
        <v>116</v>
      </c>
      <c r="D220" s="7">
        <v>2.4767195462691221</v>
      </c>
      <c r="E220" s="7">
        <v>14701</v>
      </c>
      <c r="F220" s="7">
        <v>3404012.213480392</v>
      </c>
      <c r="G220" s="7">
        <v>92</v>
      </c>
      <c r="H220" s="7">
        <v>62335.182647037509</v>
      </c>
      <c r="I220">
        <f t="shared" si="6"/>
        <v>1.6847286213652962E-4</v>
      </c>
      <c r="J220">
        <f t="shared" si="7"/>
        <v>2.702693005497054E-5</v>
      </c>
    </row>
    <row r="221" spans="1:10" hidden="1" x14ac:dyDescent="0.3">
      <c r="A221" t="s">
        <v>652</v>
      </c>
      <c r="B221" t="s">
        <v>772</v>
      </c>
      <c r="C221" t="s">
        <v>774</v>
      </c>
      <c r="D221" s="7">
        <v>19.955117457670589</v>
      </c>
      <c r="E221" s="7">
        <v>36292</v>
      </c>
      <c r="F221" s="7">
        <v>6415500.2468137257</v>
      </c>
      <c r="G221" s="7">
        <v>569</v>
      </c>
      <c r="H221" s="7">
        <v>61995.711108163741</v>
      </c>
      <c r="I221">
        <f t="shared" si="6"/>
        <v>5.4984893248293258E-4</v>
      </c>
      <c r="J221">
        <f t="shared" si="7"/>
        <v>8.8691446981487571E-5</v>
      </c>
    </row>
    <row r="222" spans="1:10" hidden="1" x14ac:dyDescent="0.3">
      <c r="A222" t="s">
        <v>612</v>
      </c>
      <c r="B222" t="s">
        <v>635</v>
      </c>
      <c r="C222" t="s">
        <v>640</v>
      </c>
      <c r="D222" s="7">
        <v>0.73371817703079756</v>
      </c>
      <c r="E222" s="7">
        <v>4269</v>
      </c>
      <c r="F222" s="7">
        <v>744686.46875</v>
      </c>
      <c r="G222" s="7">
        <v>21</v>
      </c>
      <c r="H222" s="7">
        <v>60947.695826027288</v>
      </c>
      <c r="I222">
        <f t="shared" si="6"/>
        <v>1.7187120567598913E-4</v>
      </c>
      <c r="J222">
        <f t="shared" si="7"/>
        <v>2.8199787267854798E-5</v>
      </c>
    </row>
    <row r="223" spans="1:10" hidden="1" x14ac:dyDescent="0.3">
      <c r="A223" t="s">
        <v>730</v>
      </c>
      <c r="B223" t="s">
        <v>731</v>
      </c>
      <c r="C223" t="s">
        <v>731</v>
      </c>
      <c r="D223" s="7">
        <v>8.2928221442633063</v>
      </c>
      <c r="E223" s="7">
        <v>41463</v>
      </c>
      <c r="F223" s="7">
        <v>9616115.0240808818</v>
      </c>
      <c r="G223" s="7">
        <v>316</v>
      </c>
      <c r="H223" s="7">
        <v>60863.117867081899</v>
      </c>
      <c r="I223">
        <f t="shared" si="6"/>
        <v>2.0000535765051506E-4</v>
      </c>
      <c r="J223">
        <f t="shared" si="7"/>
        <v>3.2861503757875816E-5</v>
      </c>
    </row>
    <row r="224" spans="1:10" hidden="1" x14ac:dyDescent="0.3">
      <c r="A224" t="s">
        <v>499</v>
      </c>
      <c r="B224" t="s">
        <v>534</v>
      </c>
      <c r="C224" t="s">
        <v>534</v>
      </c>
      <c r="D224" s="7">
        <v>1.295565168900267</v>
      </c>
      <c r="E224" s="7">
        <v>3020</v>
      </c>
      <c r="F224" s="7">
        <v>743000.90625</v>
      </c>
      <c r="G224" s="7">
        <v>53</v>
      </c>
      <c r="H224" s="7">
        <v>60140.328289318531</v>
      </c>
      <c r="I224">
        <f t="shared" si="6"/>
        <v>4.2899508903982352E-4</v>
      </c>
      <c r="J224">
        <f t="shared" si="7"/>
        <v>7.1332349064681918E-5</v>
      </c>
    </row>
    <row r="225" spans="1:10" hidden="1" x14ac:dyDescent="0.3">
      <c r="A225" t="s">
        <v>756</v>
      </c>
      <c r="B225" t="s">
        <v>756</v>
      </c>
      <c r="C225" t="s">
        <v>757</v>
      </c>
      <c r="D225" s="7">
        <v>6.5129309553828003</v>
      </c>
      <c r="E225" s="7">
        <v>41345</v>
      </c>
      <c r="F225" s="7">
        <v>9768192.5518382359</v>
      </c>
      <c r="G225" s="7">
        <v>257</v>
      </c>
      <c r="H225" s="7">
        <v>59873.48899951858</v>
      </c>
      <c r="I225">
        <f t="shared" si="6"/>
        <v>1.5752644710080542E-4</v>
      </c>
      <c r="J225">
        <f t="shared" si="7"/>
        <v>2.6309882676466717E-5</v>
      </c>
    </row>
    <row r="226" spans="1:10" hidden="1" x14ac:dyDescent="0.3">
      <c r="A226" t="s">
        <v>756</v>
      </c>
      <c r="B226" t="s">
        <v>756</v>
      </c>
      <c r="C226" t="s">
        <v>39</v>
      </c>
      <c r="D226" s="7">
        <v>2.548711434804372</v>
      </c>
      <c r="E226" s="7">
        <v>14912</v>
      </c>
      <c r="F226" s="7">
        <v>1151655.5889705881</v>
      </c>
      <c r="G226" s="7">
        <v>33</v>
      </c>
      <c r="H226" s="7">
        <v>59647.66567022902</v>
      </c>
      <c r="I226">
        <f t="shared" si="6"/>
        <v>1.7091680759149491E-4</v>
      </c>
      <c r="J226">
        <f t="shared" si="7"/>
        <v>2.865440007936503E-5</v>
      </c>
    </row>
    <row r="227" spans="1:10" hidden="1" x14ac:dyDescent="0.3">
      <c r="A227" t="s">
        <v>20</v>
      </c>
      <c r="B227" t="s">
        <v>21</v>
      </c>
      <c r="C227" t="s">
        <v>40</v>
      </c>
      <c r="D227" s="7">
        <v>16.162808412996021</v>
      </c>
      <c r="E227" s="7">
        <v>14576</v>
      </c>
      <c r="F227" s="7">
        <v>5598236.4409313733</v>
      </c>
      <c r="G227" s="7">
        <v>1054</v>
      </c>
      <c r="H227" s="7">
        <v>58896.446346666977</v>
      </c>
      <c r="I227">
        <f t="shared" si="6"/>
        <v>1.1088644630211321E-3</v>
      </c>
      <c r="J227">
        <f t="shared" si="7"/>
        <v>1.8827357706682483E-4</v>
      </c>
    </row>
    <row r="228" spans="1:10" hidden="1" x14ac:dyDescent="0.3">
      <c r="A228" t="s">
        <v>586</v>
      </c>
      <c r="B228" t="s">
        <v>603</v>
      </c>
      <c r="C228" t="s">
        <v>603</v>
      </c>
      <c r="D228" s="7">
        <v>1.779192426735378</v>
      </c>
      <c r="E228" s="7">
        <v>66578</v>
      </c>
      <c r="F228" s="7">
        <v>3723552.546875</v>
      </c>
      <c r="G228" s="7">
        <v>17</v>
      </c>
      <c r="H228" s="7">
        <v>58532.994399768439</v>
      </c>
      <c r="I228">
        <f t="shared" si="6"/>
        <v>2.6723428561016822E-5</v>
      </c>
      <c r="J228">
        <f t="shared" si="7"/>
        <v>4.5655324548238987E-6</v>
      </c>
    </row>
    <row r="229" spans="1:10" hidden="1" x14ac:dyDescent="0.3">
      <c r="A229" t="s">
        <v>830</v>
      </c>
      <c r="B229" t="s">
        <v>857</v>
      </c>
      <c r="C229" t="s">
        <v>858</v>
      </c>
      <c r="D229" s="7">
        <v>10.046804602102879</v>
      </c>
      <c r="E229" s="7">
        <v>29400</v>
      </c>
      <c r="F229" s="7">
        <v>7192747.8152573537</v>
      </c>
      <c r="G229" s="7">
        <v>429</v>
      </c>
      <c r="H229" s="7">
        <v>57295.1904064927</v>
      </c>
      <c r="I229">
        <f t="shared" si="6"/>
        <v>3.4172804769057411E-4</v>
      </c>
      <c r="J229">
        <f t="shared" si="7"/>
        <v>5.9643409030690528E-5</v>
      </c>
    </row>
    <row r="230" spans="1:10" hidden="1" x14ac:dyDescent="0.3">
      <c r="A230" t="s">
        <v>406</v>
      </c>
      <c r="B230" t="s">
        <v>298</v>
      </c>
      <c r="C230" t="s">
        <v>298</v>
      </c>
      <c r="D230" s="7">
        <v>9.5699383778185521</v>
      </c>
      <c r="E230" s="7">
        <v>181650</v>
      </c>
      <c r="F230" s="7">
        <v>17061683.1875</v>
      </c>
      <c r="G230" s="7">
        <v>159</v>
      </c>
      <c r="H230" s="7">
        <v>56532.538635615812</v>
      </c>
      <c r="I230">
        <f t="shared" si="6"/>
        <v>5.2683393216727507E-5</v>
      </c>
      <c r="J230">
        <f t="shared" si="7"/>
        <v>9.3191274420386083E-6</v>
      </c>
    </row>
    <row r="231" spans="1:10" hidden="1" x14ac:dyDescent="0.3">
      <c r="A231" t="s">
        <v>287</v>
      </c>
      <c r="B231" t="s">
        <v>288</v>
      </c>
      <c r="C231" t="s">
        <v>288</v>
      </c>
      <c r="D231" s="7">
        <v>13.66215698296271</v>
      </c>
      <c r="E231" s="7">
        <v>316195</v>
      </c>
      <c r="F231" s="7">
        <v>32727454.640625</v>
      </c>
      <c r="G231" s="7">
        <v>254</v>
      </c>
      <c r="H231" s="7">
        <v>55672.764346556563</v>
      </c>
      <c r="I231">
        <f t="shared" si="6"/>
        <v>4.3208010825480192E-5</v>
      </c>
      <c r="J231">
        <f t="shared" si="7"/>
        <v>7.761067971497748E-6</v>
      </c>
    </row>
    <row r="232" spans="1:10" hidden="1" x14ac:dyDescent="0.3">
      <c r="A232" t="s">
        <v>652</v>
      </c>
      <c r="B232" t="s">
        <v>772</v>
      </c>
      <c r="C232" t="s">
        <v>388</v>
      </c>
      <c r="D232" s="7">
        <v>24.684079462905942</v>
      </c>
      <c r="E232" s="7">
        <v>262806</v>
      </c>
      <c r="F232" s="7">
        <v>58981829.970894612</v>
      </c>
      <c r="G232" s="7">
        <v>996</v>
      </c>
      <c r="H232" s="7">
        <v>55621.226864229982</v>
      </c>
      <c r="I232">
        <f t="shared" si="6"/>
        <v>9.3925098600891686E-5</v>
      </c>
      <c r="J232">
        <f t="shared" si="7"/>
        <v>1.6886556427487749E-5</v>
      </c>
    </row>
    <row r="233" spans="1:10" hidden="1" x14ac:dyDescent="0.3">
      <c r="A233" t="s">
        <v>191</v>
      </c>
      <c r="B233" t="s">
        <v>224</v>
      </c>
      <c r="C233" t="s">
        <v>224</v>
      </c>
      <c r="D233" s="7">
        <v>5.4092496864889803</v>
      </c>
      <c r="E233" s="7">
        <v>16925</v>
      </c>
      <c r="F233" s="7">
        <v>15310904.0944853</v>
      </c>
      <c r="G233" s="7">
        <v>891</v>
      </c>
      <c r="H233" s="7">
        <v>54920.120736634322</v>
      </c>
      <c r="I233">
        <f t="shared" si="6"/>
        <v>3.1960116316035332E-4</v>
      </c>
      <c r="J233">
        <f t="shared" si="7"/>
        <v>5.8193820201703271E-5</v>
      </c>
    </row>
    <row r="234" spans="1:10" hidden="1" x14ac:dyDescent="0.3">
      <c r="A234" t="s">
        <v>830</v>
      </c>
      <c r="B234" t="s">
        <v>831</v>
      </c>
      <c r="C234" t="s">
        <v>833</v>
      </c>
      <c r="D234" s="7">
        <v>6.3848381645317387</v>
      </c>
      <c r="E234" s="7">
        <v>8873</v>
      </c>
      <c r="F234" s="7">
        <v>6584581.3886642167</v>
      </c>
      <c r="G234" s="7">
        <v>890</v>
      </c>
      <c r="H234" s="7">
        <v>53237.490515740443</v>
      </c>
      <c r="I234">
        <f t="shared" si="6"/>
        <v>7.195805437317411E-4</v>
      </c>
      <c r="J234">
        <f t="shared" si="7"/>
        <v>1.3516424924630633E-4</v>
      </c>
    </row>
    <row r="235" spans="1:10" hidden="1" x14ac:dyDescent="0.3">
      <c r="A235" t="s">
        <v>612</v>
      </c>
      <c r="B235" t="s">
        <v>668</v>
      </c>
      <c r="C235" t="s">
        <v>668</v>
      </c>
      <c r="D235" s="7">
        <v>1.183393137174318</v>
      </c>
      <c r="E235" s="7">
        <v>14135</v>
      </c>
      <c r="F235" s="7">
        <v>4390385.5268382346</v>
      </c>
      <c r="G235" s="7">
        <v>70</v>
      </c>
      <c r="H235" s="7">
        <v>52509.496205061601</v>
      </c>
      <c r="I235">
        <f t="shared" si="6"/>
        <v>8.3720773765427522E-5</v>
      </c>
      <c r="J235">
        <f t="shared" si="7"/>
        <v>1.594393011094198E-5</v>
      </c>
    </row>
    <row r="236" spans="1:10" hidden="1" x14ac:dyDescent="0.3">
      <c r="A236" t="s">
        <v>406</v>
      </c>
      <c r="B236" t="s">
        <v>426</v>
      </c>
      <c r="C236" t="s">
        <v>426</v>
      </c>
      <c r="D236" s="7">
        <v>1.7360318561436161</v>
      </c>
      <c r="E236" s="7">
        <v>63436</v>
      </c>
      <c r="F236" s="7">
        <v>3245104.8569240202</v>
      </c>
      <c r="G236" s="7">
        <v>17</v>
      </c>
      <c r="H236" s="7">
        <v>52239.824929122369</v>
      </c>
      <c r="I236">
        <f t="shared" si="6"/>
        <v>2.7366666500782145E-5</v>
      </c>
      <c r="J236">
        <f t="shared" si="7"/>
        <v>5.238659688831754E-6</v>
      </c>
    </row>
    <row r="237" spans="1:10" hidden="1" x14ac:dyDescent="0.3">
      <c r="A237" t="s">
        <v>830</v>
      </c>
      <c r="B237" t="s">
        <v>864</v>
      </c>
      <c r="C237" t="s">
        <v>865</v>
      </c>
      <c r="D237" s="7">
        <v>7.4755490697838667</v>
      </c>
      <c r="E237" s="7">
        <v>16768</v>
      </c>
      <c r="F237" s="7">
        <v>5435777.9581495104</v>
      </c>
      <c r="G237" s="7">
        <v>473</v>
      </c>
      <c r="H237" s="7">
        <v>51234.487792357198</v>
      </c>
      <c r="I237">
        <f t="shared" si="6"/>
        <v>4.4582234433348443E-4</v>
      </c>
      <c r="J237">
        <f t="shared" si="7"/>
        <v>8.7016063504003442E-5</v>
      </c>
    </row>
    <row r="238" spans="1:10" hidden="1" x14ac:dyDescent="0.3">
      <c r="A238" t="s">
        <v>406</v>
      </c>
      <c r="B238" t="s">
        <v>415</v>
      </c>
      <c r="C238" t="s">
        <v>415</v>
      </c>
      <c r="D238" s="7">
        <v>1.1649539303418741</v>
      </c>
      <c r="E238" s="7">
        <v>60610</v>
      </c>
      <c r="F238" s="7">
        <v>4716902</v>
      </c>
      <c r="G238" s="7">
        <v>18</v>
      </c>
      <c r="H238" s="7">
        <v>50367.316760503811</v>
      </c>
      <c r="I238">
        <f t="shared" si="6"/>
        <v>1.9220490518757203E-5</v>
      </c>
      <c r="J238">
        <f t="shared" si="7"/>
        <v>3.816064018289971E-6</v>
      </c>
    </row>
    <row r="239" spans="1:10" hidden="1" x14ac:dyDescent="0.3">
      <c r="A239" t="s">
        <v>730</v>
      </c>
      <c r="B239" t="s">
        <v>755</v>
      </c>
      <c r="C239" t="s">
        <v>755</v>
      </c>
      <c r="D239" s="7">
        <v>0.72238651644642071</v>
      </c>
      <c r="E239" s="7">
        <v>4872</v>
      </c>
      <c r="F239" s="7">
        <v>496551.640625</v>
      </c>
      <c r="G239" s="7">
        <v>15</v>
      </c>
      <c r="H239" s="7">
        <v>49083.498892562769</v>
      </c>
      <c r="I239">
        <f t="shared" si="6"/>
        <v>1.4827309450870705E-4</v>
      </c>
      <c r="J239">
        <f t="shared" si="7"/>
        <v>3.0208338413945805E-5</v>
      </c>
    </row>
    <row r="240" spans="1:10" hidden="1" x14ac:dyDescent="0.3">
      <c r="A240" t="s">
        <v>499</v>
      </c>
      <c r="B240" t="s">
        <v>577</v>
      </c>
      <c r="C240" t="s">
        <v>577</v>
      </c>
      <c r="D240" s="7">
        <v>1.5969857871579149</v>
      </c>
      <c r="E240" s="7">
        <v>4607</v>
      </c>
      <c r="F240" s="7">
        <v>495407.046875</v>
      </c>
      <c r="G240" s="7">
        <v>35</v>
      </c>
      <c r="H240" s="7">
        <v>49065.584217634663</v>
      </c>
      <c r="I240">
        <f t="shared" si="6"/>
        <v>3.4664332258691448E-4</v>
      </c>
      <c r="J240">
        <f t="shared" si="7"/>
        <v>7.0648974859719999E-5</v>
      </c>
    </row>
    <row r="241" spans="1:10" hidden="1" x14ac:dyDescent="0.3">
      <c r="A241" t="s">
        <v>586</v>
      </c>
      <c r="B241" t="s">
        <v>595</v>
      </c>
      <c r="C241" t="s">
        <v>51</v>
      </c>
      <c r="D241" s="7">
        <v>2.4456131413908779</v>
      </c>
      <c r="E241" s="7">
        <v>21758</v>
      </c>
      <c r="F241" s="7">
        <v>3226974.71875</v>
      </c>
      <c r="G241" s="7">
        <v>77</v>
      </c>
      <c r="H241" s="7">
        <v>47105.717670712736</v>
      </c>
      <c r="I241">
        <f t="shared" si="6"/>
        <v>1.1240064074781129E-4</v>
      </c>
      <c r="J241">
        <f t="shared" si="7"/>
        <v>2.3861358303366781E-5</v>
      </c>
    </row>
    <row r="242" spans="1:10" hidden="1" x14ac:dyDescent="0.3">
      <c r="A242" t="s">
        <v>191</v>
      </c>
      <c r="B242" t="s">
        <v>218</v>
      </c>
      <c r="C242" t="s">
        <v>116</v>
      </c>
      <c r="D242" s="7">
        <v>3.1682736595729888</v>
      </c>
      <c r="E242" s="7">
        <v>40949</v>
      </c>
      <c r="F242" s="7">
        <v>21212444.372732852</v>
      </c>
      <c r="G242" s="7">
        <v>359</v>
      </c>
      <c r="H242" s="7">
        <v>45716.782130368389</v>
      </c>
      <c r="I242">
        <f t="shared" si="6"/>
        <v>7.7371209542918961E-5</v>
      </c>
      <c r="J242">
        <f t="shared" si="7"/>
        <v>1.6924027881551925E-5</v>
      </c>
    </row>
    <row r="243" spans="1:10" hidden="1" x14ac:dyDescent="0.3">
      <c r="A243" t="s">
        <v>232</v>
      </c>
      <c r="B243" t="s">
        <v>269</v>
      </c>
      <c r="C243" t="s">
        <v>274</v>
      </c>
      <c r="D243" s="7">
        <v>1.3838025137991761</v>
      </c>
      <c r="E243" s="7">
        <v>4683</v>
      </c>
      <c r="F243" s="7">
        <v>5034771.5400735289</v>
      </c>
      <c r="G243" s="7">
        <v>353</v>
      </c>
      <c r="H243" s="7">
        <v>42145.869748625453</v>
      </c>
      <c r="I243">
        <f t="shared" si="6"/>
        <v>2.9549487802672987E-4</v>
      </c>
      <c r="J243">
        <f t="shared" si="7"/>
        <v>7.0112416658898636E-5</v>
      </c>
    </row>
    <row r="244" spans="1:10" hidden="1" x14ac:dyDescent="0.3">
      <c r="A244" t="s">
        <v>652</v>
      </c>
      <c r="B244" t="s">
        <v>772</v>
      </c>
      <c r="C244" t="s">
        <v>790</v>
      </c>
      <c r="D244" s="7">
        <v>1.060275934851779</v>
      </c>
      <c r="E244" s="7">
        <v>3081</v>
      </c>
      <c r="F244" s="7">
        <v>1277663.090747549</v>
      </c>
      <c r="G244" s="7">
        <v>106</v>
      </c>
      <c r="H244" s="7">
        <v>41479.898953659103</v>
      </c>
      <c r="I244">
        <f t="shared" si="6"/>
        <v>3.441337016721126E-4</v>
      </c>
      <c r="J244">
        <f t="shared" si="7"/>
        <v>8.2963968175663879E-5</v>
      </c>
    </row>
    <row r="245" spans="1:10" hidden="1" x14ac:dyDescent="0.3">
      <c r="A245" t="s">
        <v>652</v>
      </c>
      <c r="B245" t="s">
        <v>817</v>
      </c>
      <c r="C245" t="s">
        <v>818</v>
      </c>
      <c r="D245" s="7">
        <v>7.0945757415788071</v>
      </c>
      <c r="E245" s="7">
        <v>22171</v>
      </c>
      <c r="F245" s="7">
        <v>7924045.1606617644</v>
      </c>
      <c r="G245" s="7">
        <v>629</v>
      </c>
      <c r="H245" s="7">
        <v>40312.287640822353</v>
      </c>
      <c r="I245">
        <f t="shared" si="6"/>
        <v>3.1999349337327173E-4</v>
      </c>
      <c r="J245">
        <f t="shared" si="7"/>
        <v>7.93786490670972E-5</v>
      </c>
    </row>
    <row r="246" spans="1:10" hidden="1" x14ac:dyDescent="0.3">
      <c r="A246" t="s">
        <v>922</v>
      </c>
      <c r="B246" t="s">
        <v>956</v>
      </c>
      <c r="C246" t="s">
        <v>958</v>
      </c>
      <c r="D246" s="7">
        <v>1.164271322655702</v>
      </c>
      <c r="E246" s="7">
        <v>1760</v>
      </c>
      <c r="F246" s="7">
        <v>496652.3125</v>
      </c>
      <c r="G246" s="7">
        <v>82</v>
      </c>
      <c r="H246" s="7">
        <v>40066.383368513591</v>
      </c>
      <c r="I246">
        <f t="shared" si="6"/>
        <v>6.6151779696346704E-4</v>
      </c>
      <c r="J246">
        <f t="shared" si="7"/>
        <v>1.6510544285445162E-4</v>
      </c>
    </row>
    <row r="247" spans="1:10" hidden="1" x14ac:dyDescent="0.3">
      <c r="A247" t="s">
        <v>652</v>
      </c>
      <c r="B247" t="s">
        <v>822</v>
      </c>
      <c r="C247" t="s">
        <v>823</v>
      </c>
      <c r="D247" s="7">
        <v>24.874504055072698</v>
      </c>
      <c r="E247" s="7">
        <v>107731</v>
      </c>
      <c r="F247" s="7">
        <v>21736483.12132353</v>
      </c>
      <c r="G247" s="7">
        <v>1265</v>
      </c>
      <c r="H247" s="7">
        <v>39674.59409086535</v>
      </c>
      <c r="I247">
        <f t="shared" si="6"/>
        <v>2.3089458052995607E-4</v>
      </c>
      <c r="J247">
        <f t="shared" si="7"/>
        <v>5.8197087032861941E-5</v>
      </c>
    </row>
    <row r="248" spans="1:10" hidden="1" x14ac:dyDescent="0.3">
      <c r="A248" t="s">
        <v>156</v>
      </c>
      <c r="B248" t="s">
        <v>177</v>
      </c>
      <c r="C248" t="s">
        <v>180</v>
      </c>
      <c r="D248" s="7">
        <v>1.506536115458937</v>
      </c>
      <c r="E248" s="7">
        <v>1447</v>
      </c>
      <c r="F248" s="7">
        <v>342769.78829656867</v>
      </c>
      <c r="G248" s="7">
        <v>90</v>
      </c>
      <c r="H248" s="7">
        <v>39652.542836289227</v>
      </c>
      <c r="I248">
        <f t="shared" si="6"/>
        <v>1.041144516557662E-3</v>
      </c>
      <c r="J248">
        <f t="shared" si="7"/>
        <v>2.6256689787995809E-4</v>
      </c>
    </row>
    <row r="249" spans="1:10" hidden="1" x14ac:dyDescent="0.3">
      <c r="A249" t="s">
        <v>586</v>
      </c>
      <c r="B249" t="s">
        <v>587</v>
      </c>
      <c r="C249" t="s">
        <v>587</v>
      </c>
      <c r="D249" s="7">
        <v>7.4932649972069836</v>
      </c>
      <c r="E249" s="7">
        <v>117331</v>
      </c>
      <c r="F249" s="7">
        <v>5216234.3754289215</v>
      </c>
      <c r="G249" s="7">
        <v>85</v>
      </c>
      <c r="H249" s="7">
        <v>39191.915543737618</v>
      </c>
      <c r="I249">
        <f t="shared" si="6"/>
        <v>6.3864323982638715E-5</v>
      </c>
      <c r="J249">
        <f t="shared" si="7"/>
        <v>1.6295280058808822E-5</v>
      </c>
    </row>
    <row r="250" spans="1:10" hidden="1" x14ac:dyDescent="0.3">
      <c r="A250" t="s">
        <v>674</v>
      </c>
      <c r="B250" t="s">
        <v>712</v>
      </c>
      <c r="C250" t="s">
        <v>712</v>
      </c>
      <c r="D250" s="7">
        <v>0.78168348780518115</v>
      </c>
      <c r="E250" s="7">
        <v>4278</v>
      </c>
      <c r="F250" s="7">
        <v>1489121.15625</v>
      </c>
      <c r="G250" s="7">
        <v>70</v>
      </c>
      <c r="H250" s="7">
        <v>38870.681198890808</v>
      </c>
      <c r="I250">
        <f t="shared" si="6"/>
        <v>1.8272171290443693E-4</v>
      </c>
      <c r="J250">
        <f t="shared" si="7"/>
        <v>4.700759216683112E-5</v>
      </c>
    </row>
    <row r="251" spans="1:10" hidden="1" x14ac:dyDescent="0.3">
      <c r="A251" t="s">
        <v>990</v>
      </c>
      <c r="B251" t="s">
        <v>1000</v>
      </c>
      <c r="C251" t="s">
        <v>1000</v>
      </c>
      <c r="D251" s="7">
        <v>7.1933306160609831</v>
      </c>
      <c r="E251" s="7">
        <v>38951</v>
      </c>
      <c r="F251" s="7">
        <v>2234937.65625</v>
      </c>
      <c r="G251" s="7">
        <v>109</v>
      </c>
      <c r="H251" s="7">
        <v>37866.077957958238</v>
      </c>
      <c r="I251">
        <f t="shared" si="6"/>
        <v>1.8467640409902141E-4</v>
      </c>
      <c r="J251">
        <f t="shared" si="7"/>
        <v>4.877093537494509E-5</v>
      </c>
    </row>
    <row r="252" spans="1:10" hidden="1" x14ac:dyDescent="0.3">
      <c r="A252" t="s">
        <v>287</v>
      </c>
      <c r="B252" t="s">
        <v>304</v>
      </c>
      <c r="C252" t="s">
        <v>304</v>
      </c>
      <c r="D252" s="7">
        <v>2.4262356064952111</v>
      </c>
      <c r="E252" s="7">
        <v>37180</v>
      </c>
      <c r="F252" s="7">
        <v>1239695.265625</v>
      </c>
      <c r="G252" s="7">
        <v>22</v>
      </c>
      <c r="H252" s="7">
        <v>36771.881200338823</v>
      </c>
      <c r="I252">
        <f t="shared" si="6"/>
        <v>6.5256471395782977E-5</v>
      </c>
      <c r="J252">
        <f t="shared" si="7"/>
        <v>1.7746296698897665E-5</v>
      </c>
    </row>
    <row r="253" spans="1:10" hidden="1" x14ac:dyDescent="0.3">
      <c r="A253" t="s">
        <v>97</v>
      </c>
      <c r="B253" t="s">
        <v>98</v>
      </c>
      <c r="C253" t="s">
        <v>105</v>
      </c>
      <c r="D253" s="7">
        <v>0.66417439465542216</v>
      </c>
      <c r="E253" s="7">
        <v>9855</v>
      </c>
      <c r="F253" s="7">
        <v>1737856.875</v>
      </c>
      <c r="G253" s="7">
        <v>32</v>
      </c>
      <c r="H253" s="7">
        <v>36600.711502755221</v>
      </c>
      <c r="I253">
        <f t="shared" si="6"/>
        <v>6.7394662065491852E-5</v>
      </c>
      <c r="J253">
        <f t="shared" si="7"/>
        <v>1.8413484136891307E-5</v>
      </c>
    </row>
    <row r="254" spans="1:10" hidden="1" x14ac:dyDescent="0.3">
      <c r="A254" t="s">
        <v>830</v>
      </c>
      <c r="B254" t="s">
        <v>831</v>
      </c>
      <c r="C254" t="s">
        <v>838</v>
      </c>
      <c r="D254" s="7">
        <v>3.3384631245613852</v>
      </c>
      <c r="E254" s="7">
        <v>4436</v>
      </c>
      <c r="F254" s="7">
        <v>4380201.3213848043</v>
      </c>
      <c r="G254" s="7">
        <v>911</v>
      </c>
      <c r="H254" s="7">
        <v>36185.180302064582</v>
      </c>
      <c r="I254">
        <f t="shared" si="6"/>
        <v>7.5258411284070904E-4</v>
      </c>
      <c r="J254">
        <f t="shared" si="7"/>
        <v>2.0798130797147622E-4</v>
      </c>
    </row>
    <row r="255" spans="1:10" hidden="1" x14ac:dyDescent="0.3">
      <c r="A255" t="s">
        <v>20</v>
      </c>
      <c r="B255" t="s">
        <v>55</v>
      </c>
      <c r="C255" t="s">
        <v>55</v>
      </c>
      <c r="D255" s="7">
        <v>1.308498413242646</v>
      </c>
      <c r="E255" s="7">
        <v>9514</v>
      </c>
      <c r="F255" s="7">
        <v>991661.71875</v>
      </c>
      <c r="G255" s="7">
        <v>38</v>
      </c>
      <c r="H255" s="7">
        <v>35891.36744348635</v>
      </c>
      <c r="I255">
        <f t="shared" si="6"/>
        <v>1.3753399340368363E-4</v>
      </c>
      <c r="J255">
        <f t="shared" si="7"/>
        <v>3.8319518926171114E-5</v>
      </c>
    </row>
    <row r="256" spans="1:10" hidden="1" x14ac:dyDescent="0.3">
      <c r="A256" t="s">
        <v>830</v>
      </c>
      <c r="B256" t="s">
        <v>854</v>
      </c>
      <c r="C256" t="s">
        <v>854</v>
      </c>
      <c r="D256" s="7">
        <v>3.875119563064239</v>
      </c>
      <c r="E256" s="7">
        <v>9161</v>
      </c>
      <c r="F256" s="7">
        <v>2234368.453125</v>
      </c>
      <c r="G256" s="7">
        <v>271</v>
      </c>
      <c r="H256" s="7">
        <v>34876.084701263579</v>
      </c>
      <c r="I256">
        <f t="shared" si="6"/>
        <v>4.2300180799740628E-4</v>
      </c>
      <c r="J256">
        <f t="shared" si="7"/>
        <v>1.2128706866630609E-4</v>
      </c>
    </row>
    <row r="257" spans="1:10" hidden="1" x14ac:dyDescent="0.3">
      <c r="A257" t="s">
        <v>191</v>
      </c>
      <c r="B257" t="s">
        <v>192</v>
      </c>
      <c r="C257" t="s">
        <v>201</v>
      </c>
      <c r="D257" s="7">
        <v>5.055854276777028</v>
      </c>
      <c r="E257" s="7">
        <v>16247</v>
      </c>
      <c r="F257" s="7">
        <v>3814158.490134804</v>
      </c>
      <c r="G257" s="7">
        <v>345</v>
      </c>
      <c r="H257" s="7">
        <v>34403.371707692677</v>
      </c>
      <c r="I257">
        <f t="shared" si="6"/>
        <v>3.1118694385283608E-4</v>
      </c>
      <c r="J257">
        <f t="shared" si="7"/>
        <v>9.0452455211898294E-5</v>
      </c>
    </row>
    <row r="258" spans="1:10" hidden="1" x14ac:dyDescent="0.3">
      <c r="A258" t="s">
        <v>586</v>
      </c>
      <c r="B258" t="s">
        <v>597</v>
      </c>
      <c r="C258" t="s">
        <v>431</v>
      </c>
      <c r="D258" s="7">
        <v>2.7332588626107972</v>
      </c>
      <c r="E258" s="7">
        <v>12608</v>
      </c>
      <c r="F258" s="7">
        <v>744840.53125</v>
      </c>
      <c r="G258" s="7">
        <v>47</v>
      </c>
      <c r="H258" s="7">
        <v>34355.795429966733</v>
      </c>
      <c r="I258">
        <f t="shared" si="6"/>
        <v>2.1678766359539952E-4</v>
      </c>
      <c r="J258">
        <f t="shared" si="7"/>
        <v>6.3100755165839396E-5</v>
      </c>
    </row>
    <row r="259" spans="1:10" hidden="1" x14ac:dyDescent="0.3">
      <c r="A259" t="s">
        <v>959</v>
      </c>
      <c r="B259" t="s">
        <v>984</v>
      </c>
      <c r="C259" t="s">
        <v>984</v>
      </c>
      <c r="D259" s="7">
        <v>1.7595791978011139</v>
      </c>
      <c r="E259" s="7">
        <v>8045</v>
      </c>
      <c r="F259" s="7">
        <v>1293154.0189950981</v>
      </c>
      <c r="G259" s="7">
        <v>84</v>
      </c>
      <c r="H259" s="7">
        <v>33670.823513224452</v>
      </c>
      <c r="I259">
        <f t="shared" ref="I259:I322" si="8">D259/E259</f>
        <v>2.1871711594793214E-4</v>
      </c>
      <c r="J259">
        <f t="shared" ref="J259:J322" si="9">G259/F259</f>
        <v>6.4957459642182356E-5</v>
      </c>
    </row>
    <row r="260" spans="1:10" hidden="1" x14ac:dyDescent="0.3">
      <c r="A260" t="s">
        <v>652</v>
      </c>
      <c r="B260" t="s">
        <v>772</v>
      </c>
      <c r="C260" t="s">
        <v>778</v>
      </c>
      <c r="D260" s="7">
        <v>40.580541240053918</v>
      </c>
      <c r="E260" s="7">
        <v>43794</v>
      </c>
      <c r="F260" s="7">
        <v>10110229.077083331</v>
      </c>
      <c r="G260" s="7">
        <v>2786</v>
      </c>
      <c r="H260" s="7">
        <v>33626.611388036777</v>
      </c>
      <c r="I260">
        <f t="shared" si="8"/>
        <v>9.2662331004370274E-4</v>
      </c>
      <c r="J260">
        <f t="shared" si="9"/>
        <v>2.755624999946811E-4</v>
      </c>
    </row>
    <row r="261" spans="1:10" hidden="1" x14ac:dyDescent="0.3">
      <c r="A261" t="s">
        <v>20</v>
      </c>
      <c r="B261" t="s">
        <v>21</v>
      </c>
      <c r="C261" t="s">
        <v>29</v>
      </c>
      <c r="D261" s="7">
        <v>8.2424059786776134</v>
      </c>
      <c r="E261" s="7">
        <v>7028</v>
      </c>
      <c r="F261" s="7">
        <v>4465453.3512254898</v>
      </c>
      <c r="G261" s="7">
        <v>1564</v>
      </c>
      <c r="H261" s="7">
        <v>33485.058123049421</v>
      </c>
      <c r="I261">
        <f t="shared" si="8"/>
        <v>1.1727953868351756E-3</v>
      </c>
      <c r="J261">
        <f t="shared" si="9"/>
        <v>3.5024439334267797E-4</v>
      </c>
    </row>
    <row r="262" spans="1:10" hidden="1" x14ac:dyDescent="0.3">
      <c r="A262" t="s">
        <v>874</v>
      </c>
      <c r="B262" t="s">
        <v>898</v>
      </c>
      <c r="C262" t="s">
        <v>898</v>
      </c>
      <c r="D262" s="7">
        <v>1.4439988554253049</v>
      </c>
      <c r="E262" s="7">
        <v>8735</v>
      </c>
      <c r="F262" s="7">
        <v>1487057.4375</v>
      </c>
      <c r="G262" s="7">
        <v>76</v>
      </c>
      <c r="H262" s="7">
        <v>32345.81444433596</v>
      </c>
      <c r="I262">
        <f t="shared" si="8"/>
        <v>1.6531183233260504E-4</v>
      </c>
      <c r="J262">
        <f t="shared" si="9"/>
        <v>5.1107642572145101E-5</v>
      </c>
    </row>
    <row r="263" spans="1:10" hidden="1" x14ac:dyDescent="0.3">
      <c r="A263" t="s">
        <v>830</v>
      </c>
      <c r="B263" t="s">
        <v>852</v>
      </c>
      <c r="C263" t="s">
        <v>852</v>
      </c>
      <c r="D263" s="7">
        <v>3.4401679237728748</v>
      </c>
      <c r="E263" s="7">
        <v>6097</v>
      </c>
      <c r="F263" s="7">
        <v>1006647.741727941</v>
      </c>
      <c r="G263" s="7">
        <v>176</v>
      </c>
      <c r="H263" s="7">
        <v>32272.179980754921</v>
      </c>
      <c r="I263">
        <f t="shared" si="8"/>
        <v>5.64239449528108E-4</v>
      </c>
      <c r="J263">
        <f t="shared" si="9"/>
        <v>1.7483772396676789E-4</v>
      </c>
    </row>
    <row r="264" spans="1:10" hidden="1" x14ac:dyDescent="0.3">
      <c r="A264" t="s">
        <v>232</v>
      </c>
      <c r="B264" t="s">
        <v>254</v>
      </c>
      <c r="C264" t="s">
        <v>257</v>
      </c>
      <c r="D264" s="7">
        <v>1.057762495207027</v>
      </c>
      <c r="E264" s="7">
        <v>9562</v>
      </c>
      <c r="F264" s="7">
        <v>230670.6584558824</v>
      </c>
      <c r="G264" s="7">
        <v>8</v>
      </c>
      <c r="H264" s="7">
        <v>31896.409127188621</v>
      </c>
      <c r="I264">
        <f t="shared" si="8"/>
        <v>1.106214699024291E-4</v>
      </c>
      <c r="J264">
        <f t="shared" si="9"/>
        <v>3.4681480746412591E-5</v>
      </c>
    </row>
    <row r="265" spans="1:10" hidden="1" x14ac:dyDescent="0.3">
      <c r="A265" t="s">
        <v>20</v>
      </c>
      <c r="B265" t="s">
        <v>46</v>
      </c>
      <c r="C265" t="s">
        <v>46</v>
      </c>
      <c r="D265" s="7">
        <v>7.8229034811895177</v>
      </c>
      <c r="E265" s="7">
        <v>23035</v>
      </c>
      <c r="F265" s="7">
        <v>6394056.7438112739</v>
      </c>
      <c r="G265" s="7">
        <v>682</v>
      </c>
      <c r="H265" s="7">
        <v>31839.912590037049</v>
      </c>
      <c r="I265">
        <f t="shared" si="8"/>
        <v>3.3960944133664068E-4</v>
      </c>
      <c r="J265">
        <f t="shared" si="9"/>
        <v>1.0666154951785486E-4</v>
      </c>
    </row>
    <row r="266" spans="1:10" hidden="1" x14ac:dyDescent="0.3">
      <c r="A266" t="s">
        <v>406</v>
      </c>
      <c r="B266" t="s">
        <v>439</v>
      </c>
      <c r="C266" t="s">
        <v>439</v>
      </c>
      <c r="D266" s="7">
        <v>14.83782306090151</v>
      </c>
      <c r="E266" s="7">
        <v>85730</v>
      </c>
      <c r="F266" s="7">
        <v>9460471.2720588222</v>
      </c>
      <c r="G266" s="7">
        <v>518</v>
      </c>
      <c r="H266" s="7">
        <v>31609.700115238011</v>
      </c>
      <c r="I266">
        <f t="shared" si="8"/>
        <v>1.7307620507292092E-4</v>
      </c>
      <c r="J266">
        <f t="shared" si="9"/>
        <v>5.4754143330036341E-5</v>
      </c>
    </row>
    <row r="267" spans="1:10" hidden="1" x14ac:dyDescent="0.3">
      <c r="A267" t="s">
        <v>406</v>
      </c>
      <c r="B267" t="s">
        <v>450</v>
      </c>
      <c r="C267" t="s">
        <v>451</v>
      </c>
      <c r="D267" s="7">
        <v>3.8667516500499501</v>
      </c>
      <c r="E267" s="7">
        <v>61401</v>
      </c>
      <c r="F267" s="7">
        <v>6777840.7346813735</v>
      </c>
      <c r="G267" s="7">
        <v>136</v>
      </c>
      <c r="H267" s="7">
        <v>31385.083358247859</v>
      </c>
      <c r="I267">
        <f t="shared" si="8"/>
        <v>6.2975385580852917E-5</v>
      </c>
      <c r="J267">
        <f t="shared" si="9"/>
        <v>2.0065387388656803E-5</v>
      </c>
    </row>
    <row r="268" spans="1:10" hidden="1" x14ac:dyDescent="0.3">
      <c r="A268" t="s">
        <v>499</v>
      </c>
      <c r="B268" t="s">
        <v>557</v>
      </c>
      <c r="C268" t="s">
        <v>557</v>
      </c>
      <c r="D268" s="7">
        <v>1.794384344855662</v>
      </c>
      <c r="E268" s="7">
        <v>10128</v>
      </c>
      <c r="F268" s="7">
        <v>1239215.125</v>
      </c>
      <c r="G268" s="7">
        <v>70</v>
      </c>
      <c r="H268" s="7">
        <v>31364.649912665769</v>
      </c>
      <c r="I268">
        <f t="shared" si="8"/>
        <v>1.7717065016347374E-4</v>
      </c>
      <c r="J268">
        <f t="shared" si="9"/>
        <v>5.6487367356817888E-5</v>
      </c>
    </row>
    <row r="269" spans="1:10" hidden="1" x14ac:dyDescent="0.3">
      <c r="A269" t="s">
        <v>652</v>
      </c>
      <c r="B269" t="s">
        <v>772</v>
      </c>
      <c r="C269" t="s">
        <v>776</v>
      </c>
      <c r="D269" s="7">
        <v>1.493780886381459</v>
      </c>
      <c r="E269" s="7">
        <v>5200</v>
      </c>
      <c r="F269" s="7">
        <v>2085941.8062499999</v>
      </c>
      <c r="G269" s="7">
        <v>195</v>
      </c>
      <c r="H269" s="7">
        <v>30729.191324262971</v>
      </c>
      <c r="I269">
        <f t="shared" si="8"/>
        <v>2.8726555507335748E-4</v>
      </c>
      <c r="J269">
        <f t="shared" si="9"/>
        <v>9.3482953079386758E-5</v>
      </c>
    </row>
    <row r="270" spans="1:10" hidden="1" x14ac:dyDescent="0.3">
      <c r="A270" t="s">
        <v>460</v>
      </c>
      <c r="B270" t="s">
        <v>461</v>
      </c>
      <c r="C270" t="s">
        <v>466</v>
      </c>
      <c r="D270" s="7">
        <v>5.1693349353218441</v>
      </c>
      <c r="E270" s="7">
        <v>9093</v>
      </c>
      <c r="F270" s="7">
        <v>498594.34950980393</v>
      </c>
      <c r="G270" s="7">
        <v>93</v>
      </c>
      <c r="H270" s="7">
        <v>30478.380385657641</v>
      </c>
      <c r="I270">
        <f t="shared" si="8"/>
        <v>5.6849608878498234E-4</v>
      </c>
      <c r="J270">
        <f t="shared" si="9"/>
        <v>1.8652437616157005E-4</v>
      </c>
    </row>
    <row r="271" spans="1:10" hidden="1" x14ac:dyDescent="0.3">
      <c r="A271" t="s">
        <v>652</v>
      </c>
      <c r="B271" t="s">
        <v>809</v>
      </c>
      <c r="C271" t="s">
        <v>811</v>
      </c>
      <c r="D271" s="7">
        <v>1.8428031940315639</v>
      </c>
      <c r="E271" s="7">
        <v>10806</v>
      </c>
      <c r="F271" s="7">
        <v>2867832.2000612752</v>
      </c>
      <c r="G271" s="7">
        <v>161</v>
      </c>
      <c r="H271" s="7">
        <v>30376.788247496981</v>
      </c>
      <c r="I271">
        <f t="shared" si="8"/>
        <v>1.7053518360462373E-4</v>
      </c>
      <c r="J271">
        <f t="shared" si="9"/>
        <v>5.613996523107594E-5</v>
      </c>
    </row>
    <row r="272" spans="1:10" hidden="1" x14ac:dyDescent="0.3">
      <c r="A272" t="s">
        <v>674</v>
      </c>
      <c r="B272" t="s">
        <v>684</v>
      </c>
      <c r="C272" t="s">
        <v>684</v>
      </c>
      <c r="D272" s="7">
        <v>1.091534916268587</v>
      </c>
      <c r="E272" s="7">
        <v>12908</v>
      </c>
      <c r="F272" s="7">
        <v>4462182.203125</v>
      </c>
      <c r="G272" s="7">
        <v>125</v>
      </c>
      <c r="H272" s="7">
        <v>30186.722512942211</v>
      </c>
      <c r="I272">
        <f t="shared" si="8"/>
        <v>8.4562667823720716E-5</v>
      </c>
      <c r="J272">
        <f t="shared" si="9"/>
        <v>2.8013199441398595E-5</v>
      </c>
    </row>
    <row r="273" spans="1:10" hidden="1" x14ac:dyDescent="0.3">
      <c r="A273" t="s">
        <v>232</v>
      </c>
      <c r="B273" t="s">
        <v>269</v>
      </c>
      <c r="C273" t="s">
        <v>269</v>
      </c>
      <c r="D273" s="7">
        <v>5.7204971307445938</v>
      </c>
      <c r="E273" s="7">
        <v>23831</v>
      </c>
      <c r="F273" s="7">
        <v>47702283.798651963</v>
      </c>
      <c r="G273" s="7">
        <v>4042</v>
      </c>
      <c r="H273" s="7">
        <v>28329.203760846071</v>
      </c>
      <c r="I273">
        <f t="shared" si="8"/>
        <v>2.4004435947902285E-4</v>
      </c>
      <c r="J273">
        <f t="shared" si="9"/>
        <v>8.4733888571478092E-5</v>
      </c>
    </row>
    <row r="274" spans="1:10" hidden="1" x14ac:dyDescent="0.3">
      <c r="A274" t="s">
        <v>612</v>
      </c>
      <c r="B274" t="s">
        <v>662</v>
      </c>
      <c r="C274" t="s">
        <v>656</v>
      </c>
      <c r="D274" s="7">
        <v>1.5050906770692269</v>
      </c>
      <c r="E274" s="7">
        <v>16402</v>
      </c>
      <c r="F274" s="7">
        <v>744797.625</v>
      </c>
      <c r="G274" s="7">
        <v>25</v>
      </c>
      <c r="H274" s="7">
        <v>27337.835914907999</v>
      </c>
      <c r="I274">
        <f t="shared" si="8"/>
        <v>9.1762631207732411E-5</v>
      </c>
      <c r="J274">
        <f t="shared" si="9"/>
        <v>3.3566165037113272E-5</v>
      </c>
    </row>
    <row r="275" spans="1:10" hidden="1" x14ac:dyDescent="0.3">
      <c r="A275" t="s">
        <v>652</v>
      </c>
      <c r="B275" t="s">
        <v>772</v>
      </c>
      <c r="C275" t="s">
        <v>800</v>
      </c>
      <c r="D275" s="7">
        <v>15.556064012463599</v>
      </c>
      <c r="E275" s="7">
        <v>82860</v>
      </c>
      <c r="F275" s="7">
        <v>10100487.615441181</v>
      </c>
      <c r="G275" s="7">
        <v>697</v>
      </c>
      <c r="H275" s="7">
        <v>27205.978780633039</v>
      </c>
      <c r="I275">
        <f t="shared" si="8"/>
        <v>1.8773912638744386E-4</v>
      </c>
      <c r="J275">
        <f t="shared" si="9"/>
        <v>6.9006569438732546E-5</v>
      </c>
    </row>
    <row r="276" spans="1:10" hidden="1" x14ac:dyDescent="0.3">
      <c r="A276" t="s">
        <v>652</v>
      </c>
      <c r="B276" t="s">
        <v>809</v>
      </c>
      <c r="C276" t="s">
        <v>813</v>
      </c>
      <c r="D276" s="7">
        <v>10.38890114063296</v>
      </c>
      <c r="E276" s="7">
        <v>26624</v>
      </c>
      <c r="F276" s="7">
        <v>496642.9375</v>
      </c>
      <c r="G276" s="7">
        <v>72</v>
      </c>
      <c r="H276" s="7">
        <v>26915.848586285221</v>
      </c>
      <c r="I276">
        <f t="shared" si="8"/>
        <v>3.9020812577497595E-4</v>
      </c>
      <c r="J276">
        <f t="shared" si="9"/>
        <v>1.4497336932330787E-4</v>
      </c>
    </row>
    <row r="277" spans="1:10" hidden="1" x14ac:dyDescent="0.3">
      <c r="A277" t="s">
        <v>124</v>
      </c>
      <c r="B277" t="s">
        <v>153</v>
      </c>
      <c r="C277" t="s">
        <v>153</v>
      </c>
      <c r="D277" s="7">
        <v>2.6870946216819269</v>
      </c>
      <c r="E277" s="7">
        <v>4465</v>
      </c>
      <c r="F277" s="7">
        <v>496085.65625</v>
      </c>
      <c r="G277" s="7">
        <v>112</v>
      </c>
      <c r="H277" s="7">
        <v>26656.316965344031</v>
      </c>
      <c r="I277">
        <f t="shared" si="8"/>
        <v>6.0181290519192095E-4</v>
      </c>
      <c r="J277">
        <f t="shared" si="9"/>
        <v>2.2576746291482803E-4</v>
      </c>
    </row>
    <row r="278" spans="1:10" hidden="1" x14ac:dyDescent="0.3">
      <c r="A278" t="s">
        <v>191</v>
      </c>
      <c r="B278" t="s">
        <v>192</v>
      </c>
      <c r="C278" t="s">
        <v>202</v>
      </c>
      <c r="D278" s="7">
        <v>0.84230297976118518</v>
      </c>
      <c r="E278" s="7">
        <v>11557</v>
      </c>
      <c r="F278" s="7">
        <v>1489831.4375</v>
      </c>
      <c r="G278" s="7">
        <v>41</v>
      </c>
      <c r="H278" s="7">
        <v>26483.568382125919</v>
      </c>
      <c r="I278">
        <f t="shared" si="8"/>
        <v>7.2882493706081616E-5</v>
      </c>
      <c r="J278">
        <f t="shared" si="9"/>
        <v>2.7519891826688614E-5</v>
      </c>
    </row>
    <row r="279" spans="1:10" hidden="1" x14ac:dyDescent="0.3">
      <c r="A279" t="s">
        <v>830</v>
      </c>
      <c r="B279" t="s">
        <v>831</v>
      </c>
      <c r="C279" t="s">
        <v>840</v>
      </c>
      <c r="D279" s="7">
        <v>0.98222621805106225</v>
      </c>
      <c r="E279" s="7">
        <v>11990</v>
      </c>
      <c r="F279" s="7">
        <v>3412277.5444240202</v>
      </c>
      <c r="G279" s="7">
        <v>106</v>
      </c>
      <c r="H279" s="7">
        <v>26371.256451132009</v>
      </c>
      <c r="I279">
        <f t="shared" si="8"/>
        <v>8.1920451880822544E-5</v>
      </c>
      <c r="J279">
        <f t="shared" si="9"/>
        <v>3.1064296095496069E-5</v>
      </c>
    </row>
    <row r="280" spans="1:10" hidden="1" x14ac:dyDescent="0.3">
      <c r="A280" t="s">
        <v>406</v>
      </c>
      <c r="B280" t="s">
        <v>414</v>
      </c>
      <c r="C280" t="s">
        <v>414</v>
      </c>
      <c r="D280" s="7">
        <v>1.1969348419292321</v>
      </c>
      <c r="E280" s="7">
        <v>26874</v>
      </c>
      <c r="F280" s="7">
        <v>744041.5</v>
      </c>
      <c r="G280" s="7">
        <v>13</v>
      </c>
      <c r="H280" s="7">
        <v>25491.301148702179</v>
      </c>
      <c r="I280">
        <f t="shared" si="8"/>
        <v>4.4538767653837611E-5</v>
      </c>
      <c r="J280">
        <f t="shared" si="9"/>
        <v>1.7472143690909714E-5</v>
      </c>
    </row>
    <row r="281" spans="1:10" hidden="1" x14ac:dyDescent="0.3">
      <c r="A281" t="s">
        <v>191</v>
      </c>
      <c r="B281" t="s">
        <v>218</v>
      </c>
      <c r="C281" t="s">
        <v>222</v>
      </c>
      <c r="D281" s="7">
        <v>2.57407011084051</v>
      </c>
      <c r="E281" s="7">
        <v>7996</v>
      </c>
      <c r="F281" s="7">
        <v>2405952.4161764709</v>
      </c>
      <c r="G281" s="7">
        <v>306</v>
      </c>
      <c r="H281" s="7">
        <v>25311.226702339569</v>
      </c>
      <c r="I281">
        <f t="shared" si="8"/>
        <v>3.2191972371692221E-4</v>
      </c>
      <c r="J281">
        <f t="shared" si="9"/>
        <v>1.2718456023593929E-4</v>
      </c>
    </row>
    <row r="282" spans="1:10" hidden="1" x14ac:dyDescent="0.3">
      <c r="A282" t="s">
        <v>287</v>
      </c>
      <c r="B282" t="s">
        <v>312</v>
      </c>
      <c r="C282" t="s">
        <v>312</v>
      </c>
      <c r="D282" s="7">
        <v>4.0481426706573123</v>
      </c>
      <c r="E282" s="7">
        <v>63864</v>
      </c>
      <c r="F282" s="7">
        <v>3470861.28125</v>
      </c>
      <c r="G282" s="7">
        <v>88</v>
      </c>
      <c r="H282" s="7">
        <v>25000.821448277231</v>
      </c>
      <c r="I282">
        <f t="shared" si="8"/>
        <v>6.3386926447721916E-5</v>
      </c>
      <c r="J282">
        <f t="shared" si="9"/>
        <v>2.5353937501157515E-5</v>
      </c>
    </row>
    <row r="283" spans="1:10" hidden="1" x14ac:dyDescent="0.3">
      <c r="A283" t="s">
        <v>20</v>
      </c>
      <c r="B283" t="s">
        <v>82</v>
      </c>
      <c r="C283" t="s">
        <v>83</v>
      </c>
      <c r="D283" s="7">
        <v>1.1924918408113261</v>
      </c>
      <c r="E283" s="7">
        <v>2570</v>
      </c>
      <c r="F283" s="7">
        <v>197334.59136029409</v>
      </c>
      <c r="G283" s="7">
        <v>37</v>
      </c>
      <c r="H283" s="7">
        <v>24747.070155325269</v>
      </c>
      <c r="I283">
        <f t="shared" si="8"/>
        <v>4.6400460731958211E-4</v>
      </c>
      <c r="J283">
        <f t="shared" si="9"/>
        <v>1.8749880466950312E-4</v>
      </c>
    </row>
    <row r="284" spans="1:10" hidden="1" x14ac:dyDescent="0.3">
      <c r="A284" t="s">
        <v>460</v>
      </c>
      <c r="B284" t="s">
        <v>488</v>
      </c>
      <c r="C284" t="s">
        <v>488</v>
      </c>
      <c r="D284" s="7">
        <v>3.040239485123875</v>
      </c>
      <c r="E284" s="7">
        <v>10556</v>
      </c>
      <c r="F284" s="7">
        <v>1470446.3416053921</v>
      </c>
      <c r="G284" s="7">
        <v>176</v>
      </c>
      <c r="H284" s="7">
        <v>24062.731603012631</v>
      </c>
      <c r="I284">
        <f t="shared" si="8"/>
        <v>2.8801056130389117E-4</v>
      </c>
      <c r="J284">
        <f t="shared" si="9"/>
        <v>1.1969154876324705E-4</v>
      </c>
    </row>
    <row r="285" spans="1:10" hidden="1" x14ac:dyDescent="0.3">
      <c r="A285" t="s">
        <v>830</v>
      </c>
      <c r="B285" t="s">
        <v>831</v>
      </c>
      <c r="C285" t="s">
        <v>330</v>
      </c>
      <c r="D285" s="7">
        <v>10.66770088783203</v>
      </c>
      <c r="E285" s="7">
        <v>29532</v>
      </c>
      <c r="F285" s="7">
        <v>16279414.07843137</v>
      </c>
      <c r="G285" s="7">
        <v>2496</v>
      </c>
      <c r="H285" s="7">
        <v>23559.830364621281</v>
      </c>
      <c r="I285">
        <f t="shared" si="8"/>
        <v>3.6122514180658369E-4</v>
      </c>
      <c r="J285">
        <f t="shared" si="9"/>
        <v>1.533224714338433E-4</v>
      </c>
    </row>
    <row r="286" spans="1:10" hidden="1" x14ac:dyDescent="0.3">
      <c r="A286" t="s">
        <v>499</v>
      </c>
      <c r="B286" t="s">
        <v>570</v>
      </c>
      <c r="C286" t="s">
        <v>570</v>
      </c>
      <c r="D286" s="7">
        <v>0.91736546644671924</v>
      </c>
      <c r="E286" s="7">
        <v>6131</v>
      </c>
      <c r="F286" s="7">
        <v>314619.38602941181</v>
      </c>
      <c r="G286" s="7">
        <v>20</v>
      </c>
      <c r="H286" s="7">
        <v>23537.8372058434</v>
      </c>
      <c r="I286">
        <f t="shared" si="8"/>
        <v>1.4962737994564008E-4</v>
      </c>
      <c r="J286">
        <f t="shared" si="9"/>
        <v>6.3568873655262689E-5</v>
      </c>
    </row>
    <row r="287" spans="1:10" hidden="1" x14ac:dyDescent="0.3">
      <c r="A287" t="s">
        <v>612</v>
      </c>
      <c r="B287" t="s">
        <v>668</v>
      </c>
      <c r="C287" t="s">
        <v>670</v>
      </c>
      <c r="D287" s="7">
        <v>1.302064579884374</v>
      </c>
      <c r="E287" s="7">
        <v>6063</v>
      </c>
      <c r="F287" s="7">
        <v>1909901.3946691181</v>
      </c>
      <c r="G287" s="7">
        <v>195</v>
      </c>
      <c r="H287" s="7">
        <v>21033.971987045628</v>
      </c>
      <c r="I287">
        <f t="shared" si="8"/>
        <v>2.1475582712920566E-4</v>
      </c>
      <c r="J287">
        <f t="shared" si="9"/>
        <v>1.0209951180949992E-4</v>
      </c>
    </row>
    <row r="288" spans="1:10" hidden="1" x14ac:dyDescent="0.3">
      <c r="A288" t="s">
        <v>191</v>
      </c>
      <c r="B288" t="s">
        <v>227</v>
      </c>
      <c r="C288" t="s">
        <v>228</v>
      </c>
      <c r="D288" s="7">
        <v>0.65783114777453444</v>
      </c>
      <c r="E288" s="7">
        <v>6362</v>
      </c>
      <c r="F288" s="7">
        <v>2123700.1075367639</v>
      </c>
      <c r="G288" s="7">
        <v>106</v>
      </c>
      <c r="H288" s="7">
        <v>20716.104453770498</v>
      </c>
      <c r="I288">
        <f t="shared" si="8"/>
        <v>1.0340005466434052E-4</v>
      </c>
      <c r="J288">
        <f t="shared" si="9"/>
        <v>4.9912885356938281E-5</v>
      </c>
    </row>
    <row r="289" spans="1:10" hidden="1" x14ac:dyDescent="0.3">
      <c r="A289" t="s">
        <v>830</v>
      </c>
      <c r="B289" t="s">
        <v>831</v>
      </c>
      <c r="C289" t="s">
        <v>844</v>
      </c>
      <c r="D289" s="7">
        <v>6.6142426169050399</v>
      </c>
      <c r="E289" s="7">
        <v>5807</v>
      </c>
      <c r="F289" s="7">
        <v>744835.6875</v>
      </c>
      <c r="G289" s="7">
        <v>410</v>
      </c>
      <c r="H289" s="7">
        <v>20692.116524019639</v>
      </c>
      <c r="I289">
        <f t="shared" si="8"/>
        <v>1.1390119884458481E-3</v>
      </c>
      <c r="J289">
        <f t="shared" si="9"/>
        <v>5.504569757876968E-4</v>
      </c>
    </row>
    <row r="290" spans="1:10" hidden="1" x14ac:dyDescent="0.3">
      <c r="A290" t="s">
        <v>652</v>
      </c>
      <c r="B290" t="s">
        <v>772</v>
      </c>
      <c r="C290" t="s">
        <v>801</v>
      </c>
      <c r="D290" s="7">
        <v>8.0614271444482171</v>
      </c>
      <c r="E290" s="7">
        <v>27831</v>
      </c>
      <c r="F290" s="7">
        <v>3579784.25502451</v>
      </c>
      <c r="G290" s="7">
        <v>502</v>
      </c>
      <c r="H290" s="7">
        <v>20655.525978957889</v>
      </c>
      <c r="I290">
        <f t="shared" si="8"/>
        <v>2.8965639554626914E-4</v>
      </c>
      <c r="J290">
        <f t="shared" si="9"/>
        <v>1.4023191461759276E-4</v>
      </c>
    </row>
    <row r="291" spans="1:10" hidden="1" x14ac:dyDescent="0.3">
      <c r="A291" t="s">
        <v>652</v>
      </c>
      <c r="B291" t="s">
        <v>772</v>
      </c>
      <c r="C291" t="s">
        <v>784</v>
      </c>
      <c r="D291" s="7">
        <v>7.2180076697126747</v>
      </c>
      <c r="E291" s="7">
        <v>11985</v>
      </c>
      <c r="F291" s="7">
        <v>496646.140625</v>
      </c>
      <c r="G291" s="7">
        <v>146</v>
      </c>
      <c r="H291" s="7">
        <v>20486.770861776131</v>
      </c>
      <c r="I291">
        <f t="shared" si="8"/>
        <v>6.0225345596267622E-4</v>
      </c>
      <c r="J291">
        <f t="shared" si="9"/>
        <v>2.9397188069611811E-4</v>
      </c>
    </row>
    <row r="292" spans="1:10" hidden="1" x14ac:dyDescent="0.3">
      <c r="A292" t="s">
        <v>20</v>
      </c>
      <c r="B292" t="s">
        <v>21</v>
      </c>
      <c r="C292" t="s">
        <v>21</v>
      </c>
      <c r="D292" s="7">
        <v>66.805288387192547</v>
      </c>
      <c r="E292" s="7">
        <v>378564</v>
      </c>
      <c r="F292" s="7">
        <v>59784170.367892161</v>
      </c>
      <c r="G292" s="7">
        <v>5319</v>
      </c>
      <c r="H292" s="7">
        <v>19834.796442500861</v>
      </c>
      <c r="I292">
        <f t="shared" si="8"/>
        <v>1.764702623260335E-4</v>
      </c>
      <c r="J292">
        <f t="shared" si="9"/>
        <v>8.8970039514952207E-5</v>
      </c>
    </row>
    <row r="293" spans="1:10" hidden="1" x14ac:dyDescent="0.3">
      <c r="A293" t="s">
        <v>460</v>
      </c>
      <c r="B293" t="s">
        <v>492</v>
      </c>
      <c r="C293" t="s">
        <v>493</v>
      </c>
      <c r="D293" s="7">
        <v>3.5079063733303739</v>
      </c>
      <c r="E293" s="7">
        <v>6864</v>
      </c>
      <c r="F293" s="7">
        <v>496639.671875</v>
      </c>
      <c r="G293" s="7">
        <v>128</v>
      </c>
      <c r="H293" s="7">
        <v>19829.061387071801</v>
      </c>
      <c r="I293">
        <f t="shared" si="8"/>
        <v>5.1105862082318962E-4</v>
      </c>
      <c r="J293">
        <f t="shared" si="9"/>
        <v>2.5773212904388456E-4</v>
      </c>
    </row>
    <row r="294" spans="1:10" hidden="1" x14ac:dyDescent="0.3">
      <c r="A294" t="s">
        <v>191</v>
      </c>
      <c r="B294" t="s">
        <v>192</v>
      </c>
      <c r="C294" t="s">
        <v>195</v>
      </c>
      <c r="D294" s="7">
        <v>6.9874430440091784</v>
      </c>
      <c r="E294" s="7">
        <v>15962</v>
      </c>
      <c r="F294" s="7">
        <v>3432409.760477941</v>
      </c>
      <c r="G294" s="7">
        <v>792</v>
      </c>
      <c r="H294" s="7">
        <v>18971.642012975892</v>
      </c>
      <c r="I294">
        <f t="shared" si="8"/>
        <v>4.3775485803841489E-4</v>
      </c>
      <c r="J294">
        <f t="shared" si="9"/>
        <v>2.3074168157875157E-4</v>
      </c>
    </row>
    <row r="295" spans="1:10" hidden="1" x14ac:dyDescent="0.3">
      <c r="A295" t="s">
        <v>652</v>
      </c>
      <c r="B295" t="s">
        <v>803</v>
      </c>
      <c r="C295" t="s">
        <v>805</v>
      </c>
      <c r="D295" s="7">
        <v>1.5799725852698761</v>
      </c>
      <c r="E295" s="7">
        <v>18891</v>
      </c>
      <c r="F295" s="7">
        <v>6643461.6333333338</v>
      </c>
      <c r="G295" s="7">
        <v>318</v>
      </c>
      <c r="H295" s="7">
        <v>17472.776214621019</v>
      </c>
      <c r="I295">
        <f t="shared" si="8"/>
        <v>8.3636259873478162E-5</v>
      </c>
      <c r="J295">
        <f t="shared" si="9"/>
        <v>4.7866611948874101E-5</v>
      </c>
    </row>
    <row r="296" spans="1:10" hidden="1" x14ac:dyDescent="0.3">
      <c r="A296" t="s">
        <v>191</v>
      </c>
      <c r="B296" t="s">
        <v>203</v>
      </c>
      <c r="C296" t="s">
        <v>203</v>
      </c>
      <c r="D296" s="7">
        <v>2.0569136281915621</v>
      </c>
      <c r="E296" s="7">
        <v>50228</v>
      </c>
      <c r="F296" s="7">
        <v>3724403.4375</v>
      </c>
      <c r="G296" s="7">
        <v>89</v>
      </c>
      <c r="H296" s="7">
        <v>17137.082292336268</v>
      </c>
      <c r="I296">
        <f t="shared" si="8"/>
        <v>4.0951533570748628E-5</v>
      </c>
      <c r="J296">
        <f t="shared" si="9"/>
        <v>2.3896444489306215E-5</v>
      </c>
    </row>
    <row r="297" spans="1:10" hidden="1" x14ac:dyDescent="0.3">
      <c r="A297" t="s">
        <v>406</v>
      </c>
      <c r="B297" t="s">
        <v>459</v>
      </c>
      <c r="C297" t="s">
        <v>459</v>
      </c>
      <c r="D297" s="7">
        <v>1.751745005150861</v>
      </c>
      <c r="E297" s="7">
        <v>15000</v>
      </c>
      <c r="F297" s="7">
        <v>1489179.984375</v>
      </c>
      <c r="G297" s="7">
        <v>102</v>
      </c>
      <c r="H297" s="7">
        <v>17050.088884964342</v>
      </c>
      <c r="I297">
        <f t="shared" si="8"/>
        <v>1.1678300034339073E-4</v>
      </c>
      <c r="J297">
        <f t="shared" si="9"/>
        <v>6.8494071280986754E-5</v>
      </c>
    </row>
    <row r="298" spans="1:10" hidden="1" x14ac:dyDescent="0.3">
      <c r="A298" t="s">
        <v>874</v>
      </c>
      <c r="B298" t="s">
        <v>881</v>
      </c>
      <c r="C298" t="s">
        <v>882</v>
      </c>
      <c r="D298" s="7">
        <v>0.74858129420357133</v>
      </c>
      <c r="E298" s="7">
        <v>8374</v>
      </c>
      <c r="F298" s="7">
        <v>742366.609375</v>
      </c>
      <c r="G298" s="7">
        <v>39</v>
      </c>
      <c r="H298" s="7">
        <v>17016.092460162239</v>
      </c>
      <c r="I298">
        <f t="shared" si="8"/>
        <v>8.939351495146541E-5</v>
      </c>
      <c r="J298">
        <f t="shared" si="9"/>
        <v>5.2534690417762975E-5</v>
      </c>
    </row>
    <row r="299" spans="1:10" hidden="1" x14ac:dyDescent="0.3">
      <c r="A299" t="s">
        <v>406</v>
      </c>
      <c r="B299" t="s">
        <v>422</v>
      </c>
      <c r="C299" t="s">
        <v>357</v>
      </c>
      <c r="D299" s="7">
        <v>15.882304036606159</v>
      </c>
      <c r="E299" s="7">
        <v>318397</v>
      </c>
      <c r="F299" s="7">
        <v>31655425.207414221</v>
      </c>
      <c r="G299" s="7">
        <v>947</v>
      </c>
      <c r="H299" s="7">
        <v>16674.111869649911</v>
      </c>
      <c r="I299">
        <f t="shared" si="8"/>
        <v>4.9882078149625024E-5</v>
      </c>
      <c r="J299">
        <f t="shared" si="9"/>
        <v>2.9915883100448671E-5</v>
      </c>
    </row>
    <row r="300" spans="1:10" hidden="1" x14ac:dyDescent="0.3">
      <c r="A300" t="s">
        <v>940</v>
      </c>
      <c r="B300" t="s">
        <v>940</v>
      </c>
      <c r="C300" t="s">
        <v>1004</v>
      </c>
      <c r="D300" s="7">
        <v>1.0302968521028379</v>
      </c>
      <c r="E300" s="7">
        <v>41836</v>
      </c>
      <c r="F300" s="7">
        <v>8989954.5601715688</v>
      </c>
      <c r="G300" s="7">
        <v>133</v>
      </c>
      <c r="H300" s="7">
        <v>16646.313682953059</v>
      </c>
      <c r="I300">
        <f t="shared" si="8"/>
        <v>2.4627040159260876E-5</v>
      </c>
      <c r="J300">
        <f t="shared" si="9"/>
        <v>1.4794290572861556E-5</v>
      </c>
    </row>
    <row r="301" spans="1:10" hidden="1" x14ac:dyDescent="0.3">
      <c r="A301" t="s">
        <v>20</v>
      </c>
      <c r="B301" t="s">
        <v>21</v>
      </c>
      <c r="C301" t="s">
        <v>28</v>
      </c>
      <c r="D301" s="7">
        <v>0.77041289200961049</v>
      </c>
      <c r="E301" s="7">
        <v>7207</v>
      </c>
      <c r="F301" s="7">
        <v>496077.375</v>
      </c>
      <c r="G301" s="7">
        <v>32</v>
      </c>
      <c r="H301" s="7">
        <v>16571.753379279089</v>
      </c>
      <c r="I301">
        <f t="shared" si="8"/>
        <v>1.0689786207986826E-4</v>
      </c>
      <c r="J301">
        <f t="shared" si="9"/>
        <v>6.4506066215980922E-5</v>
      </c>
    </row>
    <row r="302" spans="1:10" hidden="1" x14ac:dyDescent="0.3">
      <c r="A302" t="s">
        <v>20</v>
      </c>
      <c r="B302" t="s">
        <v>21</v>
      </c>
      <c r="C302" t="s">
        <v>31</v>
      </c>
      <c r="D302" s="7">
        <v>10.8171784735146</v>
      </c>
      <c r="E302" s="7">
        <v>8892</v>
      </c>
      <c r="F302" s="7">
        <v>2152399.911458333</v>
      </c>
      <c r="G302" s="7">
        <v>1612</v>
      </c>
      <c r="H302" s="7">
        <v>16243.232819629469</v>
      </c>
      <c r="I302">
        <f t="shared" si="8"/>
        <v>1.216506800890081E-3</v>
      </c>
      <c r="J302">
        <f t="shared" si="9"/>
        <v>7.4893145619384853E-4</v>
      </c>
    </row>
    <row r="303" spans="1:10" hidden="1" x14ac:dyDescent="0.3">
      <c r="A303" t="s">
        <v>586</v>
      </c>
      <c r="B303" t="s">
        <v>595</v>
      </c>
      <c r="C303" t="s">
        <v>595</v>
      </c>
      <c r="D303" s="7">
        <v>1.51746163297514</v>
      </c>
      <c r="E303" s="7">
        <v>15688</v>
      </c>
      <c r="F303" s="7">
        <v>2234143.453125</v>
      </c>
      <c r="G303" s="7">
        <v>134</v>
      </c>
      <c r="H303" s="7">
        <v>16127.10434004021</v>
      </c>
      <c r="I303">
        <f t="shared" si="8"/>
        <v>9.6727539072867166E-5</v>
      </c>
      <c r="J303">
        <f t="shared" si="9"/>
        <v>5.9978243479651223E-5</v>
      </c>
    </row>
    <row r="304" spans="1:10" hidden="1" x14ac:dyDescent="0.3">
      <c r="A304" t="s">
        <v>499</v>
      </c>
      <c r="B304" t="s">
        <v>539</v>
      </c>
      <c r="C304" t="s">
        <v>539</v>
      </c>
      <c r="D304" s="7">
        <v>0.94507366674189164</v>
      </c>
      <c r="E304" s="7">
        <v>15961</v>
      </c>
      <c r="F304" s="7">
        <v>4442588.5762867648</v>
      </c>
      <c r="G304" s="7">
        <v>169</v>
      </c>
      <c r="H304" s="7">
        <v>15565.20896763143</v>
      </c>
      <c r="I304">
        <f t="shared" si="8"/>
        <v>5.9211432036958312E-5</v>
      </c>
      <c r="J304">
        <f t="shared" si="9"/>
        <v>3.8040884745004847E-5</v>
      </c>
    </row>
    <row r="305" spans="1:10" hidden="1" x14ac:dyDescent="0.3">
      <c r="A305" t="s">
        <v>191</v>
      </c>
      <c r="B305" t="s">
        <v>227</v>
      </c>
      <c r="C305" t="s">
        <v>227</v>
      </c>
      <c r="D305" s="7">
        <v>0.70213250571384811</v>
      </c>
      <c r="E305" s="7">
        <v>7920</v>
      </c>
      <c r="F305" s="7">
        <v>744924.421875</v>
      </c>
      <c r="G305" s="7">
        <v>43</v>
      </c>
      <c r="H305" s="7">
        <v>15358.105793356041</v>
      </c>
      <c r="I305">
        <f t="shared" si="8"/>
        <v>8.8653094155788899E-5</v>
      </c>
      <c r="J305">
        <f t="shared" si="9"/>
        <v>5.7723976738160285E-5</v>
      </c>
    </row>
    <row r="306" spans="1:10" hidden="1" x14ac:dyDescent="0.3">
      <c r="A306" t="s">
        <v>674</v>
      </c>
      <c r="B306" t="s">
        <v>714</v>
      </c>
      <c r="C306" t="s">
        <v>714</v>
      </c>
      <c r="D306" s="7">
        <v>1.114998263110573</v>
      </c>
      <c r="E306" s="7">
        <v>2668</v>
      </c>
      <c r="F306" s="7">
        <v>743906.9375</v>
      </c>
      <c r="G306" s="7">
        <v>210</v>
      </c>
      <c r="H306" s="7">
        <v>14804.293268158881</v>
      </c>
      <c r="I306">
        <f t="shared" si="8"/>
        <v>4.1791539097097943E-4</v>
      </c>
      <c r="J306">
        <f t="shared" si="9"/>
        <v>2.8229337490215303E-4</v>
      </c>
    </row>
    <row r="307" spans="1:10" hidden="1" x14ac:dyDescent="0.3">
      <c r="A307" t="s">
        <v>612</v>
      </c>
      <c r="B307" t="s">
        <v>643</v>
      </c>
      <c r="C307" t="s">
        <v>644</v>
      </c>
      <c r="D307" s="7">
        <v>2.5614508212117681</v>
      </c>
      <c r="E307" s="7">
        <v>4012</v>
      </c>
      <c r="F307" s="7">
        <v>2182033.1556372549</v>
      </c>
      <c r="G307" s="7">
        <v>952</v>
      </c>
      <c r="H307" s="7">
        <v>14633.54322122486</v>
      </c>
      <c r="I307">
        <f t="shared" si="8"/>
        <v>6.3844736321330209E-4</v>
      </c>
      <c r="J307">
        <f t="shared" si="9"/>
        <v>4.3629034579081442E-4</v>
      </c>
    </row>
    <row r="308" spans="1:10" hidden="1" x14ac:dyDescent="0.3">
      <c r="A308" t="s">
        <v>674</v>
      </c>
      <c r="B308" t="s">
        <v>675</v>
      </c>
      <c r="C308" t="s">
        <v>676</v>
      </c>
      <c r="D308" s="7">
        <v>7.5093485201931287</v>
      </c>
      <c r="E308" s="7">
        <v>23697</v>
      </c>
      <c r="F308" s="7">
        <v>496260.453125</v>
      </c>
      <c r="G308" s="7">
        <v>109</v>
      </c>
      <c r="H308" s="7">
        <v>14427.53253442676</v>
      </c>
      <c r="I308">
        <f t="shared" si="8"/>
        <v>3.1689026122264964E-4</v>
      </c>
      <c r="J308">
        <f t="shared" si="9"/>
        <v>2.1964272855839404E-4</v>
      </c>
    </row>
    <row r="309" spans="1:10" hidden="1" x14ac:dyDescent="0.3">
      <c r="A309" t="s">
        <v>232</v>
      </c>
      <c r="B309" t="s">
        <v>233</v>
      </c>
      <c r="C309" t="s">
        <v>233</v>
      </c>
      <c r="D309" s="7">
        <v>26.7511045047053</v>
      </c>
      <c r="E309" s="7">
        <v>197765</v>
      </c>
      <c r="F309" s="7">
        <v>61173051.714522026</v>
      </c>
      <c r="G309" s="7">
        <v>5754</v>
      </c>
      <c r="H309" s="7">
        <v>14380.784334163691</v>
      </c>
      <c r="I309">
        <f t="shared" si="8"/>
        <v>1.3526713273180442E-4</v>
      </c>
      <c r="J309">
        <f t="shared" si="9"/>
        <v>9.4061025872182265E-5</v>
      </c>
    </row>
    <row r="310" spans="1:10" hidden="1" x14ac:dyDescent="0.3">
      <c r="A310" t="s">
        <v>460</v>
      </c>
      <c r="B310" t="s">
        <v>461</v>
      </c>
      <c r="C310" t="s">
        <v>462</v>
      </c>
      <c r="D310" s="7">
        <v>10.64862767927748</v>
      </c>
      <c r="E310" s="7">
        <v>175989</v>
      </c>
      <c r="F310" s="7">
        <v>32341220.518075991</v>
      </c>
      <c r="G310" s="7">
        <v>1362</v>
      </c>
      <c r="H310" s="7">
        <v>14367.705483528411</v>
      </c>
      <c r="I310">
        <f t="shared" si="8"/>
        <v>6.0507348068785432E-5</v>
      </c>
      <c r="J310">
        <f t="shared" si="9"/>
        <v>4.2113438459712983E-5</v>
      </c>
    </row>
    <row r="311" spans="1:10" hidden="1" x14ac:dyDescent="0.3">
      <c r="A311" t="s">
        <v>830</v>
      </c>
      <c r="B311" t="s">
        <v>831</v>
      </c>
      <c r="C311" t="s">
        <v>837</v>
      </c>
      <c r="D311" s="7">
        <v>4.4754281741223263</v>
      </c>
      <c r="E311" s="7">
        <v>7878</v>
      </c>
      <c r="F311" s="7">
        <v>1560658.036335784</v>
      </c>
      <c r="G311" s="7">
        <v>619</v>
      </c>
      <c r="H311" s="7">
        <v>14323.05696194017</v>
      </c>
      <c r="I311">
        <f t="shared" si="8"/>
        <v>5.6809192360019378E-4</v>
      </c>
      <c r="J311">
        <f t="shared" si="9"/>
        <v>3.9662756708274739E-4</v>
      </c>
    </row>
    <row r="312" spans="1:10" hidden="1" x14ac:dyDescent="0.3">
      <c r="A312" t="s">
        <v>287</v>
      </c>
      <c r="B312" t="s">
        <v>330</v>
      </c>
      <c r="C312" t="s">
        <v>331</v>
      </c>
      <c r="D312" s="7">
        <v>3.85062534719453</v>
      </c>
      <c r="E312" s="7">
        <v>5291</v>
      </c>
      <c r="F312" s="7">
        <v>1944.165196078432</v>
      </c>
      <c r="G312" s="7">
        <v>1</v>
      </c>
      <c r="H312" s="7">
        <v>14149.030019189249</v>
      </c>
      <c r="I312">
        <f t="shared" si="8"/>
        <v>7.277689183886846E-4</v>
      </c>
      <c r="J312">
        <f t="shared" si="9"/>
        <v>5.143595832376261E-4</v>
      </c>
    </row>
    <row r="313" spans="1:10" hidden="1" x14ac:dyDescent="0.3">
      <c r="A313" t="s">
        <v>97</v>
      </c>
      <c r="B313" t="s">
        <v>98</v>
      </c>
      <c r="C313" t="s">
        <v>98</v>
      </c>
      <c r="D313" s="7">
        <v>2.0640041873349619</v>
      </c>
      <c r="E313" s="7">
        <v>65543</v>
      </c>
      <c r="F313" s="7">
        <v>8565660.0443627462</v>
      </c>
      <c r="G313" s="7">
        <v>191</v>
      </c>
      <c r="H313" s="7">
        <v>14122.504604788441</v>
      </c>
      <c r="I313">
        <f t="shared" si="8"/>
        <v>3.1490840933966435E-5</v>
      </c>
      <c r="J313">
        <f t="shared" si="9"/>
        <v>2.2298340000745347E-5</v>
      </c>
    </row>
    <row r="314" spans="1:10" hidden="1" x14ac:dyDescent="0.3">
      <c r="A314" t="s">
        <v>191</v>
      </c>
      <c r="B314" t="s">
        <v>211</v>
      </c>
      <c r="C314" t="s">
        <v>211</v>
      </c>
      <c r="D314" s="7">
        <v>2.057593178477251</v>
      </c>
      <c r="E314" s="7">
        <v>44607</v>
      </c>
      <c r="F314" s="7">
        <v>73412045.510968134</v>
      </c>
      <c r="G314" s="7">
        <v>2410</v>
      </c>
      <c r="H314" s="7">
        <v>14050.985249177949</v>
      </c>
      <c r="I314">
        <f t="shared" si="8"/>
        <v>4.6127136513938419E-5</v>
      </c>
      <c r="J314">
        <f t="shared" si="9"/>
        <v>3.2828400070121106E-5</v>
      </c>
    </row>
    <row r="315" spans="1:10" hidden="1" x14ac:dyDescent="0.3">
      <c r="A315" t="s">
        <v>830</v>
      </c>
      <c r="B315" t="s">
        <v>864</v>
      </c>
      <c r="C315" t="s">
        <v>868</v>
      </c>
      <c r="D315" s="7">
        <v>1.193110509562834</v>
      </c>
      <c r="E315" s="7">
        <v>2374</v>
      </c>
      <c r="F315" s="7">
        <v>147991.75888480389</v>
      </c>
      <c r="G315" s="7">
        <v>55</v>
      </c>
      <c r="H315" s="7">
        <v>13523.054518966719</v>
      </c>
      <c r="I315">
        <f t="shared" si="8"/>
        <v>5.0257392989167394E-4</v>
      </c>
      <c r="J315">
        <f t="shared" si="9"/>
        <v>3.7164231585903206E-4</v>
      </c>
    </row>
    <row r="316" spans="1:10" hidden="1" x14ac:dyDescent="0.3">
      <c r="A316" t="s">
        <v>830</v>
      </c>
      <c r="B316" t="s">
        <v>864</v>
      </c>
      <c r="C316" t="s">
        <v>869</v>
      </c>
      <c r="D316" s="7">
        <v>8.1256181078399443</v>
      </c>
      <c r="E316" s="7">
        <v>3418</v>
      </c>
      <c r="F316" s="7">
        <v>152860.6020833333</v>
      </c>
      <c r="G316" s="7">
        <v>284</v>
      </c>
      <c r="H316" s="7">
        <v>12795.62708881367</v>
      </c>
      <c r="I316">
        <f t="shared" si="8"/>
        <v>2.3773019625043723E-3</v>
      </c>
      <c r="J316">
        <f t="shared" si="9"/>
        <v>1.8579018800748599E-3</v>
      </c>
    </row>
    <row r="317" spans="1:10" hidden="1" x14ac:dyDescent="0.3">
      <c r="A317" t="s">
        <v>990</v>
      </c>
      <c r="B317" t="s">
        <v>991</v>
      </c>
      <c r="C317" t="s">
        <v>994</v>
      </c>
      <c r="D317" s="7">
        <v>1.4616461688726139</v>
      </c>
      <c r="E317" s="7">
        <v>12183</v>
      </c>
      <c r="F317" s="7">
        <v>496641.5625</v>
      </c>
      <c r="G317" s="7">
        <v>47</v>
      </c>
      <c r="H317" s="7">
        <v>12677.488113556101</v>
      </c>
      <c r="I317">
        <f t="shared" si="8"/>
        <v>1.1997424024235524E-4</v>
      </c>
      <c r="J317">
        <f t="shared" si="9"/>
        <v>9.4635655871028716E-5</v>
      </c>
    </row>
    <row r="318" spans="1:10" hidden="1" x14ac:dyDescent="0.3">
      <c r="A318" t="s">
        <v>499</v>
      </c>
      <c r="B318" t="s">
        <v>499</v>
      </c>
      <c r="C318" t="s">
        <v>499</v>
      </c>
      <c r="D318" s="7">
        <v>7.137780994102199</v>
      </c>
      <c r="E318" s="7">
        <v>224381</v>
      </c>
      <c r="F318" s="7">
        <v>28242327.796875</v>
      </c>
      <c r="G318" s="7">
        <v>718</v>
      </c>
      <c r="H318" s="7">
        <v>12512.762010218081</v>
      </c>
      <c r="I318">
        <f t="shared" si="8"/>
        <v>3.1810986643709579E-5</v>
      </c>
      <c r="J318">
        <f t="shared" si="9"/>
        <v>2.5422833597995642E-5</v>
      </c>
    </row>
    <row r="319" spans="1:10" hidden="1" x14ac:dyDescent="0.3">
      <c r="A319" t="s">
        <v>612</v>
      </c>
      <c r="B319" t="s">
        <v>635</v>
      </c>
      <c r="C319" t="s">
        <v>635</v>
      </c>
      <c r="D319" s="7">
        <v>2.1727678819841301</v>
      </c>
      <c r="E319" s="7">
        <v>57251</v>
      </c>
      <c r="F319" s="7">
        <v>7447765.609375</v>
      </c>
      <c r="G319" s="7">
        <v>226</v>
      </c>
      <c r="H319" s="7">
        <v>12506.846430317761</v>
      </c>
      <c r="I319">
        <f t="shared" si="8"/>
        <v>3.7951614504272936E-5</v>
      </c>
      <c r="J319">
        <f t="shared" si="9"/>
        <v>3.0344671389163845E-5</v>
      </c>
    </row>
    <row r="320" spans="1:10" hidden="1" x14ac:dyDescent="0.3">
      <c r="A320" t="s">
        <v>191</v>
      </c>
      <c r="B320" t="s">
        <v>192</v>
      </c>
      <c r="C320" t="s">
        <v>194</v>
      </c>
      <c r="D320" s="7">
        <v>5.3463921036745878</v>
      </c>
      <c r="E320" s="7">
        <v>7648</v>
      </c>
      <c r="F320" s="7">
        <v>3228755.4239583332</v>
      </c>
      <c r="G320" s="7">
        <v>1814</v>
      </c>
      <c r="H320" s="7">
        <v>12442.59007647641</v>
      </c>
      <c r="I320">
        <f t="shared" si="8"/>
        <v>6.9905754493653079E-4</v>
      </c>
      <c r="J320">
        <f t="shared" si="9"/>
        <v>5.6182638875015931E-4</v>
      </c>
    </row>
    <row r="321" spans="1:10" hidden="1" x14ac:dyDescent="0.3">
      <c r="A321" t="s">
        <v>652</v>
      </c>
      <c r="B321" t="s">
        <v>803</v>
      </c>
      <c r="C321" t="s">
        <v>803</v>
      </c>
      <c r="D321" s="7">
        <v>3.7388634666211189</v>
      </c>
      <c r="E321" s="7">
        <v>51654</v>
      </c>
      <c r="F321" s="7">
        <v>8707977.406740196</v>
      </c>
      <c r="G321" s="7">
        <v>517</v>
      </c>
      <c r="H321" s="7">
        <v>12191.64753146683</v>
      </c>
      <c r="I321">
        <f t="shared" si="8"/>
        <v>7.2382844825591807E-5</v>
      </c>
      <c r="J321">
        <f t="shared" si="9"/>
        <v>5.9370847655143067E-5</v>
      </c>
    </row>
    <row r="322" spans="1:10" hidden="1" x14ac:dyDescent="0.3">
      <c r="A322" t="s">
        <v>586</v>
      </c>
      <c r="B322" t="s">
        <v>603</v>
      </c>
      <c r="C322" t="s">
        <v>604</v>
      </c>
      <c r="D322" s="7">
        <v>1.5181792447094391</v>
      </c>
      <c r="E322" s="7">
        <v>18237</v>
      </c>
      <c r="F322" s="7">
        <v>496453.859375</v>
      </c>
      <c r="G322" s="7">
        <v>35</v>
      </c>
      <c r="H322" s="7">
        <v>11808.11294556629</v>
      </c>
      <c r="I322">
        <f t="shared" si="8"/>
        <v>8.3247203197315295E-5</v>
      </c>
      <c r="J322">
        <f t="shared" si="9"/>
        <v>7.0500005869754951E-5</v>
      </c>
    </row>
    <row r="323" spans="1:10" hidden="1" x14ac:dyDescent="0.3">
      <c r="A323" t="s">
        <v>191</v>
      </c>
      <c r="B323" t="s">
        <v>227</v>
      </c>
      <c r="C323" t="s">
        <v>229</v>
      </c>
      <c r="D323" s="7">
        <v>0.83285142787500288</v>
      </c>
      <c r="E323" s="7">
        <v>2036</v>
      </c>
      <c r="F323" s="7">
        <v>150928.25723039219</v>
      </c>
      <c r="G323" s="7">
        <v>53</v>
      </c>
      <c r="H323" s="7">
        <v>11648.887435687609</v>
      </c>
      <c r="I323">
        <f t="shared" ref="I323:I386" si="10">D323/E323</f>
        <v>4.0906258736493265E-4</v>
      </c>
      <c r="J323">
        <f t="shared" ref="J323:J386" si="11">G323/F323</f>
        <v>3.5116021991226883E-4</v>
      </c>
    </row>
    <row r="324" spans="1:10" hidden="1" x14ac:dyDescent="0.3">
      <c r="A324" t="s">
        <v>20</v>
      </c>
      <c r="B324" t="s">
        <v>55</v>
      </c>
      <c r="C324" t="s">
        <v>57</v>
      </c>
      <c r="D324" s="7">
        <v>0.87060322900523635</v>
      </c>
      <c r="E324" s="7">
        <v>1454</v>
      </c>
      <c r="F324" s="7">
        <v>1944.1741421568629</v>
      </c>
      <c r="G324" s="7">
        <v>1</v>
      </c>
      <c r="H324" s="7">
        <v>11641.019848075999</v>
      </c>
      <c r="I324">
        <f t="shared" si="10"/>
        <v>5.9876425653730149E-4</v>
      </c>
      <c r="J324">
        <f t="shared" si="11"/>
        <v>5.1435721642229123E-4</v>
      </c>
    </row>
    <row r="325" spans="1:10" hidden="1" x14ac:dyDescent="0.3">
      <c r="A325" t="s">
        <v>730</v>
      </c>
      <c r="B325" t="s">
        <v>739</v>
      </c>
      <c r="C325" t="s">
        <v>739</v>
      </c>
      <c r="D325" s="7">
        <v>0.79098112599467751</v>
      </c>
      <c r="E325" s="7">
        <v>16052</v>
      </c>
      <c r="F325" s="7">
        <v>1986366.109375</v>
      </c>
      <c r="G325" s="7">
        <v>88</v>
      </c>
      <c r="H325" s="7">
        <v>11122.78632676121</v>
      </c>
      <c r="I325">
        <f t="shared" si="10"/>
        <v>4.9276172813025013E-5</v>
      </c>
      <c r="J325">
        <f t="shared" si="11"/>
        <v>4.4302004340825548E-5</v>
      </c>
    </row>
    <row r="326" spans="1:10" hidden="1" x14ac:dyDescent="0.3">
      <c r="A326" t="s">
        <v>922</v>
      </c>
      <c r="B326" t="s">
        <v>956</v>
      </c>
      <c r="C326" t="s">
        <v>957</v>
      </c>
      <c r="D326" s="7">
        <v>0.90336429884032021</v>
      </c>
      <c r="E326" s="7">
        <v>7072</v>
      </c>
      <c r="F326" s="7">
        <v>496651.59375</v>
      </c>
      <c r="G326" s="7">
        <v>60</v>
      </c>
      <c r="H326" s="7">
        <v>10573.56049104205</v>
      </c>
      <c r="I326">
        <f t="shared" si="10"/>
        <v>1.2773816442877831E-4</v>
      </c>
      <c r="J326">
        <f t="shared" si="11"/>
        <v>1.2080903545877326E-4</v>
      </c>
    </row>
    <row r="327" spans="1:10" hidden="1" x14ac:dyDescent="0.3">
      <c r="A327" t="s">
        <v>830</v>
      </c>
      <c r="B327" t="s">
        <v>831</v>
      </c>
      <c r="C327" t="s">
        <v>831</v>
      </c>
      <c r="D327" s="7">
        <v>49.79970432839248</v>
      </c>
      <c r="E327" s="7">
        <v>197242</v>
      </c>
      <c r="F327" s="7">
        <v>46779558.402696073</v>
      </c>
      <c r="G327" s="7">
        <v>11678</v>
      </c>
      <c r="H327" s="7">
        <v>10113.81519169137</v>
      </c>
      <c r="I327">
        <f t="shared" si="10"/>
        <v>2.5248022392995652E-4</v>
      </c>
      <c r="J327">
        <f t="shared" si="11"/>
        <v>2.4963895339651077E-4</v>
      </c>
    </row>
    <row r="328" spans="1:10" hidden="1" x14ac:dyDescent="0.3">
      <c r="A328" t="s">
        <v>348</v>
      </c>
      <c r="B328" t="s">
        <v>348</v>
      </c>
      <c r="C328" t="s">
        <v>355</v>
      </c>
      <c r="D328" s="7">
        <v>5.5079910488289752</v>
      </c>
      <c r="E328" s="7">
        <v>6738</v>
      </c>
      <c r="F328" s="7">
        <v>1986337.265625</v>
      </c>
      <c r="G328" s="7">
        <v>1634</v>
      </c>
      <c r="H328" s="7">
        <v>9937.1800186758592</v>
      </c>
      <c r="I328">
        <f t="shared" si="10"/>
        <v>8.1745192176149826E-4</v>
      </c>
      <c r="J328">
        <f t="shared" si="11"/>
        <v>8.2261961665702462E-4</v>
      </c>
    </row>
    <row r="329" spans="1:10" hidden="1" x14ac:dyDescent="0.3">
      <c r="A329" t="s">
        <v>287</v>
      </c>
      <c r="B329" t="s">
        <v>346</v>
      </c>
      <c r="C329" t="s">
        <v>214</v>
      </c>
      <c r="D329" s="7">
        <v>1.018952407026809</v>
      </c>
      <c r="E329" s="7">
        <v>3445</v>
      </c>
      <c r="F329" s="7">
        <v>991195.25</v>
      </c>
      <c r="G329" s="7">
        <v>300</v>
      </c>
      <c r="H329" s="7">
        <v>9772.4314061058485</v>
      </c>
      <c r="I329">
        <f t="shared" si="10"/>
        <v>2.957771863648212E-4</v>
      </c>
      <c r="J329">
        <f t="shared" si="11"/>
        <v>3.0266488867859286E-4</v>
      </c>
    </row>
    <row r="330" spans="1:10" hidden="1" x14ac:dyDescent="0.3">
      <c r="A330" t="s">
        <v>652</v>
      </c>
      <c r="B330" t="s">
        <v>809</v>
      </c>
      <c r="C330" t="s">
        <v>810</v>
      </c>
      <c r="D330" s="7">
        <v>1.9380196765538229</v>
      </c>
      <c r="E330" s="7">
        <v>34357</v>
      </c>
      <c r="F330" s="7">
        <v>2940849.994240196</v>
      </c>
      <c r="G330" s="7">
        <v>172</v>
      </c>
      <c r="H330" s="7">
        <v>9644.6700117824003</v>
      </c>
      <c r="I330">
        <f t="shared" si="10"/>
        <v>5.6408291659743949E-5</v>
      </c>
      <c r="J330">
        <f t="shared" si="11"/>
        <v>5.8486492115160832E-5</v>
      </c>
    </row>
    <row r="331" spans="1:10" hidden="1" x14ac:dyDescent="0.3">
      <c r="A331" t="s">
        <v>652</v>
      </c>
      <c r="B331" t="s">
        <v>772</v>
      </c>
      <c r="C331" t="s">
        <v>793</v>
      </c>
      <c r="D331" s="7">
        <v>3.238849884199285</v>
      </c>
      <c r="E331" s="7">
        <v>24305</v>
      </c>
      <c r="F331" s="7">
        <v>5418343.115196079</v>
      </c>
      <c r="G331" s="7">
        <v>762</v>
      </c>
      <c r="H331" s="7">
        <v>9475.6001466516209</v>
      </c>
      <c r="I331">
        <f t="shared" si="10"/>
        <v>1.3325858400326209E-4</v>
      </c>
      <c r="J331">
        <f t="shared" si="11"/>
        <v>1.4063339729500034E-4</v>
      </c>
    </row>
    <row r="332" spans="1:10" hidden="1" x14ac:dyDescent="0.3">
      <c r="A332" t="s">
        <v>20</v>
      </c>
      <c r="B332" t="s">
        <v>21</v>
      </c>
      <c r="C332" t="s">
        <v>34</v>
      </c>
      <c r="D332" s="7">
        <v>2.1640428207633762</v>
      </c>
      <c r="E332" s="7">
        <v>11197</v>
      </c>
      <c r="F332" s="7">
        <v>3214508.7770220591</v>
      </c>
      <c r="G332" s="7">
        <v>662</v>
      </c>
      <c r="H332" s="7">
        <v>9384.7087348270725</v>
      </c>
      <c r="I332">
        <f t="shared" si="10"/>
        <v>1.9326987771397483E-4</v>
      </c>
      <c r="J332">
        <f t="shared" si="11"/>
        <v>2.0594126378876493E-4</v>
      </c>
    </row>
    <row r="333" spans="1:10" hidden="1" x14ac:dyDescent="0.3">
      <c r="A333" t="s">
        <v>652</v>
      </c>
      <c r="B333" t="s">
        <v>822</v>
      </c>
      <c r="C333" t="s">
        <v>824</v>
      </c>
      <c r="D333" s="7">
        <v>3.5039059611286971</v>
      </c>
      <c r="E333" s="7">
        <v>4593</v>
      </c>
      <c r="F333" s="7">
        <v>25319.07720588236</v>
      </c>
      <c r="G333" s="7">
        <v>21</v>
      </c>
      <c r="H333" s="7">
        <v>9197.8129816562378</v>
      </c>
      <c r="I333">
        <f t="shared" si="10"/>
        <v>7.6287959092721466E-4</v>
      </c>
      <c r="J333">
        <f t="shared" si="11"/>
        <v>8.2941411447337771E-4</v>
      </c>
    </row>
    <row r="334" spans="1:10" hidden="1" x14ac:dyDescent="0.3">
      <c r="A334" t="s">
        <v>830</v>
      </c>
      <c r="B334" t="s">
        <v>855</v>
      </c>
      <c r="C334" t="s">
        <v>855</v>
      </c>
      <c r="D334" s="7">
        <v>4.3358789573094354</v>
      </c>
      <c r="E334" s="7">
        <v>15117</v>
      </c>
      <c r="F334" s="7">
        <v>2336527.9207107839</v>
      </c>
      <c r="G334" s="7">
        <v>767</v>
      </c>
      <c r="H334" s="7">
        <v>8737.4991749067067</v>
      </c>
      <c r="I334">
        <f t="shared" si="10"/>
        <v>2.868213903095479E-4</v>
      </c>
      <c r="J334">
        <f t="shared" si="11"/>
        <v>3.2826485538707989E-4</v>
      </c>
    </row>
    <row r="335" spans="1:10" hidden="1" x14ac:dyDescent="0.3">
      <c r="A335" t="s">
        <v>830</v>
      </c>
      <c r="B335" t="s">
        <v>831</v>
      </c>
      <c r="C335" t="s">
        <v>841</v>
      </c>
      <c r="D335" s="7">
        <v>2.2791094880266121</v>
      </c>
      <c r="E335" s="7">
        <v>11279</v>
      </c>
      <c r="F335" s="7">
        <v>7931972.7018995089</v>
      </c>
      <c r="G335" s="7">
        <v>1893</v>
      </c>
      <c r="H335" s="7">
        <v>8466.9147955691806</v>
      </c>
      <c r="I335">
        <f t="shared" si="10"/>
        <v>2.0206662718562037E-4</v>
      </c>
      <c r="J335">
        <f t="shared" si="11"/>
        <v>2.3865437655208697E-4</v>
      </c>
    </row>
    <row r="336" spans="1:10" hidden="1" x14ac:dyDescent="0.3">
      <c r="A336" t="s">
        <v>406</v>
      </c>
      <c r="B336" t="s">
        <v>429</v>
      </c>
      <c r="C336" t="s">
        <v>429</v>
      </c>
      <c r="D336" s="7">
        <v>1.6705284114522021</v>
      </c>
      <c r="E336" s="7">
        <v>54495</v>
      </c>
      <c r="F336" s="7">
        <v>1488378.59375</v>
      </c>
      <c r="G336" s="7">
        <v>55</v>
      </c>
      <c r="H336" s="7">
        <v>8295.6025251912979</v>
      </c>
      <c r="I336">
        <f t="shared" si="10"/>
        <v>3.0654709816537336E-5</v>
      </c>
      <c r="J336">
        <f t="shared" si="11"/>
        <v>3.6952963601435835E-5</v>
      </c>
    </row>
    <row r="337" spans="1:10" hidden="1" x14ac:dyDescent="0.3">
      <c r="A337" t="s">
        <v>830</v>
      </c>
      <c r="B337" t="s">
        <v>872</v>
      </c>
      <c r="C337" t="s">
        <v>872</v>
      </c>
      <c r="D337" s="7">
        <v>6.813210583023027</v>
      </c>
      <c r="E337" s="7">
        <v>13277</v>
      </c>
      <c r="F337" s="7">
        <v>2116540.1432598042</v>
      </c>
      <c r="G337" s="7">
        <v>1321</v>
      </c>
      <c r="H337" s="7">
        <v>8221.9635929919568</v>
      </c>
      <c r="I337">
        <f t="shared" si="10"/>
        <v>5.1315889003713394E-4</v>
      </c>
      <c r="J337">
        <f t="shared" si="11"/>
        <v>6.2413179556587695E-4</v>
      </c>
    </row>
    <row r="338" spans="1:10" hidden="1" x14ac:dyDescent="0.3">
      <c r="A338" t="s">
        <v>874</v>
      </c>
      <c r="B338" t="s">
        <v>875</v>
      </c>
      <c r="C338" t="s">
        <v>875</v>
      </c>
      <c r="D338" s="7">
        <v>1.1850249453966</v>
      </c>
      <c r="E338" s="7">
        <v>18811</v>
      </c>
      <c r="F338" s="7">
        <v>1734026.71875</v>
      </c>
      <c r="G338" s="7">
        <v>135</v>
      </c>
      <c r="H338" s="7">
        <v>8091.6599928842443</v>
      </c>
      <c r="I338">
        <f t="shared" si="10"/>
        <v>6.2996382191090317E-5</v>
      </c>
      <c r="J338">
        <f t="shared" si="11"/>
        <v>7.7853471656605633E-5</v>
      </c>
    </row>
    <row r="339" spans="1:10" hidden="1" x14ac:dyDescent="0.3">
      <c r="A339" t="s">
        <v>20</v>
      </c>
      <c r="B339" t="s">
        <v>82</v>
      </c>
      <c r="C339" t="s">
        <v>84</v>
      </c>
      <c r="D339" s="7">
        <v>1.1682915738395609</v>
      </c>
      <c r="E339" s="7">
        <v>1010</v>
      </c>
      <c r="F339" s="7">
        <v>4860.4129901960787</v>
      </c>
      <c r="G339" s="7">
        <v>7</v>
      </c>
      <c r="H339" s="7">
        <v>8031.6542317205458</v>
      </c>
      <c r="I339">
        <f t="shared" si="10"/>
        <v>1.1567243305342187E-3</v>
      </c>
      <c r="J339">
        <f t="shared" si="11"/>
        <v>1.4402068330653535E-3</v>
      </c>
    </row>
    <row r="340" spans="1:10" hidden="1" x14ac:dyDescent="0.3">
      <c r="A340" t="s">
        <v>406</v>
      </c>
      <c r="B340" t="s">
        <v>423</v>
      </c>
      <c r="C340" t="s">
        <v>424</v>
      </c>
      <c r="D340" s="7">
        <v>3.5865226379132169</v>
      </c>
      <c r="E340" s="7">
        <v>53393</v>
      </c>
      <c r="F340" s="7">
        <v>5710582.28125</v>
      </c>
      <c r="G340" s="7">
        <v>479</v>
      </c>
      <c r="H340" s="7">
        <v>8008.1856598957665</v>
      </c>
      <c r="I340">
        <f t="shared" si="10"/>
        <v>6.7172150617369637E-5</v>
      </c>
      <c r="J340">
        <f t="shared" si="11"/>
        <v>8.3879362280224565E-5</v>
      </c>
    </row>
    <row r="341" spans="1:10" hidden="1" x14ac:dyDescent="0.3">
      <c r="A341" t="s">
        <v>232</v>
      </c>
      <c r="B341" t="s">
        <v>233</v>
      </c>
      <c r="C341" t="s">
        <v>239</v>
      </c>
      <c r="D341" s="7">
        <v>2.1451965195115799</v>
      </c>
      <c r="E341" s="7">
        <v>7091</v>
      </c>
      <c r="F341" s="7">
        <v>3115738.479656863</v>
      </c>
      <c r="G341" s="7">
        <v>1255</v>
      </c>
      <c r="H341" s="7">
        <v>7510.6386944319211</v>
      </c>
      <c r="I341">
        <f t="shared" si="10"/>
        <v>3.0252383577937948E-4</v>
      </c>
      <c r="J341">
        <f t="shared" si="11"/>
        <v>4.0279375441619654E-4</v>
      </c>
    </row>
    <row r="342" spans="1:10" hidden="1" x14ac:dyDescent="0.3">
      <c r="A342" t="s">
        <v>612</v>
      </c>
      <c r="B342" t="s">
        <v>97</v>
      </c>
      <c r="C342" t="s">
        <v>478</v>
      </c>
      <c r="D342" s="7">
        <v>0.87128715065324525</v>
      </c>
      <c r="E342" s="7">
        <v>3723</v>
      </c>
      <c r="F342" s="7">
        <v>951290.42457107839</v>
      </c>
      <c r="G342" s="7">
        <v>299</v>
      </c>
      <c r="H342" s="7">
        <v>7445.7801721401966</v>
      </c>
      <c r="I342">
        <f t="shared" si="10"/>
        <v>2.3402824352759742E-4</v>
      </c>
      <c r="J342">
        <f t="shared" si="11"/>
        <v>3.1430990187335722E-4</v>
      </c>
    </row>
    <row r="343" spans="1:10" hidden="1" x14ac:dyDescent="0.3">
      <c r="A343" t="s">
        <v>612</v>
      </c>
      <c r="B343" t="s">
        <v>672</v>
      </c>
      <c r="C343" t="s">
        <v>672</v>
      </c>
      <c r="D343" s="7">
        <v>9.7994597641732248</v>
      </c>
      <c r="E343" s="7">
        <v>31179</v>
      </c>
      <c r="F343" s="7">
        <v>9108909.3975490164</v>
      </c>
      <c r="G343" s="7">
        <v>4281</v>
      </c>
      <c r="H343" s="7">
        <v>6687.4586019890139</v>
      </c>
      <c r="I343">
        <f t="shared" si="10"/>
        <v>3.1429679477126349E-4</v>
      </c>
      <c r="J343">
        <f t="shared" si="11"/>
        <v>4.6997942488613532E-4</v>
      </c>
    </row>
    <row r="344" spans="1:10" hidden="1" x14ac:dyDescent="0.3">
      <c r="A344" t="s">
        <v>406</v>
      </c>
      <c r="B344" t="s">
        <v>407</v>
      </c>
      <c r="C344" t="s">
        <v>411</v>
      </c>
      <c r="D344" s="7">
        <v>1.0303865884803911</v>
      </c>
      <c r="E344" s="7">
        <v>15960</v>
      </c>
      <c r="F344" s="7">
        <v>3549562.2768995101</v>
      </c>
      <c r="G344" s="7">
        <v>357</v>
      </c>
      <c r="H344" s="7">
        <v>6419.0963492294732</v>
      </c>
      <c r="I344">
        <f t="shared" si="10"/>
        <v>6.4560563187994428E-5</v>
      </c>
      <c r="J344">
        <f t="shared" si="11"/>
        <v>1.0057578150504636E-4</v>
      </c>
    </row>
    <row r="345" spans="1:10" hidden="1" x14ac:dyDescent="0.3">
      <c r="A345" t="s">
        <v>20</v>
      </c>
      <c r="B345" t="s">
        <v>21</v>
      </c>
      <c r="C345" t="s">
        <v>22</v>
      </c>
      <c r="D345" s="7">
        <v>2.126416818619846</v>
      </c>
      <c r="E345" s="7">
        <v>22812</v>
      </c>
      <c r="F345" s="7">
        <v>2371198.6125612748</v>
      </c>
      <c r="G345" s="7">
        <v>345</v>
      </c>
      <c r="H345" s="7">
        <v>6406.6923968802839</v>
      </c>
      <c r="I345">
        <f t="shared" si="10"/>
        <v>9.3214835113968354E-5</v>
      </c>
      <c r="J345">
        <f t="shared" si="11"/>
        <v>1.4549603654977881E-4</v>
      </c>
    </row>
    <row r="346" spans="1:10" hidden="1" x14ac:dyDescent="0.3">
      <c r="A346" t="s">
        <v>612</v>
      </c>
      <c r="B346" t="s">
        <v>645</v>
      </c>
      <c r="C346" t="s">
        <v>646</v>
      </c>
      <c r="D346" s="7">
        <v>1.7019203166136421</v>
      </c>
      <c r="E346" s="7">
        <v>3234</v>
      </c>
      <c r="F346" s="7">
        <v>993125.140625</v>
      </c>
      <c r="G346" s="7">
        <v>821</v>
      </c>
      <c r="H346" s="7">
        <v>6365.9031354942481</v>
      </c>
      <c r="I346">
        <f t="shared" si="10"/>
        <v>5.2625860130291961E-4</v>
      </c>
      <c r="J346">
        <f t="shared" si="11"/>
        <v>8.2668333165276931E-4</v>
      </c>
    </row>
    <row r="347" spans="1:10" hidden="1" x14ac:dyDescent="0.3">
      <c r="A347" t="s">
        <v>20</v>
      </c>
      <c r="B347" t="s">
        <v>71</v>
      </c>
      <c r="C347" t="s">
        <v>72</v>
      </c>
      <c r="D347" s="7">
        <v>3.4603094491336139</v>
      </c>
      <c r="E347" s="7">
        <v>4427</v>
      </c>
      <c r="F347" s="7">
        <v>56395.636029411769</v>
      </c>
      <c r="G347" s="7">
        <v>70</v>
      </c>
      <c r="H347" s="7">
        <v>6297.2781387741989</v>
      </c>
      <c r="I347">
        <f t="shared" si="10"/>
        <v>7.8163755345236365E-4</v>
      </c>
      <c r="J347">
        <f t="shared" si="11"/>
        <v>1.2412307924587144E-3</v>
      </c>
    </row>
    <row r="348" spans="1:10" hidden="1" x14ac:dyDescent="0.3">
      <c r="A348" t="s">
        <v>406</v>
      </c>
      <c r="B348" t="s">
        <v>446</v>
      </c>
      <c r="C348" t="s">
        <v>446</v>
      </c>
      <c r="D348" s="7">
        <v>4.444080250514622</v>
      </c>
      <c r="E348" s="7">
        <v>34485</v>
      </c>
      <c r="F348" s="7">
        <v>1737150.9375</v>
      </c>
      <c r="G348" s="7">
        <v>364</v>
      </c>
      <c r="H348" s="7">
        <v>6150.1801018014758</v>
      </c>
      <c r="I348">
        <f t="shared" si="10"/>
        <v>1.2886995071812737E-4</v>
      </c>
      <c r="J348">
        <f t="shared" si="11"/>
        <v>2.095384990114021E-4</v>
      </c>
    </row>
    <row r="349" spans="1:10" hidden="1" x14ac:dyDescent="0.3">
      <c r="A349" t="s">
        <v>232</v>
      </c>
      <c r="B349" t="s">
        <v>278</v>
      </c>
      <c r="C349" t="s">
        <v>278</v>
      </c>
      <c r="D349" s="7">
        <v>0.94451939504351756</v>
      </c>
      <c r="E349" s="7">
        <v>12354</v>
      </c>
      <c r="F349" s="7">
        <v>992716.125</v>
      </c>
      <c r="G349" s="7">
        <v>124</v>
      </c>
      <c r="H349" s="7">
        <v>6120.7786549148559</v>
      </c>
      <c r="I349">
        <f t="shared" si="10"/>
        <v>7.6454540638134816E-5</v>
      </c>
      <c r="J349">
        <f t="shared" si="11"/>
        <v>1.2490982757029358E-4</v>
      </c>
    </row>
    <row r="350" spans="1:10" hidden="1" x14ac:dyDescent="0.3">
      <c r="A350" t="s">
        <v>460</v>
      </c>
      <c r="B350" t="s">
        <v>473</v>
      </c>
      <c r="C350" t="s">
        <v>475</v>
      </c>
      <c r="D350" s="7">
        <v>1.076770976649071</v>
      </c>
      <c r="E350" s="7">
        <v>5735</v>
      </c>
      <c r="F350" s="7">
        <v>169443.51360294121</v>
      </c>
      <c r="G350" s="7">
        <v>52</v>
      </c>
      <c r="H350" s="7">
        <v>6118.0288923978624</v>
      </c>
      <c r="I350">
        <f t="shared" si="10"/>
        <v>1.8775431153427566E-4</v>
      </c>
      <c r="J350">
        <f t="shared" si="11"/>
        <v>3.0688693178218762E-4</v>
      </c>
    </row>
    <row r="351" spans="1:10" hidden="1" x14ac:dyDescent="0.3">
      <c r="A351" t="s">
        <v>20</v>
      </c>
      <c r="B351" t="s">
        <v>21</v>
      </c>
      <c r="C351" t="s">
        <v>36</v>
      </c>
      <c r="D351" s="7">
        <v>1.4067100174317291</v>
      </c>
      <c r="E351" s="7">
        <v>10834</v>
      </c>
      <c r="F351" s="7">
        <v>213006.96838235299</v>
      </c>
      <c r="G351" s="7">
        <v>46</v>
      </c>
      <c r="H351" s="7">
        <v>6012.4534718843961</v>
      </c>
      <c r="I351">
        <f t="shared" si="10"/>
        <v>1.2984216516814925E-4</v>
      </c>
      <c r="J351">
        <f t="shared" si="11"/>
        <v>2.159553762458551E-4</v>
      </c>
    </row>
    <row r="352" spans="1:10" hidden="1" x14ac:dyDescent="0.3">
      <c r="A352" t="s">
        <v>674</v>
      </c>
      <c r="B352" t="s">
        <v>709</v>
      </c>
      <c r="C352" t="s">
        <v>709</v>
      </c>
      <c r="D352" s="7">
        <v>1.0853586620093709</v>
      </c>
      <c r="E352" s="7">
        <v>17081</v>
      </c>
      <c r="F352" s="7">
        <v>496208.46875</v>
      </c>
      <c r="G352" s="7">
        <v>54</v>
      </c>
      <c r="H352" s="7">
        <v>5838.891379421133</v>
      </c>
      <c r="I352">
        <f t="shared" si="10"/>
        <v>6.3541868860685609E-5</v>
      </c>
      <c r="J352">
        <f t="shared" si="11"/>
        <v>1.0882522850936329E-4</v>
      </c>
    </row>
    <row r="353" spans="1:10" hidden="1" x14ac:dyDescent="0.3">
      <c r="A353" t="s">
        <v>191</v>
      </c>
      <c r="B353" t="s">
        <v>192</v>
      </c>
      <c r="C353" t="s">
        <v>193</v>
      </c>
      <c r="D353" s="7">
        <v>1.673266408127752</v>
      </c>
      <c r="E353" s="7">
        <v>8335</v>
      </c>
      <c r="F353" s="7">
        <v>3470340.9033088242</v>
      </c>
      <c r="G353" s="7">
        <v>1218</v>
      </c>
      <c r="H353" s="7">
        <v>5719.8460389285428</v>
      </c>
      <c r="I353">
        <f t="shared" si="10"/>
        <v>2.0075181861160791E-4</v>
      </c>
      <c r="J353">
        <f t="shared" si="11"/>
        <v>3.5097416476827627E-4</v>
      </c>
    </row>
    <row r="354" spans="1:10" hidden="1" x14ac:dyDescent="0.3">
      <c r="A354" t="s">
        <v>348</v>
      </c>
      <c r="B354" t="s">
        <v>102</v>
      </c>
      <c r="C354" t="s">
        <v>102</v>
      </c>
      <c r="D354" s="7">
        <v>2.11494034330387</v>
      </c>
      <c r="E354" s="7">
        <v>34115</v>
      </c>
      <c r="F354" s="7">
        <v>1241324.703125</v>
      </c>
      <c r="G354" s="7">
        <v>137</v>
      </c>
      <c r="H354" s="7">
        <v>5617.1701207674814</v>
      </c>
      <c r="I354">
        <f t="shared" si="10"/>
        <v>6.199444066550989E-5</v>
      </c>
      <c r="J354">
        <f t="shared" si="11"/>
        <v>1.1036596601606844E-4</v>
      </c>
    </row>
    <row r="355" spans="1:10" hidden="1" x14ac:dyDescent="0.3">
      <c r="A355" t="s">
        <v>612</v>
      </c>
      <c r="B355" t="s">
        <v>35</v>
      </c>
      <c r="C355" t="s">
        <v>654</v>
      </c>
      <c r="D355" s="7">
        <v>1.769240191146489</v>
      </c>
      <c r="E355" s="7">
        <v>25686</v>
      </c>
      <c r="F355" s="7">
        <v>3227541.28125</v>
      </c>
      <c r="G355" s="7">
        <v>422</v>
      </c>
      <c r="H355" s="7">
        <v>5268.0473894643164</v>
      </c>
      <c r="I355">
        <f t="shared" si="10"/>
        <v>6.8879552719243518E-5</v>
      </c>
      <c r="J355">
        <f t="shared" si="11"/>
        <v>1.307496831881149E-4</v>
      </c>
    </row>
    <row r="356" spans="1:10" hidden="1" x14ac:dyDescent="0.3">
      <c r="A356" t="s">
        <v>730</v>
      </c>
      <c r="B356" t="s">
        <v>743</v>
      </c>
      <c r="C356" t="s">
        <v>744</v>
      </c>
      <c r="D356" s="7">
        <v>0.55338181985514523</v>
      </c>
      <c r="E356" s="7">
        <v>545</v>
      </c>
      <c r="F356" s="7">
        <v>417770.14632352942</v>
      </c>
      <c r="G356" s="7">
        <v>838</v>
      </c>
      <c r="H356" s="7">
        <v>5061.9956614408493</v>
      </c>
      <c r="I356">
        <f t="shared" si="10"/>
        <v>1.0153794859727434E-3</v>
      </c>
      <c r="J356">
        <f t="shared" si="11"/>
        <v>2.0058877049367626E-3</v>
      </c>
    </row>
    <row r="357" spans="1:10" hidden="1" x14ac:dyDescent="0.3">
      <c r="A357" t="s">
        <v>612</v>
      </c>
      <c r="B357" t="s">
        <v>643</v>
      </c>
      <c r="C357" t="s">
        <v>102</v>
      </c>
      <c r="D357" s="7">
        <v>1.6230173958176961</v>
      </c>
      <c r="E357" s="7">
        <v>5690</v>
      </c>
      <c r="F357" s="7">
        <v>3503254.8737745099</v>
      </c>
      <c r="G357" s="7">
        <v>2008</v>
      </c>
      <c r="H357" s="7">
        <v>4976.4418618313703</v>
      </c>
      <c r="I357">
        <f t="shared" si="10"/>
        <v>2.8524031560943694E-4</v>
      </c>
      <c r="J357">
        <f t="shared" si="11"/>
        <v>5.7318124782526083E-4</v>
      </c>
    </row>
    <row r="358" spans="1:10" hidden="1" x14ac:dyDescent="0.3">
      <c r="A358" t="s">
        <v>499</v>
      </c>
      <c r="B358" t="s">
        <v>522</v>
      </c>
      <c r="C358" t="s">
        <v>522</v>
      </c>
      <c r="D358" s="7">
        <v>0.87844730764429646</v>
      </c>
      <c r="E358" s="7">
        <v>7007</v>
      </c>
      <c r="F358" s="7">
        <v>1238526.453125</v>
      </c>
      <c r="G358" s="7">
        <v>318</v>
      </c>
      <c r="H358" s="7">
        <v>4882.719383913015</v>
      </c>
      <c r="I358">
        <f t="shared" si="10"/>
        <v>1.2536710541519858E-4</v>
      </c>
      <c r="J358">
        <f t="shared" si="11"/>
        <v>2.5675672828596855E-4</v>
      </c>
    </row>
    <row r="359" spans="1:10" hidden="1" x14ac:dyDescent="0.3">
      <c r="A359" t="s">
        <v>652</v>
      </c>
      <c r="B359" t="s">
        <v>772</v>
      </c>
      <c r="C359" t="s">
        <v>794</v>
      </c>
      <c r="D359" s="7">
        <v>1.561792242322096</v>
      </c>
      <c r="E359" s="7">
        <v>24349</v>
      </c>
      <c r="F359" s="7">
        <v>1489927.984375</v>
      </c>
      <c r="G359" s="7">
        <v>196</v>
      </c>
      <c r="H359" s="7">
        <v>4875.8612381002786</v>
      </c>
      <c r="I359">
        <f t="shared" si="10"/>
        <v>6.4141945965834156E-5</v>
      </c>
      <c r="J359">
        <f t="shared" si="11"/>
        <v>1.3154998231825193E-4</v>
      </c>
    </row>
    <row r="360" spans="1:10" hidden="1" x14ac:dyDescent="0.3">
      <c r="A360" t="s">
        <v>191</v>
      </c>
      <c r="B360" t="s">
        <v>192</v>
      </c>
      <c r="C360" t="s">
        <v>199</v>
      </c>
      <c r="D360" s="7">
        <v>1.997449787158585</v>
      </c>
      <c r="E360" s="7">
        <v>5196</v>
      </c>
      <c r="F360" s="7">
        <v>1141196.1680759799</v>
      </c>
      <c r="G360" s="7">
        <v>902</v>
      </c>
      <c r="H360" s="7">
        <v>4863.6296277487027</v>
      </c>
      <c r="I360">
        <f t="shared" si="10"/>
        <v>3.8442066727455447E-4</v>
      </c>
      <c r="J360">
        <f t="shared" si="11"/>
        <v>7.9039872831043853E-4</v>
      </c>
    </row>
    <row r="361" spans="1:10" hidden="1" x14ac:dyDescent="0.3">
      <c r="A361" t="s">
        <v>20</v>
      </c>
      <c r="B361" t="s">
        <v>43</v>
      </c>
      <c r="C361" t="s">
        <v>43</v>
      </c>
      <c r="D361" s="7">
        <v>1.763335149157611</v>
      </c>
      <c r="E361" s="7">
        <v>8829</v>
      </c>
      <c r="F361" s="7">
        <v>2231627.4375</v>
      </c>
      <c r="G361" s="7">
        <v>927</v>
      </c>
      <c r="H361" s="7">
        <v>4808.0093762407232</v>
      </c>
      <c r="I361">
        <f t="shared" si="10"/>
        <v>1.997208233273996E-4</v>
      </c>
      <c r="J361">
        <f t="shared" si="11"/>
        <v>4.1539191731684378E-4</v>
      </c>
    </row>
    <row r="362" spans="1:10" hidden="1" x14ac:dyDescent="0.3">
      <c r="A362" t="s">
        <v>348</v>
      </c>
      <c r="B362" t="s">
        <v>380</v>
      </c>
      <c r="C362" t="s">
        <v>381</v>
      </c>
      <c r="D362" s="7">
        <v>1.4885544001467641</v>
      </c>
      <c r="E362" s="7">
        <v>58385</v>
      </c>
      <c r="F362" s="7">
        <v>1241612.0625</v>
      </c>
      <c r="G362" s="7">
        <v>66</v>
      </c>
      <c r="H362" s="7">
        <v>4796.2897768721059</v>
      </c>
      <c r="I362">
        <f t="shared" si="10"/>
        <v>2.5495493708088791E-5</v>
      </c>
      <c r="J362">
        <f t="shared" si="11"/>
        <v>5.3156700062262802E-5</v>
      </c>
    </row>
    <row r="363" spans="1:10" hidden="1" x14ac:dyDescent="0.3">
      <c r="A363" t="s">
        <v>652</v>
      </c>
      <c r="B363" t="s">
        <v>772</v>
      </c>
      <c r="C363" t="s">
        <v>775</v>
      </c>
      <c r="D363" s="7">
        <v>9.4114939036594745</v>
      </c>
      <c r="E363" s="7">
        <v>45297</v>
      </c>
      <c r="F363" s="7">
        <v>5163149.6766544124</v>
      </c>
      <c r="G363" s="7">
        <v>2379</v>
      </c>
      <c r="H363" s="7">
        <v>4509.3027933823114</v>
      </c>
      <c r="I363">
        <f t="shared" si="10"/>
        <v>2.0777300712319745E-4</v>
      </c>
      <c r="J363">
        <f t="shared" si="11"/>
        <v>4.6076525938359595E-4</v>
      </c>
    </row>
    <row r="364" spans="1:10" hidden="1" x14ac:dyDescent="0.3">
      <c r="A364" t="s">
        <v>586</v>
      </c>
      <c r="B364" t="s">
        <v>606</v>
      </c>
      <c r="C364" t="s">
        <v>607</v>
      </c>
      <c r="D364" s="7">
        <v>1.842753650841841</v>
      </c>
      <c r="E364" s="7">
        <v>62409</v>
      </c>
      <c r="F364" s="7">
        <v>7195761.2194852941</v>
      </c>
      <c r="G364" s="7">
        <v>487</v>
      </c>
      <c r="H364" s="7">
        <v>4362.8254591803252</v>
      </c>
      <c r="I364">
        <f t="shared" si="10"/>
        <v>2.9527049797975307E-5</v>
      </c>
      <c r="J364">
        <f t="shared" si="11"/>
        <v>6.7678732679630886E-5</v>
      </c>
    </row>
    <row r="365" spans="1:10" hidden="1" x14ac:dyDescent="0.3">
      <c r="A365" t="s">
        <v>922</v>
      </c>
      <c r="B365" t="s">
        <v>931</v>
      </c>
      <c r="C365" t="s">
        <v>933</v>
      </c>
      <c r="D365" s="7">
        <v>0.58634077770451076</v>
      </c>
      <c r="E365" s="7">
        <v>1119</v>
      </c>
      <c r="F365" s="7">
        <v>993305.28125</v>
      </c>
      <c r="G365" s="7">
        <v>1263</v>
      </c>
      <c r="H365" s="7">
        <v>4120.969556336162</v>
      </c>
      <c r="I365">
        <f t="shared" si="10"/>
        <v>5.2398639651877641E-4</v>
      </c>
      <c r="J365">
        <f t="shared" si="11"/>
        <v>1.2715124180258152E-3</v>
      </c>
    </row>
    <row r="366" spans="1:10" hidden="1" x14ac:dyDescent="0.3">
      <c r="A366" t="s">
        <v>959</v>
      </c>
      <c r="B366" t="s">
        <v>984</v>
      </c>
      <c r="C366" t="s">
        <v>985</v>
      </c>
      <c r="D366" s="7">
        <v>0.70362513376039337</v>
      </c>
      <c r="E366" s="7">
        <v>6150</v>
      </c>
      <c r="F366" s="7">
        <v>196699.41850490199</v>
      </c>
      <c r="G366" s="7">
        <v>55</v>
      </c>
      <c r="H366" s="7">
        <v>4091.7266712816918</v>
      </c>
      <c r="I366">
        <f t="shared" si="10"/>
        <v>1.1441059085534852E-4</v>
      </c>
      <c r="J366">
        <f t="shared" si="11"/>
        <v>2.7961445142060415E-4</v>
      </c>
    </row>
    <row r="367" spans="1:10" hidden="1" x14ac:dyDescent="0.3">
      <c r="A367" t="s">
        <v>959</v>
      </c>
      <c r="B367" t="s">
        <v>971</v>
      </c>
      <c r="C367" t="s">
        <v>972</v>
      </c>
      <c r="D367" s="7">
        <v>0.62495055620893825</v>
      </c>
      <c r="E367" s="7">
        <v>3838</v>
      </c>
      <c r="F367" s="7">
        <v>248303.796875</v>
      </c>
      <c r="G367" s="7">
        <v>102</v>
      </c>
      <c r="H367" s="7">
        <v>3963.9108391273662</v>
      </c>
      <c r="I367">
        <f t="shared" si="10"/>
        <v>1.6283234919461654E-4</v>
      </c>
      <c r="J367">
        <f t="shared" si="11"/>
        <v>4.1078711354280414E-4</v>
      </c>
    </row>
    <row r="368" spans="1:10" hidden="1" x14ac:dyDescent="0.3">
      <c r="A368" t="s">
        <v>191</v>
      </c>
      <c r="B368" t="s">
        <v>192</v>
      </c>
      <c r="C368" t="s">
        <v>192</v>
      </c>
      <c r="D368" s="7">
        <v>7.1420456641221044</v>
      </c>
      <c r="E368" s="7">
        <v>131579</v>
      </c>
      <c r="F368" s="7">
        <v>91977951.313419119</v>
      </c>
      <c r="G368" s="7">
        <v>13116</v>
      </c>
      <c r="H368" s="7">
        <v>3806.4345369211351</v>
      </c>
      <c r="I368">
        <f t="shared" si="10"/>
        <v>5.4279525335517858E-5</v>
      </c>
      <c r="J368">
        <f t="shared" si="11"/>
        <v>1.4259939270996181E-4</v>
      </c>
    </row>
    <row r="369" spans="1:10" hidden="1" x14ac:dyDescent="0.3">
      <c r="A369" t="s">
        <v>830</v>
      </c>
      <c r="B369" t="s">
        <v>846</v>
      </c>
      <c r="C369" t="s">
        <v>22</v>
      </c>
      <c r="D369" s="7">
        <v>3.9245217221942261</v>
      </c>
      <c r="E369" s="7">
        <v>16882</v>
      </c>
      <c r="F369" s="7">
        <v>2234286.359375</v>
      </c>
      <c r="G369" s="7">
        <v>1367</v>
      </c>
      <c r="H369" s="7">
        <v>3799.5587214950701</v>
      </c>
      <c r="I369">
        <f t="shared" si="10"/>
        <v>2.3246781910876829E-4</v>
      </c>
      <c r="J369">
        <f t="shared" si="11"/>
        <v>6.1182846785243444E-4</v>
      </c>
    </row>
    <row r="370" spans="1:10" hidden="1" x14ac:dyDescent="0.3">
      <c r="A370" t="s">
        <v>406</v>
      </c>
      <c r="B370" t="s">
        <v>373</v>
      </c>
      <c r="C370" t="s">
        <v>421</v>
      </c>
      <c r="D370" s="7">
        <v>3.7629199832373179</v>
      </c>
      <c r="E370" s="7">
        <v>10161</v>
      </c>
      <c r="F370" s="7">
        <v>343558.91348039208</v>
      </c>
      <c r="G370" s="7">
        <v>358</v>
      </c>
      <c r="H370" s="7">
        <v>3553.9124590040801</v>
      </c>
      <c r="I370">
        <f t="shared" si="10"/>
        <v>3.7032969030974488E-4</v>
      </c>
      <c r="J370">
        <f t="shared" si="11"/>
        <v>1.0420337995987758E-3</v>
      </c>
    </row>
    <row r="371" spans="1:10" hidden="1" x14ac:dyDescent="0.3">
      <c r="A371" t="s">
        <v>830</v>
      </c>
      <c r="B371" t="s">
        <v>857</v>
      </c>
      <c r="C371" t="s">
        <v>861</v>
      </c>
      <c r="D371" s="7">
        <v>5.3776237636739159</v>
      </c>
      <c r="E371" s="7">
        <v>2977</v>
      </c>
      <c r="F371" s="7">
        <v>12656.756188725491</v>
      </c>
      <c r="G371" s="7">
        <v>66</v>
      </c>
      <c r="H371" s="7">
        <v>3464.097110754019</v>
      </c>
      <c r="I371">
        <f t="shared" si="10"/>
        <v>1.8063902464474021E-3</v>
      </c>
      <c r="J371">
        <f t="shared" si="11"/>
        <v>5.2146062558107997E-3</v>
      </c>
    </row>
    <row r="372" spans="1:10" hidden="1" x14ac:dyDescent="0.3">
      <c r="A372" t="s">
        <v>406</v>
      </c>
      <c r="B372" t="s">
        <v>455</v>
      </c>
      <c r="C372" t="s">
        <v>456</v>
      </c>
      <c r="D372" s="7">
        <v>4.4334527150109526</v>
      </c>
      <c r="E372" s="7">
        <v>24993</v>
      </c>
      <c r="F372" s="7">
        <v>1950487.53125</v>
      </c>
      <c r="G372" s="7">
        <v>1145</v>
      </c>
      <c r="H372" s="7">
        <v>3021.769847877169</v>
      </c>
      <c r="I372">
        <f t="shared" si="10"/>
        <v>1.7738777717804795E-4</v>
      </c>
      <c r="J372">
        <f t="shared" si="11"/>
        <v>5.870327195920135E-4</v>
      </c>
    </row>
    <row r="373" spans="1:10" hidden="1" x14ac:dyDescent="0.3">
      <c r="A373" t="s">
        <v>922</v>
      </c>
      <c r="B373" t="s">
        <v>931</v>
      </c>
      <c r="C373" t="s">
        <v>932</v>
      </c>
      <c r="D373" s="7">
        <v>0.78094592644511573</v>
      </c>
      <c r="E373" s="7">
        <v>4379</v>
      </c>
      <c r="F373" s="7">
        <v>744005.18682598043</v>
      </c>
      <c r="G373" s="7">
        <v>444</v>
      </c>
      <c r="H373" s="7">
        <v>2988.4019547933872</v>
      </c>
      <c r="I373">
        <f t="shared" si="10"/>
        <v>1.7833887336038268E-4</v>
      </c>
      <c r="J373">
        <f t="shared" si="11"/>
        <v>5.9677003314205339E-4</v>
      </c>
    </row>
    <row r="374" spans="1:10" hidden="1" x14ac:dyDescent="0.3">
      <c r="A374" t="s">
        <v>586</v>
      </c>
      <c r="B374" t="s">
        <v>610</v>
      </c>
      <c r="C374" t="s">
        <v>610</v>
      </c>
      <c r="D374" s="7">
        <v>1.4425900576694941</v>
      </c>
      <c r="E374" s="7">
        <v>44061</v>
      </c>
      <c r="F374" s="7">
        <v>1241372.65625</v>
      </c>
      <c r="G374" s="7">
        <v>138</v>
      </c>
      <c r="H374" s="7">
        <v>2945.178854100197</v>
      </c>
      <c r="I374">
        <f t="shared" si="10"/>
        <v>3.2740747093109417E-5</v>
      </c>
      <c r="J374">
        <f t="shared" si="11"/>
        <v>1.1116726255021376E-4</v>
      </c>
    </row>
    <row r="375" spans="1:10" hidden="1" x14ac:dyDescent="0.3">
      <c r="A375" t="s">
        <v>232</v>
      </c>
      <c r="B375" t="s">
        <v>233</v>
      </c>
      <c r="C375" t="s">
        <v>242</v>
      </c>
      <c r="D375" s="7">
        <v>1.4493943352846519</v>
      </c>
      <c r="E375" s="7">
        <v>4689</v>
      </c>
      <c r="F375" s="7">
        <v>502290.59411764698</v>
      </c>
      <c r="G375" s="7">
        <v>550</v>
      </c>
      <c r="H375" s="7">
        <v>2822.9207304557272</v>
      </c>
      <c r="I375">
        <f t="shared" si="10"/>
        <v>3.0910521119314392E-4</v>
      </c>
      <c r="J375">
        <f t="shared" si="11"/>
        <v>1.0949836736763151E-3</v>
      </c>
    </row>
    <row r="376" spans="1:10" hidden="1" x14ac:dyDescent="0.3">
      <c r="A376" t="s">
        <v>612</v>
      </c>
      <c r="B376" t="s">
        <v>613</v>
      </c>
      <c r="C376" t="s">
        <v>615</v>
      </c>
      <c r="D376" s="7">
        <v>5.4792007814570347</v>
      </c>
      <c r="E376" s="7">
        <v>17793</v>
      </c>
      <c r="F376" s="7">
        <v>4409977.5375612751</v>
      </c>
      <c r="G376" s="7">
        <v>4845</v>
      </c>
      <c r="H376" s="7">
        <v>2802.9195477394578</v>
      </c>
      <c r="I376">
        <f t="shared" si="10"/>
        <v>3.0794136915961526E-4</v>
      </c>
      <c r="J376">
        <f t="shared" si="11"/>
        <v>1.0986450517567246E-3</v>
      </c>
    </row>
    <row r="377" spans="1:10" hidden="1" x14ac:dyDescent="0.3">
      <c r="A377" t="s">
        <v>652</v>
      </c>
      <c r="B377" t="s">
        <v>809</v>
      </c>
      <c r="C377" t="s">
        <v>816</v>
      </c>
      <c r="D377" s="7">
        <v>9.3223013068664127</v>
      </c>
      <c r="E377" s="7">
        <v>6486</v>
      </c>
      <c r="F377" s="7">
        <v>18502.357169117651</v>
      </c>
      <c r="G377" s="7">
        <v>96</v>
      </c>
      <c r="H377" s="7">
        <v>2770.1419149221169</v>
      </c>
      <c r="I377">
        <f t="shared" si="10"/>
        <v>1.4372959153355555E-3</v>
      </c>
      <c r="J377">
        <f t="shared" si="11"/>
        <v>5.1885280952328567E-3</v>
      </c>
    </row>
    <row r="378" spans="1:10" hidden="1" x14ac:dyDescent="0.3">
      <c r="A378" t="s">
        <v>460</v>
      </c>
      <c r="B378" t="s">
        <v>473</v>
      </c>
      <c r="C378" t="s">
        <v>167</v>
      </c>
      <c r="D378" s="7">
        <v>0.67511605727884627</v>
      </c>
      <c r="E378" s="7">
        <v>12131</v>
      </c>
      <c r="F378" s="7">
        <v>228846.22549019611</v>
      </c>
      <c r="G378" s="7">
        <v>46</v>
      </c>
      <c r="H378" s="7">
        <v>2768.6480822772951</v>
      </c>
      <c r="I378">
        <f t="shared" si="10"/>
        <v>5.5652135625986836E-5</v>
      </c>
      <c r="J378">
        <f t="shared" si="11"/>
        <v>2.0100834043238638E-4</v>
      </c>
    </row>
    <row r="379" spans="1:10" hidden="1" x14ac:dyDescent="0.3">
      <c r="A379" t="s">
        <v>191</v>
      </c>
      <c r="B379" t="s">
        <v>211</v>
      </c>
      <c r="C379" t="s">
        <v>217</v>
      </c>
      <c r="D379" s="7">
        <v>0.93118321249375358</v>
      </c>
      <c r="E379" s="7">
        <v>7271</v>
      </c>
      <c r="F379" s="7">
        <v>1440112.7147671571</v>
      </c>
      <c r="G379" s="7">
        <v>713</v>
      </c>
      <c r="H379" s="7">
        <v>2586.7112276805642</v>
      </c>
      <c r="I379">
        <f t="shared" si="10"/>
        <v>1.2806810789351583E-4</v>
      </c>
      <c r="J379">
        <f t="shared" si="11"/>
        <v>4.9510013534966989E-4</v>
      </c>
    </row>
    <row r="380" spans="1:10" hidden="1" x14ac:dyDescent="0.3">
      <c r="A380" t="s">
        <v>652</v>
      </c>
      <c r="B380" t="s">
        <v>809</v>
      </c>
      <c r="C380" t="s">
        <v>394</v>
      </c>
      <c r="D380" s="7">
        <v>3.8591361294807789</v>
      </c>
      <c r="E380" s="7">
        <v>10320</v>
      </c>
      <c r="F380" s="7">
        <v>1241601.078125</v>
      </c>
      <c r="G380" s="7">
        <v>1895</v>
      </c>
      <c r="H380" s="7">
        <v>2450.0969396179639</v>
      </c>
      <c r="I380">
        <f t="shared" si="10"/>
        <v>3.7394729936829254E-4</v>
      </c>
      <c r="J380">
        <f t="shared" si="11"/>
        <v>1.5262551179979066E-3</v>
      </c>
    </row>
    <row r="381" spans="1:10" hidden="1" x14ac:dyDescent="0.3">
      <c r="A381" t="s">
        <v>586</v>
      </c>
      <c r="B381" t="s">
        <v>587</v>
      </c>
      <c r="C381" t="s">
        <v>590</v>
      </c>
      <c r="D381" s="7">
        <v>2.2217469705135122</v>
      </c>
      <c r="E381" s="7">
        <v>29507</v>
      </c>
      <c r="F381" s="7">
        <v>747543.18995098048</v>
      </c>
      <c r="G381" s="7">
        <v>230</v>
      </c>
      <c r="H381" s="7">
        <v>2447.2480628791068</v>
      </c>
      <c r="I381">
        <f t="shared" si="10"/>
        <v>7.5295589877436274E-5</v>
      </c>
      <c r="J381">
        <f t="shared" si="11"/>
        <v>3.0767453050449441E-4</v>
      </c>
    </row>
    <row r="382" spans="1:10" hidden="1" x14ac:dyDescent="0.3">
      <c r="A382" t="s">
        <v>730</v>
      </c>
      <c r="B382" t="s">
        <v>731</v>
      </c>
      <c r="C382" t="s">
        <v>736</v>
      </c>
      <c r="D382" s="7">
        <v>1.36340393030343</v>
      </c>
      <c r="E382" s="7">
        <v>7498</v>
      </c>
      <c r="F382" s="7">
        <v>67183.710294117642</v>
      </c>
      <c r="G382" s="7">
        <v>50</v>
      </c>
      <c r="H382" s="7">
        <v>2443.2791322317162</v>
      </c>
      <c r="I382">
        <f t="shared" si="10"/>
        <v>1.8183568022184983E-4</v>
      </c>
      <c r="J382">
        <f t="shared" si="11"/>
        <v>7.4422802463736234E-4</v>
      </c>
    </row>
    <row r="383" spans="1:10" hidden="1" x14ac:dyDescent="0.3">
      <c r="A383" t="s">
        <v>612</v>
      </c>
      <c r="B383" t="s">
        <v>635</v>
      </c>
      <c r="C383" t="s">
        <v>641</v>
      </c>
      <c r="D383" s="7">
        <v>1.3346522389838511</v>
      </c>
      <c r="E383" s="7">
        <v>4669</v>
      </c>
      <c r="F383" s="7">
        <v>993038.28125</v>
      </c>
      <c r="G383" s="7">
        <v>1234</v>
      </c>
      <c r="H383" s="7">
        <v>2300.3561291830142</v>
      </c>
      <c r="I383">
        <f t="shared" si="10"/>
        <v>2.8585398136300087E-4</v>
      </c>
      <c r="J383">
        <f t="shared" si="11"/>
        <v>1.2426509866736318E-3</v>
      </c>
    </row>
    <row r="384" spans="1:10" hidden="1" x14ac:dyDescent="0.3">
      <c r="A384" t="s">
        <v>191</v>
      </c>
      <c r="B384" t="s">
        <v>192</v>
      </c>
      <c r="C384" t="s">
        <v>197</v>
      </c>
      <c r="D384" s="7">
        <v>0.93200399497777242</v>
      </c>
      <c r="E384" s="7">
        <v>9533</v>
      </c>
      <c r="F384" s="7">
        <v>2561910.5442401958</v>
      </c>
      <c r="G384" s="7">
        <v>1123</v>
      </c>
      <c r="H384" s="7">
        <v>2230.3467404248031</v>
      </c>
      <c r="I384">
        <f t="shared" si="10"/>
        <v>9.7766075210088373E-5</v>
      </c>
      <c r="J384">
        <f t="shared" si="11"/>
        <v>4.3834473554308127E-4</v>
      </c>
    </row>
    <row r="385" spans="1:10" hidden="1" x14ac:dyDescent="0.3">
      <c r="A385" t="s">
        <v>612</v>
      </c>
      <c r="B385" t="s">
        <v>652</v>
      </c>
      <c r="C385" t="s">
        <v>652</v>
      </c>
      <c r="D385" s="7">
        <v>0.88332333637123239</v>
      </c>
      <c r="E385" s="7">
        <v>18132</v>
      </c>
      <c r="F385" s="7">
        <v>1565663.5319852941</v>
      </c>
      <c r="G385" s="7">
        <v>346</v>
      </c>
      <c r="H385" s="7">
        <v>2204.4300924690001</v>
      </c>
      <c r="I385">
        <f t="shared" si="10"/>
        <v>4.8716266069448069E-5</v>
      </c>
      <c r="J385">
        <f t="shared" si="11"/>
        <v>2.2099256508917008E-4</v>
      </c>
    </row>
    <row r="386" spans="1:10" hidden="1" x14ac:dyDescent="0.3">
      <c r="A386" t="s">
        <v>940</v>
      </c>
      <c r="B386" t="s">
        <v>940</v>
      </c>
      <c r="C386" t="s">
        <v>1006</v>
      </c>
      <c r="D386" s="7">
        <v>1.5363705630760769</v>
      </c>
      <c r="E386" s="7">
        <v>38806</v>
      </c>
      <c r="F386" s="7">
        <v>2384589.9401960778</v>
      </c>
      <c r="G386" s="7">
        <v>487</v>
      </c>
      <c r="H386" s="7">
        <v>1938.5715925957579</v>
      </c>
      <c r="I386">
        <f t="shared" si="10"/>
        <v>3.9591057132301109E-5</v>
      </c>
      <c r="J386">
        <f t="shared" si="11"/>
        <v>2.0422798561330651E-4</v>
      </c>
    </row>
    <row r="387" spans="1:10" hidden="1" x14ac:dyDescent="0.3">
      <c r="A387" t="s">
        <v>156</v>
      </c>
      <c r="B387" t="s">
        <v>157</v>
      </c>
      <c r="C387" t="s">
        <v>157</v>
      </c>
      <c r="D387" s="7">
        <v>7.2998610692142147</v>
      </c>
      <c r="E387" s="7">
        <v>67179</v>
      </c>
      <c r="F387" s="7">
        <v>13837731.271691181</v>
      </c>
      <c r="G387" s="7">
        <v>8044</v>
      </c>
      <c r="H387" s="7">
        <v>1869.27798129332</v>
      </c>
      <c r="I387">
        <f t="shared" ref="I387:I433" si="12">D387/E387</f>
        <v>1.0866284209670008E-4</v>
      </c>
      <c r="J387">
        <f t="shared" ref="J387:J433" si="13">G387/F387</f>
        <v>5.8130916420209551E-4</v>
      </c>
    </row>
    <row r="388" spans="1:10" hidden="1" x14ac:dyDescent="0.3">
      <c r="A388" t="s">
        <v>586</v>
      </c>
      <c r="B388" t="s">
        <v>597</v>
      </c>
      <c r="C388" t="s">
        <v>597</v>
      </c>
      <c r="D388" s="7">
        <v>8.6997776208768762</v>
      </c>
      <c r="E388" s="7">
        <v>195990</v>
      </c>
      <c r="F388" s="7">
        <v>22097610.578125</v>
      </c>
      <c r="G388" s="7">
        <v>5289</v>
      </c>
      <c r="H388" s="7">
        <v>1854.5817741233</v>
      </c>
      <c r="I388">
        <f t="shared" si="12"/>
        <v>4.4388885253721499E-5</v>
      </c>
      <c r="J388">
        <f t="shared" si="13"/>
        <v>2.3934714485536815E-4</v>
      </c>
    </row>
    <row r="389" spans="1:10" hidden="1" x14ac:dyDescent="0.3">
      <c r="A389" t="s">
        <v>232</v>
      </c>
      <c r="B389" t="s">
        <v>244</v>
      </c>
      <c r="C389" t="s">
        <v>245</v>
      </c>
      <c r="D389" s="7">
        <v>0.65626527486372355</v>
      </c>
      <c r="E389" s="7">
        <v>8500</v>
      </c>
      <c r="F389" s="7">
        <v>1240692.328125</v>
      </c>
      <c r="G389" s="7">
        <v>526</v>
      </c>
      <c r="H389" s="7">
        <v>1821.1212071980899</v>
      </c>
      <c r="I389">
        <f t="shared" si="12"/>
        <v>7.7207679395732186E-5</v>
      </c>
      <c r="J389">
        <f t="shared" si="13"/>
        <v>4.2395684093164264E-4</v>
      </c>
    </row>
    <row r="390" spans="1:10" hidden="1" x14ac:dyDescent="0.3">
      <c r="A390" t="s">
        <v>612</v>
      </c>
      <c r="B390" t="s">
        <v>35</v>
      </c>
      <c r="C390" t="s">
        <v>142</v>
      </c>
      <c r="D390" s="7">
        <v>0.76903795542761055</v>
      </c>
      <c r="E390" s="7">
        <v>6095</v>
      </c>
      <c r="F390" s="7">
        <v>993122.9375</v>
      </c>
      <c r="G390" s="7">
        <v>700</v>
      </c>
      <c r="H390" s="7">
        <v>1790.107191710448</v>
      </c>
      <c r="I390">
        <f t="shared" si="12"/>
        <v>1.2617521828180649E-4</v>
      </c>
      <c r="J390">
        <f t="shared" si="13"/>
        <v>7.0484727878918822E-4</v>
      </c>
    </row>
    <row r="391" spans="1:10" hidden="1" x14ac:dyDescent="0.3">
      <c r="A391" t="s">
        <v>612</v>
      </c>
      <c r="B391" t="s">
        <v>627</v>
      </c>
      <c r="C391" t="s">
        <v>627</v>
      </c>
      <c r="D391" s="7">
        <v>2.1182447261066608</v>
      </c>
      <c r="E391" s="7">
        <v>88170</v>
      </c>
      <c r="F391" s="7">
        <v>5479676.8614583332</v>
      </c>
      <c r="G391" s="7">
        <v>826</v>
      </c>
      <c r="H391" s="7">
        <v>1593.7866855484181</v>
      </c>
      <c r="I391">
        <f t="shared" si="12"/>
        <v>2.4024551730822964E-5</v>
      </c>
      <c r="J391">
        <f t="shared" si="13"/>
        <v>1.5073881560603058E-4</v>
      </c>
    </row>
    <row r="392" spans="1:10" hidden="1" x14ac:dyDescent="0.3">
      <c r="A392" t="s">
        <v>612</v>
      </c>
      <c r="B392" t="s">
        <v>643</v>
      </c>
      <c r="C392" t="s">
        <v>643</v>
      </c>
      <c r="D392" s="7">
        <v>37.0922059122774</v>
      </c>
      <c r="E392" s="7">
        <v>274076</v>
      </c>
      <c r="F392" s="7">
        <v>54330153.365379907</v>
      </c>
      <c r="G392" s="7">
        <v>48708</v>
      </c>
      <c r="H392" s="7">
        <v>1509.5666349041121</v>
      </c>
      <c r="I392">
        <f t="shared" si="12"/>
        <v>1.35335475971181E-4</v>
      </c>
      <c r="J392">
        <f t="shared" si="13"/>
        <v>8.9651872823605101E-4</v>
      </c>
    </row>
    <row r="393" spans="1:10" hidden="1" x14ac:dyDescent="0.3">
      <c r="A393" t="s">
        <v>730</v>
      </c>
      <c r="B393" t="s">
        <v>743</v>
      </c>
      <c r="C393" t="s">
        <v>330</v>
      </c>
      <c r="D393" s="7">
        <v>0.61822957644374565</v>
      </c>
      <c r="E393" s="7">
        <v>1733</v>
      </c>
      <c r="F393" s="7">
        <v>77905.843137254895</v>
      </c>
      <c r="G393" s="7">
        <v>189</v>
      </c>
      <c r="H393" s="7">
        <v>1470.481087792768</v>
      </c>
      <c r="I393">
        <f t="shared" si="12"/>
        <v>3.5673951323932237E-4</v>
      </c>
      <c r="J393">
        <f t="shared" si="13"/>
        <v>2.4260054495144718E-3</v>
      </c>
    </row>
    <row r="394" spans="1:10" hidden="1" x14ac:dyDescent="0.3">
      <c r="A394" t="s">
        <v>499</v>
      </c>
      <c r="B394" t="s">
        <v>499</v>
      </c>
      <c r="C394" t="s">
        <v>509</v>
      </c>
      <c r="D394" s="7">
        <v>0.89191431456403725</v>
      </c>
      <c r="E394" s="7">
        <v>5780</v>
      </c>
      <c r="F394" s="7">
        <v>1238288.515625</v>
      </c>
      <c r="G394" s="7">
        <v>1487</v>
      </c>
      <c r="H394" s="7">
        <v>1285.0090084610929</v>
      </c>
      <c r="I394">
        <f t="shared" si="12"/>
        <v>1.5431043504568118E-4</v>
      </c>
      <c r="J394">
        <f t="shared" si="13"/>
        <v>1.2008509981613358E-3</v>
      </c>
    </row>
    <row r="395" spans="1:10" hidden="1" x14ac:dyDescent="0.3">
      <c r="A395" t="s">
        <v>652</v>
      </c>
      <c r="B395" t="s">
        <v>803</v>
      </c>
      <c r="C395" t="s">
        <v>808</v>
      </c>
      <c r="D395" s="7">
        <v>2.8448787292289062</v>
      </c>
      <c r="E395" s="7">
        <v>15078</v>
      </c>
      <c r="F395" s="7">
        <v>1738283.09375</v>
      </c>
      <c r="G395" s="7">
        <v>2751</v>
      </c>
      <c r="H395" s="7">
        <v>1192.202244388212</v>
      </c>
      <c r="I395">
        <f t="shared" si="12"/>
        <v>1.8867745916095676E-4</v>
      </c>
      <c r="J395">
        <f t="shared" si="13"/>
        <v>1.5825960741902313E-3</v>
      </c>
    </row>
    <row r="396" spans="1:10" hidden="1" x14ac:dyDescent="0.3">
      <c r="A396" t="s">
        <v>612</v>
      </c>
      <c r="B396" t="s">
        <v>97</v>
      </c>
      <c r="C396" t="s">
        <v>620</v>
      </c>
      <c r="D396" s="7">
        <v>1.7420905347949189</v>
      </c>
      <c r="E396" s="7">
        <v>36356</v>
      </c>
      <c r="F396" s="7">
        <v>3020460.8047794122</v>
      </c>
      <c r="G396" s="7">
        <v>1359</v>
      </c>
      <c r="H396" s="7">
        <v>1064.9969747138041</v>
      </c>
      <c r="I396">
        <f t="shared" si="12"/>
        <v>4.791755239286277E-5</v>
      </c>
      <c r="J396">
        <f t="shared" si="13"/>
        <v>4.4993134751147661E-4</v>
      </c>
    </row>
    <row r="397" spans="1:10" hidden="1" x14ac:dyDescent="0.3">
      <c r="A397" t="s">
        <v>287</v>
      </c>
      <c r="B397" t="s">
        <v>309</v>
      </c>
      <c r="C397" t="s">
        <v>309</v>
      </c>
      <c r="D397" s="7">
        <v>8.8108912297405091</v>
      </c>
      <c r="E397" s="7">
        <v>58986</v>
      </c>
      <c r="F397" s="7">
        <v>13361309.084436269</v>
      </c>
      <c r="G397" s="7">
        <v>19137</v>
      </c>
      <c r="H397" s="7">
        <v>1042.9081158388681</v>
      </c>
      <c r="I397">
        <f t="shared" si="12"/>
        <v>1.493725838290528E-4</v>
      </c>
      <c r="J397">
        <f t="shared" si="13"/>
        <v>1.43226983816215E-3</v>
      </c>
    </row>
    <row r="398" spans="1:10" hidden="1" x14ac:dyDescent="0.3">
      <c r="A398" t="s">
        <v>959</v>
      </c>
      <c r="B398" t="s">
        <v>960</v>
      </c>
      <c r="C398" t="s">
        <v>961</v>
      </c>
      <c r="D398" s="7">
        <v>8.4638424524671976</v>
      </c>
      <c r="E398" s="7">
        <v>61947</v>
      </c>
      <c r="F398" s="7">
        <v>12415936.640625</v>
      </c>
      <c r="G398" s="7">
        <v>16413</v>
      </c>
      <c r="H398" s="7">
        <v>1033.567417239741</v>
      </c>
      <c r="I398">
        <f t="shared" si="12"/>
        <v>1.366303848849371E-4</v>
      </c>
      <c r="J398">
        <f t="shared" si="13"/>
        <v>1.3219300706075279E-3</v>
      </c>
    </row>
    <row r="399" spans="1:10" hidden="1" x14ac:dyDescent="0.3">
      <c r="A399" t="s">
        <v>499</v>
      </c>
      <c r="B399" t="s">
        <v>512</v>
      </c>
      <c r="C399" t="s">
        <v>513</v>
      </c>
      <c r="D399" s="7">
        <v>1.018702134512508</v>
      </c>
      <c r="E399" s="7">
        <v>20479</v>
      </c>
      <c r="F399" s="7">
        <v>2476371.265625</v>
      </c>
      <c r="G399" s="7">
        <v>1232</v>
      </c>
      <c r="H399" s="7">
        <v>999.86995473729962</v>
      </c>
      <c r="I399">
        <f t="shared" si="12"/>
        <v>4.9743744055496267E-5</v>
      </c>
      <c r="J399">
        <f t="shared" si="13"/>
        <v>4.9750213835123838E-4</v>
      </c>
    </row>
    <row r="400" spans="1:10" hidden="1" x14ac:dyDescent="0.3">
      <c r="A400" t="s">
        <v>612</v>
      </c>
      <c r="B400" t="s">
        <v>584</v>
      </c>
      <c r="C400" t="s">
        <v>584</v>
      </c>
      <c r="D400" s="7">
        <v>1.159063783443752</v>
      </c>
      <c r="E400" s="7">
        <v>10581</v>
      </c>
      <c r="F400" s="7">
        <v>993019.234375</v>
      </c>
      <c r="G400" s="7">
        <v>1150</v>
      </c>
      <c r="H400" s="7">
        <v>945.88958126511079</v>
      </c>
      <c r="I400">
        <f t="shared" si="12"/>
        <v>1.0954198879536453E-4</v>
      </c>
      <c r="J400">
        <f t="shared" si="13"/>
        <v>1.1580843151782481E-3</v>
      </c>
    </row>
    <row r="401" spans="1:12" x14ac:dyDescent="0.3">
      <c r="A401" t="s">
        <v>652</v>
      </c>
      <c r="B401" t="s">
        <v>772</v>
      </c>
      <c r="C401" t="s">
        <v>773</v>
      </c>
      <c r="D401" s="2">
        <v>35.6345895143874</v>
      </c>
      <c r="E401" s="2">
        <v>1860402</v>
      </c>
      <c r="F401" s="2">
        <v>204097559.589093</v>
      </c>
      <c r="G401" s="2">
        <v>41409</v>
      </c>
      <c r="H401" s="2">
        <v>944.07833585930337</v>
      </c>
      <c r="I401">
        <f>D401/E401</f>
        <v>1.9154241671631939E-5</v>
      </c>
      <c r="J401">
        <f>G401/F401</f>
        <v>2.0288826619665716E-4</v>
      </c>
      <c r="K401">
        <f>F401/G401</f>
        <v>4928.8212608151125</v>
      </c>
      <c r="L401">
        <f>K401*I401</f>
        <v>9.4407833585930301E-2</v>
      </c>
    </row>
    <row r="402" spans="1:12" hidden="1" x14ac:dyDescent="0.3">
      <c r="A402" t="s">
        <v>348</v>
      </c>
      <c r="B402" t="s">
        <v>348</v>
      </c>
      <c r="C402" t="s">
        <v>356</v>
      </c>
      <c r="D402" s="7">
        <v>8.389404387650659</v>
      </c>
      <c r="E402" s="7">
        <v>9347</v>
      </c>
      <c r="F402" s="7">
        <v>235638.03541666671</v>
      </c>
      <c r="G402" s="7">
        <v>2293</v>
      </c>
      <c r="H402" s="7">
        <v>922.35949883333001</v>
      </c>
      <c r="I402">
        <f t="shared" si="12"/>
        <v>8.9755048546599542E-4</v>
      </c>
      <c r="J402">
        <f t="shared" si="13"/>
        <v>9.731026639843628E-3</v>
      </c>
    </row>
    <row r="403" spans="1:12" hidden="1" x14ac:dyDescent="0.3">
      <c r="A403" t="s">
        <v>348</v>
      </c>
      <c r="B403" t="s">
        <v>348</v>
      </c>
      <c r="C403" t="s">
        <v>348</v>
      </c>
      <c r="D403" s="7">
        <v>34.769514979344542</v>
      </c>
      <c r="E403" s="7">
        <v>178473</v>
      </c>
      <c r="F403" s="7">
        <v>19478856.363664221</v>
      </c>
      <c r="G403" s="7">
        <v>42399</v>
      </c>
      <c r="H403" s="7">
        <v>895.02249356130233</v>
      </c>
      <c r="I403">
        <f t="shared" si="12"/>
        <v>1.9481666683108674E-4</v>
      </c>
      <c r="J403">
        <f t="shared" si="13"/>
        <v>2.1766678293850413E-3</v>
      </c>
    </row>
    <row r="404" spans="1:12" hidden="1" x14ac:dyDescent="0.3">
      <c r="A404" t="s">
        <v>406</v>
      </c>
      <c r="B404" t="s">
        <v>407</v>
      </c>
      <c r="C404" t="s">
        <v>407</v>
      </c>
      <c r="D404" s="7">
        <v>15.30751365900349</v>
      </c>
      <c r="E404" s="7">
        <v>2792588</v>
      </c>
      <c r="F404" s="7">
        <v>213587821.21654409</v>
      </c>
      <c r="G404" s="7">
        <v>13190</v>
      </c>
      <c r="H404" s="7">
        <v>887.62490296324927</v>
      </c>
      <c r="I404">
        <f t="shared" si="12"/>
        <v>5.4814794230310704E-6</v>
      </c>
      <c r="J404">
        <f t="shared" si="13"/>
        <v>6.1754457369680437E-5</v>
      </c>
    </row>
    <row r="405" spans="1:12" hidden="1" x14ac:dyDescent="0.3">
      <c r="A405" t="s">
        <v>612</v>
      </c>
      <c r="B405" t="s">
        <v>656</v>
      </c>
      <c r="C405" t="s">
        <v>658</v>
      </c>
      <c r="D405" s="7">
        <v>2.2874671731043721</v>
      </c>
      <c r="E405" s="7">
        <v>24474</v>
      </c>
      <c r="F405" s="7">
        <v>6455803.984375</v>
      </c>
      <c r="G405" s="7">
        <v>7491</v>
      </c>
      <c r="H405" s="7">
        <v>805.49055642965197</v>
      </c>
      <c r="I405">
        <f t="shared" si="12"/>
        <v>9.346519461895775E-5</v>
      </c>
      <c r="J405">
        <f t="shared" si="13"/>
        <v>1.1603512154536426E-3</v>
      </c>
    </row>
    <row r="406" spans="1:12" hidden="1" x14ac:dyDescent="0.3">
      <c r="A406" t="s">
        <v>612</v>
      </c>
      <c r="B406" t="s">
        <v>656</v>
      </c>
      <c r="C406" t="s">
        <v>657</v>
      </c>
      <c r="D406" s="7">
        <v>3.211736584143261</v>
      </c>
      <c r="E406" s="7">
        <v>28570</v>
      </c>
      <c r="F406" s="7">
        <v>5702405.5128676472</v>
      </c>
      <c r="G406" s="7">
        <v>8264</v>
      </c>
      <c r="H406" s="7">
        <v>775.7065662036772</v>
      </c>
      <c r="I406">
        <f t="shared" si="12"/>
        <v>1.1241640126507739E-4</v>
      </c>
      <c r="J406">
        <f t="shared" si="13"/>
        <v>1.449212964835987E-3</v>
      </c>
    </row>
    <row r="407" spans="1:12" hidden="1" x14ac:dyDescent="0.3">
      <c r="A407" t="s">
        <v>348</v>
      </c>
      <c r="B407" t="s">
        <v>396</v>
      </c>
      <c r="C407" t="s">
        <v>396</v>
      </c>
      <c r="D407" s="7">
        <v>5.9134239351128581</v>
      </c>
      <c r="E407" s="7">
        <v>22840</v>
      </c>
      <c r="F407" s="7">
        <v>1458631.9277573531</v>
      </c>
      <c r="G407" s="7">
        <v>5126</v>
      </c>
      <c r="H407" s="7">
        <v>736.7328398030013</v>
      </c>
      <c r="I407">
        <f t="shared" si="12"/>
        <v>2.5890647701895178E-4</v>
      </c>
      <c r="J407">
        <f t="shared" si="13"/>
        <v>3.5142518838739709E-3</v>
      </c>
    </row>
    <row r="408" spans="1:12" hidden="1" x14ac:dyDescent="0.3">
      <c r="A408" t="s">
        <v>348</v>
      </c>
      <c r="B408" t="s">
        <v>372</v>
      </c>
      <c r="C408" t="s">
        <v>377</v>
      </c>
      <c r="D408" s="7">
        <v>0.82165576702524268</v>
      </c>
      <c r="E408" s="7">
        <v>5246</v>
      </c>
      <c r="F408" s="7">
        <v>491752.10477941169</v>
      </c>
      <c r="G408" s="7">
        <v>1218</v>
      </c>
      <c r="H408" s="7">
        <v>632.35442319772778</v>
      </c>
      <c r="I408">
        <f t="shared" si="12"/>
        <v>1.5662519386680187E-4</v>
      </c>
      <c r="J408">
        <f t="shared" si="13"/>
        <v>2.4768577260007173E-3</v>
      </c>
    </row>
    <row r="409" spans="1:12" hidden="1" x14ac:dyDescent="0.3">
      <c r="A409" t="s">
        <v>612</v>
      </c>
      <c r="B409" t="s">
        <v>645</v>
      </c>
      <c r="C409" t="s">
        <v>645</v>
      </c>
      <c r="D409" s="7">
        <v>3.9955812214478108</v>
      </c>
      <c r="E409" s="7">
        <v>101463</v>
      </c>
      <c r="F409" s="7">
        <v>34165311.471139707</v>
      </c>
      <c r="G409" s="7">
        <v>22001</v>
      </c>
      <c r="H409" s="7">
        <v>611.52642391111851</v>
      </c>
      <c r="I409">
        <f t="shared" si="12"/>
        <v>3.9379687387991786E-5</v>
      </c>
      <c r="J409">
        <f t="shared" si="13"/>
        <v>6.4395724940440816E-4</v>
      </c>
    </row>
    <row r="410" spans="1:12" hidden="1" x14ac:dyDescent="0.3">
      <c r="A410" t="s">
        <v>612</v>
      </c>
      <c r="B410" t="s">
        <v>632</v>
      </c>
      <c r="C410" t="s">
        <v>632</v>
      </c>
      <c r="D410" s="7">
        <v>0.7608616964339936</v>
      </c>
      <c r="E410" s="7">
        <v>21141</v>
      </c>
      <c r="F410" s="7">
        <v>1489926.234375</v>
      </c>
      <c r="G410" s="7">
        <v>1083</v>
      </c>
      <c r="H410" s="7">
        <v>495.12688134016872</v>
      </c>
      <c r="I410">
        <f t="shared" si="12"/>
        <v>3.598986313012599E-5</v>
      </c>
      <c r="J410">
        <f t="shared" si="13"/>
        <v>7.2688162340755146E-4</v>
      </c>
    </row>
    <row r="411" spans="1:12" hidden="1" x14ac:dyDescent="0.3">
      <c r="A411" t="s">
        <v>348</v>
      </c>
      <c r="B411" t="s">
        <v>372</v>
      </c>
      <c r="C411" t="s">
        <v>372</v>
      </c>
      <c r="D411" s="7">
        <v>1.5082426213611519</v>
      </c>
      <c r="E411" s="7">
        <v>9172</v>
      </c>
      <c r="F411" s="7">
        <v>496625.328125</v>
      </c>
      <c r="G411" s="7">
        <v>2118</v>
      </c>
      <c r="H411" s="7">
        <v>385.57607004731727</v>
      </c>
      <c r="I411">
        <f t="shared" si="12"/>
        <v>1.6443988457927954E-4</v>
      </c>
      <c r="J411">
        <f t="shared" si="13"/>
        <v>4.2647844965871375E-3</v>
      </c>
    </row>
    <row r="412" spans="1:12" hidden="1" x14ac:dyDescent="0.3">
      <c r="A412" t="s">
        <v>612</v>
      </c>
      <c r="B412" t="s">
        <v>405</v>
      </c>
      <c r="C412" t="s">
        <v>405</v>
      </c>
      <c r="D412" s="7">
        <v>3.6385017436700848</v>
      </c>
      <c r="E412" s="7">
        <v>44748</v>
      </c>
      <c r="F412" s="7">
        <v>5263854.6624999996</v>
      </c>
      <c r="G412" s="7">
        <v>12019</v>
      </c>
      <c r="H412" s="7">
        <v>356.11028136226571</v>
      </c>
      <c r="I412">
        <f t="shared" si="12"/>
        <v>8.1310935542819448E-5</v>
      </c>
      <c r="J412">
        <f t="shared" si="13"/>
        <v>2.2833077223092879E-3</v>
      </c>
    </row>
    <row r="413" spans="1:12" hidden="1" x14ac:dyDescent="0.3">
      <c r="A413" t="s">
        <v>232</v>
      </c>
      <c r="B413" t="s">
        <v>244</v>
      </c>
      <c r="C413" t="s">
        <v>253</v>
      </c>
      <c r="D413" s="7">
        <v>0.93935701496553159</v>
      </c>
      <c r="E413" s="7">
        <v>8928</v>
      </c>
      <c r="F413" s="7">
        <v>1946.39068627451</v>
      </c>
      <c r="G413" s="7">
        <v>6</v>
      </c>
      <c r="H413" s="7">
        <v>341.31491655755968</v>
      </c>
      <c r="I413">
        <f t="shared" si="12"/>
        <v>1.0521471941818231E-4</v>
      </c>
      <c r="J413">
        <f t="shared" si="13"/>
        <v>3.0826288074180539E-3</v>
      </c>
    </row>
    <row r="414" spans="1:12" hidden="1" x14ac:dyDescent="0.3">
      <c r="A414" t="s">
        <v>612</v>
      </c>
      <c r="B414" t="s">
        <v>613</v>
      </c>
      <c r="C414" t="s">
        <v>613</v>
      </c>
      <c r="D414" s="7">
        <v>10.303970663473191</v>
      </c>
      <c r="E414" s="7">
        <v>264192</v>
      </c>
      <c r="F414" s="7">
        <v>43895892.055024512</v>
      </c>
      <c r="G414" s="7">
        <v>51099</v>
      </c>
      <c r="H414" s="7">
        <v>335.03982179628298</v>
      </c>
      <c r="I414">
        <f t="shared" si="12"/>
        <v>3.900182694204666E-5</v>
      </c>
      <c r="J414">
        <f t="shared" si="13"/>
        <v>1.164095262853896E-3</v>
      </c>
    </row>
    <row r="415" spans="1:12" hidden="1" x14ac:dyDescent="0.3">
      <c r="A415" t="s">
        <v>612</v>
      </c>
      <c r="B415" t="s">
        <v>613</v>
      </c>
      <c r="C415" t="s">
        <v>72</v>
      </c>
      <c r="D415" s="7">
        <v>3.062199922562975</v>
      </c>
      <c r="E415" s="7">
        <v>17660</v>
      </c>
      <c r="F415" s="7">
        <v>993148.828125</v>
      </c>
      <c r="G415" s="7">
        <v>5141</v>
      </c>
      <c r="H415" s="7">
        <v>334.97282241887319</v>
      </c>
      <c r="I415">
        <f t="shared" si="12"/>
        <v>1.7339750410888874E-4</v>
      </c>
      <c r="J415">
        <f t="shared" si="13"/>
        <v>5.1764648503949519E-3</v>
      </c>
    </row>
    <row r="416" spans="1:12" hidden="1" x14ac:dyDescent="0.3">
      <c r="A416" t="s">
        <v>612</v>
      </c>
      <c r="B416" t="s">
        <v>613</v>
      </c>
      <c r="C416" t="s">
        <v>618</v>
      </c>
      <c r="D416" s="7">
        <v>1.202354706970103</v>
      </c>
      <c r="E416" s="7">
        <v>8574</v>
      </c>
      <c r="F416" s="7">
        <v>496570.09375</v>
      </c>
      <c r="G416" s="7">
        <v>2311</v>
      </c>
      <c r="H416" s="7">
        <v>301.32123834119682</v>
      </c>
      <c r="I416">
        <f t="shared" si="12"/>
        <v>1.4023264601937288E-4</v>
      </c>
      <c r="J416">
        <f t="shared" si="13"/>
        <v>4.6539250532543772E-3</v>
      </c>
    </row>
    <row r="417" spans="1:12" hidden="1" x14ac:dyDescent="0.3">
      <c r="A417" t="s">
        <v>191</v>
      </c>
      <c r="B417" t="s">
        <v>192</v>
      </c>
      <c r="C417" t="s">
        <v>196</v>
      </c>
      <c r="D417" s="7">
        <v>4.2656221073792544</v>
      </c>
      <c r="E417" s="7">
        <v>2585</v>
      </c>
      <c r="F417" s="7">
        <v>4868.6222426470586</v>
      </c>
      <c r="G417" s="7">
        <v>286</v>
      </c>
      <c r="H417" s="7">
        <v>280.90655706961428</v>
      </c>
      <c r="I417">
        <f t="shared" si="12"/>
        <v>1.6501439486960366E-3</v>
      </c>
      <c r="J417">
        <f t="shared" si="13"/>
        <v>5.8743518339698188E-2</v>
      </c>
    </row>
    <row r="418" spans="1:12" x14ac:dyDescent="0.3">
      <c r="A418" t="s">
        <v>652</v>
      </c>
      <c r="B418" t="s">
        <v>829</v>
      </c>
      <c r="C418" t="s">
        <v>829</v>
      </c>
      <c r="D418" s="2">
        <v>1.0046101769521381</v>
      </c>
      <c r="E418" s="2">
        <v>26279</v>
      </c>
      <c r="F418" s="2">
        <v>18502.46078431372</v>
      </c>
      <c r="G418" s="2">
        <v>30</v>
      </c>
      <c r="H418" s="2">
        <v>235.77457795932631</v>
      </c>
      <c r="I418">
        <f t="shared" si="12"/>
        <v>3.8228630349409721E-5</v>
      </c>
      <c r="J418">
        <f t="shared" si="13"/>
        <v>1.6214059497120419E-3</v>
      </c>
      <c r="K418">
        <f>F418/G418</f>
        <v>616.74869281045733</v>
      </c>
      <c r="L418">
        <f>K418*I418</f>
        <v>2.3577457795932621E-2</v>
      </c>
    </row>
    <row r="419" spans="1:12" hidden="1" x14ac:dyDescent="0.3">
      <c r="A419" t="s">
        <v>612</v>
      </c>
      <c r="B419" t="s">
        <v>671</v>
      </c>
      <c r="C419" t="s">
        <v>671</v>
      </c>
      <c r="D419" s="7">
        <v>0.99033179907850444</v>
      </c>
      <c r="E419" s="7">
        <v>17274</v>
      </c>
      <c r="F419" s="7">
        <v>1489949.28125</v>
      </c>
      <c r="G419" s="7">
        <v>4872</v>
      </c>
      <c r="H419" s="7">
        <v>175.32829698544131</v>
      </c>
      <c r="I419">
        <f t="shared" si="12"/>
        <v>5.7330774521159226E-5</v>
      </c>
      <c r="J419">
        <f t="shared" si="13"/>
        <v>3.2699099635878966E-3</v>
      </c>
    </row>
    <row r="420" spans="1:12" hidden="1" x14ac:dyDescent="0.3">
      <c r="A420" t="s">
        <v>612</v>
      </c>
      <c r="B420" t="s">
        <v>622</v>
      </c>
      <c r="C420" t="s">
        <v>624</v>
      </c>
      <c r="D420" s="7">
        <v>0.99404056306395405</v>
      </c>
      <c r="E420" s="7">
        <v>11672</v>
      </c>
      <c r="F420" s="7">
        <v>744907.984375</v>
      </c>
      <c r="G420" s="7">
        <v>3641</v>
      </c>
      <c r="H420" s="7">
        <v>174.23715781930301</v>
      </c>
      <c r="I420">
        <f t="shared" si="12"/>
        <v>8.5164544470866518E-5</v>
      </c>
      <c r="J420">
        <f t="shared" si="13"/>
        <v>4.8878520251798719E-3</v>
      </c>
    </row>
    <row r="421" spans="1:12" hidden="1" x14ac:dyDescent="0.3">
      <c r="A421" t="s">
        <v>612</v>
      </c>
      <c r="B421" t="s">
        <v>665</v>
      </c>
      <c r="C421" t="s">
        <v>667</v>
      </c>
      <c r="D421" s="7">
        <v>0.69433415758294281</v>
      </c>
      <c r="E421" s="7">
        <v>6434</v>
      </c>
      <c r="F421" s="7">
        <v>248325.625</v>
      </c>
      <c r="G421" s="7">
        <v>1668</v>
      </c>
      <c r="H421" s="7">
        <v>160.6619245858825</v>
      </c>
      <c r="I421">
        <f t="shared" si="12"/>
        <v>1.0791640621432123E-4</v>
      </c>
      <c r="J421">
        <f t="shared" si="13"/>
        <v>6.7169870205702692E-3</v>
      </c>
    </row>
    <row r="422" spans="1:12" hidden="1" x14ac:dyDescent="0.3">
      <c r="A422" t="s">
        <v>612</v>
      </c>
      <c r="B422" t="s">
        <v>659</v>
      </c>
      <c r="C422" t="s">
        <v>659</v>
      </c>
      <c r="D422" s="7">
        <v>1.996044867653386</v>
      </c>
      <c r="E422" s="7">
        <v>32815</v>
      </c>
      <c r="F422" s="7">
        <v>2483036.09375</v>
      </c>
      <c r="G422" s="7">
        <v>9688</v>
      </c>
      <c r="H422" s="7">
        <v>155.9002433483044</v>
      </c>
      <c r="I422">
        <f t="shared" si="12"/>
        <v>6.0827209131597929E-5</v>
      </c>
      <c r="J422">
        <f t="shared" si="13"/>
        <v>3.9016750599741457E-3</v>
      </c>
    </row>
    <row r="423" spans="1:12" hidden="1" x14ac:dyDescent="0.3">
      <c r="A423" t="s">
        <v>674</v>
      </c>
      <c r="B423" t="s">
        <v>719</v>
      </c>
      <c r="C423" t="s">
        <v>719</v>
      </c>
      <c r="D423" s="7">
        <v>0.53747005077454224</v>
      </c>
      <c r="E423" s="7">
        <v>8192</v>
      </c>
      <c r="F423" s="7">
        <v>496233.28125</v>
      </c>
      <c r="G423" s="7">
        <v>2325</v>
      </c>
      <c r="H423" s="7">
        <v>140.03198865373781</v>
      </c>
      <c r="I423">
        <f t="shared" si="12"/>
        <v>6.5609137057439238E-5</v>
      </c>
      <c r="J423">
        <f t="shared" si="13"/>
        <v>4.685296387504239E-3</v>
      </c>
    </row>
    <row r="424" spans="1:12" hidden="1" x14ac:dyDescent="0.3">
      <c r="A424" t="s">
        <v>612</v>
      </c>
      <c r="B424" t="s">
        <v>656</v>
      </c>
      <c r="C424" t="s">
        <v>176</v>
      </c>
      <c r="D424" s="7">
        <v>0.87138714119240246</v>
      </c>
      <c r="E424" s="7">
        <v>12783</v>
      </c>
      <c r="F424" s="7">
        <v>993281.453125</v>
      </c>
      <c r="G424" s="7">
        <v>5003</v>
      </c>
      <c r="H424" s="7">
        <v>135.33813308792151</v>
      </c>
      <c r="I424">
        <f t="shared" si="12"/>
        <v>6.8167655573214624E-5</v>
      </c>
      <c r="J424">
        <f t="shared" si="13"/>
        <v>5.0368402473033947E-3</v>
      </c>
    </row>
    <row r="425" spans="1:12" hidden="1" x14ac:dyDescent="0.3">
      <c r="A425" t="s">
        <v>612</v>
      </c>
      <c r="B425" t="s">
        <v>642</v>
      </c>
      <c r="C425" t="s">
        <v>642</v>
      </c>
      <c r="D425" s="7">
        <v>1.274496663477785</v>
      </c>
      <c r="E425" s="7">
        <v>23406</v>
      </c>
      <c r="F425" s="7">
        <v>993178.34375</v>
      </c>
      <c r="G425" s="7">
        <v>4069</v>
      </c>
      <c r="H425" s="7">
        <v>132.9079787982441</v>
      </c>
      <c r="I425">
        <f t="shared" si="12"/>
        <v>5.4451707403135307E-5</v>
      </c>
      <c r="J425">
        <f t="shared" si="13"/>
        <v>4.0969479707304579E-3</v>
      </c>
    </row>
    <row r="426" spans="1:12" hidden="1" x14ac:dyDescent="0.3">
      <c r="A426" t="s">
        <v>586</v>
      </c>
      <c r="B426" t="s">
        <v>609</v>
      </c>
      <c r="C426" t="s">
        <v>609</v>
      </c>
      <c r="D426" s="7">
        <v>1.23063515622635</v>
      </c>
      <c r="E426" s="7">
        <v>54026</v>
      </c>
      <c r="F426" s="7">
        <v>252192.4244485294</v>
      </c>
      <c r="G426" s="7">
        <v>464</v>
      </c>
      <c r="H426" s="7">
        <v>123.8056770799365</v>
      </c>
      <c r="I426">
        <f t="shared" si="12"/>
        <v>2.2778572469299041E-5</v>
      </c>
      <c r="J426">
        <f t="shared" si="13"/>
        <v>1.8398649404899113E-3</v>
      </c>
    </row>
    <row r="427" spans="1:12" hidden="1" x14ac:dyDescent="0.3">
      <c r="A427" t="s">
        <v>612</v>
      </c>
      <c r="B427" t="s">
        <v>622</v>
      </c>
      <c r="C427" t="s">
        <v>357</v>
      </c>
      <c r="D427" s="7">
        <v>0.6638483458178237</v>
      </c>
      <c r="E427" s="7">
        <v>6882</v>
      </c>
      <c r="F427" s="7">
        <v>496641.046875</v>
      </c>
      <c r="G427" s="7">
        <v>4104</v>
      </c>
      <c r="H427" s="7">
        <v>116.73187669602289</v>
      </c>
      <c r="I427">
        <f t="shared" si="12"/>
        <v>9.6461544001427452E-5</v>
      </c>
      <c r="J427">
        <f t="shared" si="13"/>
        <v>8.2635135090494017E-3</v>
      </c>
    </row>
    <row r="428" spans="1:12" hidden="1" x14ac:dyDescent="0.3">
      <c r="A428" t="s">
        <v>612</v>
      </c>
      <c r="B428" t="s">
        <v>622</v>
      </c>
      <c r="C428" t="s">
        <v>622</v>
      </c>
      <c r="D428" s="7">
        <v>1.472909187058866</v>
      </c>
      <c r="E428" s="7">
        <v>79846</v>
      </c>
      <c r="F428" s="7">
        <v>10925573.53125</v>
      </c>
      <c r="G428" s="7">
        <v>18931</v>
      </c>
      <c r="H428" s="7">
        <v>106.4617241715294</v>
      </c>
      <c r="I428">
        <f t="shared" si="12"/>
        <v>1.844687507275087E-5</v>
      </c>
      <c r="J428">
        <f t="shared" si="13"/>
        <v>1.7327236822719087E-3</v>
      </c>
    </row>
    <row r="429" spans="1:12" hidden="1" x14ac:dyDescent="0.3">
      <c r="A429" t="s">
        <v>612</v>
      </c>
      <c r="B429" t="s">
        <v>91</v>
      </c>
      <c r="C429" t="s">
        <v>91</v>
      </c>
      <c r="D429" s="7">
        <v>1.5004689620968961</v>
      </c>
      <c r="E429" s="7">
        <v>17632</v>
      </c>
      <c r="F429" s="7">
        <v>541420.49595588236</v>
      </c>
      <c r="G429" s="7">
        <v>5847</v>
      </c>
      <c r="H429" s="7">
        <v>78.800148805981507</v>
      </c>
      <c r="I429">
        <f t="shared" si="12"/>
        <v>8.5099192496421058E-5</v>
      </c>
      <c r="J429">
        <f t="shared" si="13"/>
        <v>1.0799369517175505E-2</v>
      </c>
    </row>
    <row r="430" spans="1:12" hidden="1" x14ac:dyDescent="0.3">
      <c r="A430" t="s">
        <v>612</v>
      </c>
      <c r="B430" t="s">
        <v>665</v>
      </c>
      <c r="C430" t="s">
        <v>665</v>
      </c>
      <c r="D430" s="7">
        <v>1.301271010498418</v>
      </c>
      <c r="E430" s="7">
        <v>44989</v>
      </c>
      <c r="F430" s="7">
        <v>2249543.1831495101</v>
      </c>
      <c r="G430" s="7">
        <v>8861</v>
      </c>
      <c r="H430" s="7">
        <v>73.429912846563511</v>
      </c>
      <c r="I430">
        <f t="shared" si="12"/>
        <v>2.8924203927591589E-5</v>
      </c>
      <c r="J430">
        <f t="shared" si="13"/>
        <v>3.9390219607138236E-3</v>
      </c>
    </row>
    <row r="431" spans="1:12" hidden="1" x14ac:dyDescent="0.3">
      <c r="A431" t="s">
        <v>990</v>
      </c>
      <c r="B431" t="s">
        <v>991</v>
      </c>
      <c r="C431" t="s">
        <v>992</v>
      </c>
      <c r="D431" s="7">
        <v>4.1175950060035724</v>
      </c>
      <c r="E431" s="7">
        <v>391033</v>
      </c>
      <c r="F431" s="7">
        <v>727443.44448529417</v>
      </c>
      <c r="G431" s="7">
        <v>3071</v>
      </c>
      <c r="H431" s="7">
        <v>24.943054560939661</v>
      </c>
      <c r="I431">
        <f t="shared" si="12"/>
        <v>1.0530044794182517E-5</v>
      </c>
      <c r="J431">
        <f t="shared" si="13"/>
        <v>4.2216340298081865E-3</v>
      </c>
    </row>
    <row r="432" spans="1:12" hidden="1" x14ac:dyDescent="0.3">
      <c r="A432" t="s">
        <v>191</v>
      </c>
      <c r="B432" t="s">
        <v>192</v>
      </c>
      <c r="C432" t="s">
        <v>200</v>
      </c>
      <c r="D432" s="7">
        <v>1.673393915534173</v>
      </c>
      <c r="E432" s="7">
        <v>15590</v>
      </c>
      <c r="F432" s="7">
        <v>8763.7433823529409</v>
      </c>
      <c r="G432" s="7">
        <v>537</v>
      </c>
      <c r="H432" s="7">
        <v>17.517310854774021</v>
      </c>
      <c r="I432">
        <f t="shared" si="12"/>
        <v>1.0733764692329525E-4</v>
      </c>
      <c r="J432">
        <f t="shared" si="13"/>
        <v>6.1275185337047504E-2</v>
      </c>
    </row>
    <row r="433" spans="1:15" hidden="1" x14ac:dyDescent="0.3">
      <c r="A433" t="s">
        <v>922</v>
      </c>
      <c r="B433" t="s">
        <v>931</v>
      </c>
      <c r="C433" t="s">
        <v>931</v>
      </c>
      <c r="D433" s="7">
        <v>0.68648751345152881</v>
      </c>
      <c r="E433" s="7">
        <v>3717</v>
      </c>
      <c r="F433" s="7">
        <v>973.8287990196078</v>
      </c>
      <c r="G433" s="7">
        <v>807</v>
      </c>
      <c r="H433" s="7">
        <v>2.228687412522921</v>
      </c>
      <c r="I433">
        <f t="shared" si="12"/>
        <v>1.8468859657022566E-4</v>
      </c>
      <c r="J433">
        <f t="shared" si="13"/>
        <v>0.82868775375347192</v>
      </c>
    </row>
    <row r="435" spans="1:15" x14ac:dyDescent="0.3">
      <c r="G435" s="7" t="s">
        <v>1016</v>
      </c>
    </row>
    <row r="436" spans="1:15" x14ac:dyDescent="0.3">
      <c r="D436" s="10">
        <f>D166*10000/E166</f>
        <v>4.7940976252715988</v>
      </c>
      <c r="F436" s="11"/>
      <c r="G436" s="14">
        <f>G166/F166*1000</f>
        <v>2.8169323239706376E-2</v>
      </c>
      <c r="H436" s="2">
        <f>1/G436</f>
        <v>35.499610391436001</v>
      </c>
      <c r="I436" s="12">
        <f>H436*D436</f>
        <v>170.18859787565029</v>
      </c>
      <c r="O436" t="s">
        <v>1021</v>
      </c>
    </row>
    <row r="437" spans="1:15" x14ac:dyDescent="0.3">
      <c r="D437" s="10">
        <f>D401*10000/E401</f>
        <v>0.19154241671631936</v>
      </c>
      <c r="E437" s="10"/>
      <c r="G437" s="15">
        <f>G401/F401*1000</f>
        <v>0.20288826619665717</v>
      </c>
      <c r="H437" s="2">
        <f>1/G437</f>
        <v>4.9288212608151127</v>
      </c>
    </row>
    <row r="438" spans="1:15" x14ac:dyDescent="0.3">
      <c r="D438" s="10">
        <f>D418*10000/E418</f>
        <v>0.38228630349409726</v>
      </c>
    </row>
    <row r="442" spans="1:15" x14ac:dyDescent="0.3">
      <c r="C442" s="13"/>
    </row>
    <row r="443" spans="1:15" x14ac:dyDescent="0.3">
      <c r="B443" s="13">
        <v>0.6</v>
      </c>
      <c r="J443" s="2"/>
    </row>
    <row r="444" spans="1:15" x14ac:dyDescent="0.3">
      <c r="C444" s="13"/>
      <c r="G444" s="7" t="s">
        <v>1017</v>
      </c>
      <c r="I444" s="7" t="s">
        <v>1017</v>
      </c>
      <c r="J444" t="b">
        <f>I166&gt;I401</f>
        <v>1</v>
      </c>
    </row>
    <row r="445" spans="1:15" x14ac:dyDescent="0.3">
      <c r="F445" s="7" t="s">
        <v>13</v>
      </c>
      <c r="G445" s="9" t="s">
        <v>1015</v>
      </c>
      <c r="H445" s="7" t="s">
        <v>1018</v>
      </c>
      <c r="I445" s="9" t="s">
        <v>4</v>
      </c>
    </row>
    <row r="446" spans="1:15" x14ac:dyDescent="0.3">
      <c r="G446" s="7" t="s">
        <v>3</v>
      </c>
      <c r="I446" s="7" t="s">
        <v>5</v>
      </c>
    </row>
    <row r="447" spans="1:15" x14ac:dyDescent="0.3">
      <c r="B447" t="s">
        <v>1020</v>
      </c>
    </row>
    <row r="448" spans="1:15" x14ac:dyDescent="0.3">
      <c r="G448" s="7" t="s">
        <v>1019</v>
      </c>
    </row>
  </sheetData>
  <autoFilter ref="A1:J433" xr:uid="{71ED1BA4-3BB6-45E7-9924-590D8CE49D50}">
    <filterColumn colId="2">
      <filters>
        <filter val="Puerto Quito"/>
        <filter val="Quito"/>
        <filter val="Santiago de Quito"/>
      </filters>
    </filterColumn>
  </autoFilter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4385-D2B3-4D93-BACF-21AF88A7A572}">
  <dimension ref="A1:E433"/>
  <sheetViews>
    <sheetView workbookViewId="0">
      <selection activeCell="B2" sqref="B2"/>
    </sheetView>
  </sheetViews>
  <sheetFormatPr baseColWidth="10" defaultRowHeight="14.4" x14ac:dyDescent="0.3"/>
  <cols>
    <col min="3" max="3" width="37.6640625" bestFit="1" customWidth="1"/>
    <col min="4" max="4" width="14.44140625" bestFit="1" customWidth="1"/>
  </cols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13</v>
      </c>
      <c r="E1" s="5" t="s">
        <v>1012</v>
      </c>
    </row>
    <row r="2" spans="1:5" x14ac:dyDescent="0.3">
      <c r="A2" t="s">
        <v>652</v>
      </c>
      <c r="B2" t="s">
        <v>817</v>
      </c>
      <c r="C2" t="s">
        <v>819</v>
      </c>
      <c r="D2" s="2">
        <v>249483315.1045115</v>
      </c>
      <c r="E2">
        <v>1</v>
      </c>
    </row>
    <row r="3" spans="1:5" x14ac:dyDescent="0.3">
      <c r="A3" t="s">
        <v>652</v>
      </c>
      <c r="B3" t="s">
        <v>817</v>
      </c>
      <c r="C3" t="s">
        <v>820</v>
      </c>
      <c r="D3" s="2">
        <v>47091595.016204849</v>
      </c>
      <c r="E3">
        <v>2</v>
      </c>
    </row>
    <row r="4" spans="1:5" x14ac:dyDescent="0.3">
      <c r="A4" t="s">
        <v>232</v>
      </c>
      <c r="B4" t="s">
        <v>269</v>
      </c>
      <c r="C4" t="s">
        <v>45</v>
      </c>
      <c r="D4" s="2">
        <v>44527393.227291971</v>
      </c>
      <c r="E4">
        <v>3</v>
      </c>
    </row>
    <row r="5" spans="1:5" x14ac:dyDescent="0.3">
      <c r="A5" t="s">
        <v>460</v>
      </c>
      <c r="B5" t="s">
        <v>468</v>
      </c>
      <c r="C5" t="s">
        <v>470</v>
      </c>
      <c r="D5" s="2">
        <v>35570662.134765863</v>
      </c>
      <c r="E5">
        <v>4</v>
      </c>
    </row>
    <row r="6" spans="1:5" x14ac:dyDescent="0.3">
      <c r="A6" t="s">
        <v>124</v>
      </c>
      <c r="B6" t="s">
        <v>133</v>
      </c>
      <c r="C6" t="s">
        <v>135</v>
      </c>
      <c r="D6" s="2">
        <v>34377227.587594032</v>
      </c>
      <c r="E6">
        <v>5</v>
      </c>
    </row>
    <row r="7" spans="1:5" x14ac:dyDescent="0.3">
      <c r="A7" t="s">
        <v>922</v>
      </c>
      <c r="B7" t="s">
        <v>942</v>
      </c>
      <c r="C7" t="s">
        <v>945</v>
      </c>
      <c r="D7" s="2">
        <v>24751947.689971171</v>
      </c>
      <c r="E7">
        <v>6</v>
      </c>
    </row>
    <row r="8" spans="1:5" x14ac:dyDescent="0.3">
      <c r="A8" t="s">
        <v>940</v>
      </c>
      <c r="B8" t="s">
        <v>940</v>
      </c>
      <c r="C8" t="s">
        <v>295</v>
      </c>
      <c r="D8" s="2">
        <v>24344240.149060301</v>
      </c>
      <c r="E8">
        <v>7</v>
      </c>
    </row>
    <row r="9" spans="1:5" x14ac:dyDescent="0.3">
      <c r="A9" t="s">
        <v>674</v>
      </c>
      <c r="B9" t="s">
        <v>698</v>
      </c>
      <c r="C9" t="s">
        <v>286</v>
      </c>
      <c r="D9" s="2">
        <v>19569818.319024932</v>
      </c>
      <c r="E9">
        <v>8</v>
      </c>
    </row>
    <row r="10" spans="1:5" x14ac:dyDescent="0.3">
      <c r="A10" t="s">
        <v>232</v>
      </c>
      <c r="B10" t="s">
        <v>233</v>
      </c>
      <c r="C10" t="s">
        <v>236</v>
      </c>
      <c r="D10" s="2">
        <v>17547232.169040781</v>
      </c>
      <c r="E10">
        <v>9</v>
      </c>
    </row>
    <row r="11" spans="1:5" x14ac:dyDescent="0.3">
      <c r="A11" t="s">
        <v>20</v>
      </c>
      <c r="B11" t="s">
        <v>59</v>
      </c>
      <c r="C11" t="s">
        <v>62</v>
      </c>
      <c r="D11" s="2">
        <v>13316603.21334872</v>
      </c>
      <c r="E11">
        <v>10</v>
      </c>
    </row>
    <row r="12" spans="1:5" x14ac:dyDescent="0.3">
      <c r="A12" t="s">
        <v>652</v>
      </c>
      <c r="B12" t="s">
        <v>803</v>
      </c>
      <c r="C12" t="s">
        <v>806</v>
      </c>
      <c r="D12" s="2">
        <v>13235039.08162082</v>
      </c>
      <c r="E12">
        <v>11</v>
      </c>
    </row>
    <row r="13" spans="1:5" x14ac:dyDescent="0.3">
      <c r="A13" t="s">
        <v>20</v>
      </c>
      <c r="B13" t="s">
        <v>21</v>
      </c>
      <c r="C13" t="s">
        <v>27</v>
      </c>
      <c r="D13" s="2">
        <v>12848602.20556514</v>
      </c>
      <c r="E13">
        <v>12</v>
      </c>
    </row>
    <row r="14" spans="1:5" x14ac:dyDescent="0.3">
      <c r="A14" t="s">
        <v>156</v>
      </c>
      <c r="B14" t="s">
        <v>157</v>
      </c>
      <c r="C14" t="s">
        <v>158</v>
      </c>
      <c r="D14" s="2">
        <v>9435251.3171798792</v>
      </c>
      <c r="E14">
        <v>13</v>
      </c>
    </row>
    <row r="15" spans="1:5" x14ac:dyDescent="0.3">
      <c r="A15" t="s">
        <v>124</v>
      </c>
      <c r="B15" t="s">
        <v>125</v>
      </c>
      <c r="C15" t="s">
        <v>126</v>
      </c>
      <c r="D15" s="2">
        <v>9231323.6822258886</v>
      </c>
      <c r="E15">
        <v>14</v>
      </c>
    </row>
    <row r="16" spans="1:5" x14ac:dyDescent="0.3">
      <c r="A16" t="s">
        <v>232</v>
      </c>
      <c r="B16" t="s">
        <v>244</v>
      </c>
      <c r="C16" t="s">
        <v>246</v>
      </c>
      <c r="D16" s="2">
        <v>8702281.5146605577</v>
      </c>
      <c r="E16">
        <v>15</v>
      </c>
    </row>
    <row r="17" spans="1:5" x14ac:dyDescent="0.3">
      <c r="A17" t="s">
        <v>124</v>
      </c>
      <c r="B17" t="s">
        <v>153</v>
      </c>
      <c r="C17" t="s">
        <v>154</v>
      </c>
      <c r="D17" s="2">
        <v>8141181.9957461478</v>
      </c>
      <c r="E17">
        <v>16</v>
      </c>
    </row>
    <row r="18" spans="1:5" x14ac:dyDescent="0.3">
      <c r="A18" t="s">
        <v>674</v>
      </c>
      <c r="B18" t="s">
        <v>727</v>
      </c>
      <c r="C18" t="s">
        <v>727</v>
      </c>
      <c r="D18" s="2">
        <v>6598613.2008125689</v>
      </c>
      <c r="E18">
        <v>17</v>
      </c>
    </row>
    <row r="19" spans="1:5" x14ac:dyDescent="0.3">
      <c r="A19" t="s">
        <v>232</v>
      </c>
      <c r="B19" t="s">
        <v>233</v>
      </c>
      <c r="C19" t="s">
        <v>238</v>
      </c>
      <c r="D19" s="2">
        <v>6574063.2677985635</v>
      </c>
      <c r="E19">
        <v>18</v>
      </c>
    </row>
    <row r="20" spans="1:5" x14ac:dyDescent="0.3">
      <c r="A20" t="s">
        <v>124</v>
      </c>
      <c r="B20" t="s">
        <v>125</v>
      </c>
      <c r="C20" t="s">
        <v>129</v>
      </c>
      <c r="D20" s="2">
        <v>6392818.6393326577</v>
      </c>
      <c r="E20">
        <v>19</v>
      </c>
    </row>
    <row r="21" spans="1:5" x14ac:dyDescent="0.3">
      <c r="A21" t="s">
        <v>20</v>
      </c>
      <c r="B21" t="s">
        <v>69</v>
      </c>
      <c r="C21" t="s">
        <v>70</v>
      </c>
      <c r="D21" s="2">
        <v>6023602.8154392662</v>
      </c>
      <c r="E21">
        <v>20</v>
      </c>
    </row>
    <row r="22" spans="1:5" x14ac:dyDescent="0.3">
      <c r="A22" t="s">
        <v>830</v>
      </c>
      <c r="B22" t="s">
        <v>855</v>
      </c>
      <c r="C22" t="s">
        <v>856</v>
      </c>
      <c r="D22" s="2">
        <v>5143589.4972038362</v>
      </c>
      <c r="E22">
        <v>21</v>
      </c>
    </row>
    <row r="23" spans="1:5" x14ac:dyDescent="0.3">
      <c r="A23" t="s">
        <v>652</v>
      </c>
      <c r="B23" t="s">
        <v>803</v>
      </c>
      <c r="C23" t="s">
        <v>807</v>
      </c>
      <c r="D23" s="2">
        <v>4893949.0342930751</v>
      </c>
      <c r="E23">
        <v>22</v>
      </c>
    </row>
    <row r="24" spans="1:5" x14ac:dyDescent="0.3">
      <c r="A24" t="s">
        <v>232</v>
      </c>
      <c r="B24" t="s">
        <v>233</v>
      </c>
      <c r="C24" t="s">
        <v>234</v>
      </c>
      <c r="D24" s="2">
        <v>4892664.00238322</v>
      </c>
      <c r="E24">
        <v>23</v>
      </c>
    </row>
    <row r="25" spans="1:5" x14ac:dyDescent="0.3">
      <c r="A25" t="s">
        <v>652</v>
      </c>
      <c r="B25" t="s">
        <v>772</v>
      </c>
      <c r="C25" t="s">
        <v>783</v>
      </c>
      <c r="D25" s="2">
        <v>4791126.3798706802</v>
      </c>
      <c r="E25">
        <v>24</v>
      </c>
    </row>
    <row r="26" spans="1:5" x14ac:dyDescent="0.3">
      <c r="A26" t="s">
        <v>922</v>
      </c>
      <c r="B26" t="s">
        <v>923</v>
      </c>
      <c r="C26" t="s">
        <v>926</v>
      </c>
      <c r="D26" s="2">
        <v>4223465.3352645729</v>
      </c>
      <c r="E26">
        <v>25</v>
      </c>
    </row>
    <row r="27" spans="1:5" x14ac:dyDescent="0.3">
      <c r="A27" t="s">
        <v>20</v>
      </c>
      <c r="B27" t="s">
        <v>85</v>
      </c>
      <c r="C27" t="s">
        <v>85</v>
      </c>
      <c r="D27" s="2">
        <v>4124086.2055260292</v>
      </c>
      <c r="E27">
        <v>26</v>
      </c>
    </row>
    <row r="28" spans="1:5" x14ac:dyDescent="0.3">
      <c r="A28" t="s">
        <v>124</v>
      </c>
      <c r="B28" t="s">
        <v>149</v>
      </c>
      <c r="C28" t="s">
        <v>150</v>
      </c>
      <c r="D28" s="2">
        <v>3799920.8055173028</v>
      </c>
      <c r="E28">
        <v>27</v>
      </c>
    </row>
    <row r="29" spans="1:5" x14ac:dyDescent="0.3">
      <c r="A29" t="s">
        <v>287</v>
      </c>
      <c r="B29" t="s">
        <v>288</v>
      </c>
      <c r="C29" t="s">
        <v>289</v>
      </c>
      <c r="D29" s="2">
        <v>3673617.2664365168</v>
      </c>
      <c r="E29">
        <v>28</v>
      </c>
    </row>
    <row r="30" spans="1:5" x14ac:dyDescent="0.3">
      <c r="A30" t="s">
        <v>652</v>
      </c>
      <c r="B30" t="s">
        <v>772</v>
      </c>
      <c r="C30" t="s">
        <v>785</v>
      </c>
      <c r="D30" s="2">
        <v>3208227.0287158559</v>
      </c>
      <c r="E30">
        <v>29</v>
      </c>
    </row>
    <row r="31" spans="1:5" x14ac:dyDescent="0.3">
      <c r="A31" t="s">
        <v>232</v>
      </c>
      <c r="B31" t="s">
        <v>233</v>
      </c>
      <c r="C31" t="s">
        <v>241</v>
      </c>
      <c r="D31" s="2">
        <v>3012184.6659182659</v>
      </c>
      <c r="E31">
        <v>30</v>
      </c>
    </row>
    <row r="32" spans="1:5" x14ac:dyDescent="0.3">
      <c r="A32" t="s">
        <v>830</v>
      </c>
      <c r="B32" t="s">
        <v>852</v>
      </c>
      <c r="C32" t="s">
        <v>853</v>
      </c>
      <c r="D32" s="2">
        <v>2872653.562522986</v>
      </c>
      <c r="E32">
        <v>31</v>
      </c>
    </row>
    <row r="33" spans="1:5" x14ac:dyDescent="0.3">
      <c r="A33" t="s">
        <v>20</v>
      </c>
      <c r="B33" t="s">
        <v>59</v>
      </c>
      <c r="C33" t="s">
        <v>64</v>
      </c>
      <c r="D33" s="2">
        <v>2636241.424757231</v>
      </c>
      <c r="E33">
        <v>32</v>
      </c>
    </row>
    <row r="34" spans="1:5" x14ac:dyDescent="0.3">
      <c r="A34" t="s">
        <v>348</v>
      </c>
      <c r="B34" t="s">
        <v>357</v>
      </c>
      <c r="C34" t="s">
        <v>360</v>
      </c>
      <c r="D34" s="2">
        <v>2598119.1622257489</v>
      </c>
      <c r="E34">
        <v>33</v>
      </c>
    </row>
    <row r="35" spans="1:5" x14ac:dyDescent="0.3">
      <c r="A35" t="s">
        <v>20</v>
      </c>
      <c r="B35" t="s">
        <v>59</v>
      </c>
      <c r="C35" t="s">
        <v>59</v>
      </c>
      <c r="D35" s="2">
        <v>2552097.8897300749</v>
      </c>
      <c r="E35">
        <v>34</v>
      </c>
    </row>
    <row r="36" spans="1:5" x14ac:dyDescent="0.3">
      <c r="A36" t="s">
        <v>287</v>
      </c>
      <c r="B36" t="s">
        <v>319</v>
      </c>
      <c r="C36" t="s">
        <v>319</v>
      </c>
      <c r="D36" s="2">
        <v>2431633.4838265372</v>
      </c>
      <c r="E36">
        <v>35</v>
      </c>
    </row>
    <row r="37" spans="1:5" x14ac:dyDescent="0.3">
      <c r="A37" t="s">
        <v>20</v>
      </c>
      <c r="B37" t="s">
        <v>21</v>
      </c>
      <c r="C37" t="s">
        <v>35</v>
      </c>
      <c r="D37" s="2">
        <v>2412515.1136580789</v>
      </c>
      <c r="E37">
        <v>36</v>
      </c>
    </row>
    <row r="38" spans="1:5" x14ac:dyDescent="0.3">
      <c r="A38" t="s">
        <v>232</v>
      </c>
      <c r="B38" t="s">
        <v>233</v>
      </c>
      <c r="C38" t="s">
        <v>235</v>
      </c>
      <c r="D38" s="2">
        <v>2268870.14357448</v>
      </c>
      <c r="E38">
        <v>37</v>
      </c>
    </row>
    <row r="39" spans="1:5" x14ac:dyDescent="0.3">
      <c r="A39" t="s">
        <v>20</v>
      </c>
      <c r="B39" t="s">
        <v>59</v>
      </c>
      <c r="C39" t="s">
        <v>66</v>
      </c>
      <c r="D39" s="2">
        <v>2259319.2413411969</v>
      </c>
      <c r="E39">
        <v>38</v>
      </c>
    </row>
    <row r="40" spans="1:5" x14ac:dyDescent="0.3">
      <c r="A40" t="s">
        <v>499</v>
      </c>
      <c r="B40" t="s">
        <v>557</v>
      </c>
      <c r="C40" t="s">
        <v>558</v>
      </c>
      <c r="D40" s="2">
        <v>2253187.2877326282</v>
      </c>
      <c r="E40">
        <v>39</v>
      </c>
    </row>
    <row r="41" spans="1:5" x14ac:dyDescent="0.3">
      <c r="A41" t="s">
        <v>652</v>
      </c>
      <c r="B41" t="s">
        <v>772</v>
      </c>
      <c r="C41" t="s">
        <v>802</v>
      </c>
      <c r="D41" s="2">
        <v>2199782.5651710788</v>
      </c>
      <c r="E41">
        <v>40</v>
      </c>
    </row>
    <row r="42" spans="1:5" x14ac:dyDescent="0.3">
      <c r="A42" t="s">
        <v>730</v>
      </c>
      <c r="B42" t="s">
        <v>743</v>
      </c>
      <c r="C42" t="s">
        <v>743</v>
      </c>
      <c r="D42" s="2">
        <v>2109912.613165603</v>
      </c>
      <c r="E42">
        <v>41</v>
      </c>
    </row>
    <row r="43" spans="1:5" x14ac:dyDescent="0.3">
      <c r="A43" t="s">
        <v>20</v>
      </c>
      <c r="B43" t="s">
        <v>21</v>
      </c>
      <c r="C43" t="s">
        <v>33</v>
      </c>
      <c r="D43" s="2">
        <v>2033008.5683571701</v>
      </c>
      <c r="E43">
        <v>42</v>
      </c>
    </row>
    <row r="44" spans="1:5" x14ac:dyDescent="0.3">
      <c r="A44" t="s">
        <v>460</v>
      </c>
      <c r="B44" t="s">
        <v>461</v>
      </c>
      <c r="C44" t="s">
        <v>145</v>
      </c>
      <c r="D44" s="2">
        <v>1983295.0476341981</v>
      </c>
      <c r="E44">
        <v>43</v>
      </c>
    </row>
    <row r="45" spans="1:5" x14ac:dyDescent="0.3">
      <c r="A45" t="s">
        <v>124</v>
      </c>
      <c r="B45" t="s">
        <v>125</v>
      </c>
      <c r="C45" t="s">
        <v>128</v>
      </c>
      <c r="D45" s="2">
        <v>1877546.9217146609</v>
      </c>
      <c r="E45">
        <v>44</v>
      </c>
    </row>
    <row r="46" spans="1:5" x14ac:dyDescent="0.3">
      <c r="A46" t="s">
        <v>124</v>
      </c>
      <c r="B46" t="s">
        <v>125</v>
      </c>
      <c r="C46" t="s">
        <v>116</v>
      </c>
      <c r="D46" s="2">
        <v>1733860.0963078879</v>
      </c>
      <c r="E46">
        <v>45</v>
      </c>
    </row>
    <row r="47" spans="1:5" x14ac:dyDescent="0.3">
      <c r="A47" t="s">
        <v>124</v>
      </c>
      <c r="B47" t="s">
        <v>125</v>
      </c>
      <c r="C47" t="s">
        <v>127</v>
      </c>
      <c r="D47" s="2">
        <v>1714528.2543732871</v>
      </c>
      <c r="E47">
        <v>46</v>
      </c>
    </row>
    <row r="48" spans="1:5" x14ac:dyDescent="0.3">
      <c r="A48" t="s">
        <v>20</v>
      </c>
      <c r="B48" t="s">
        <v>71</v>
      </c>
      <c r="C48" t="s">
        <v>71</v>
      </c>
      <c r="D48" s="2">
        <v>1681299.3035915571</v>
      </c>
      <c r="E48">
        <v>47</v>
      </c>
    </row>
    <row r="49" spans="1:5" x14ac:dyDescent="0.3">
      <c r="A49" t="s">
        <v>156</v>
      </c>
      <c r="B49" t="s">
        <v>97</v>
      </c>
      <c r="C49" t="s">
        <v>170</v>
      </c>
      <c r="D49" s="2">
        <v>1652803.2860778</v>
      </c>
      <c r="E49">
        <v>48</v>
      </c>
    </row>
    <row r="50" spans="1:5" x14ac:dyDescent="0.3">
      <c r="A50" t="s">
        <v>191</v>
      </c>
      <c r="B50" t="s">
        <v>218</v>
      </c>
      <c r="C50" t="s">
        <v>223</v>
      </c>
      <c r="D50" s="2">
        <v>1619053.157664431</v>
      </c>
      <c r="E50">
        <v>49</v>
      </c>
    </row>
    <row r="51" spans="1:5" x14ac:dyDescent="0.3">
      <c r="A51" t="s">
        <v>460</v>
      </c>
      <c r="B51" t="s">
        <v>473</v>
      </c>
      <c r="C51" t="s">
        <v>478</v>
      </c>
      <c r="D51" s="2">
        <v>1614195.7713815919</v>
      </c>
      <c r="E51">
        <v>50</v>
      </c>
    </row>
    <row r="52" spans="1:5" x14ac:dyDescent="0.3">
      <c r="A52" t="s">
        <v>499</v>
      </c>
      <c r="B52" t="s">
        <v>557</v>
      </c>
      <c r="C52" t="s">
        <v>559</v>
      </c>
      <c r="D52" s="2">
        <v>1603623.2814615311</v>
      </c>
      <c r="E52">
        <v>51</v>
      </c>
    </row>
    <row r="53" spans="1:5" x14ac:dyDescent="0.3">
      <c r="A53" t="s">
        <v>20</v>
      </c>
      <c r="B53" t="s">
        <v>46</v>
      </c>
      <c r="C53" t="s">
        <v>51</v>
      </c>
      <c r="D53" s="2">
        <v>1601315.875397892</v>
      </c>
      <c r="E53">
        <v>52</v>
      </c>
    </row>
    <row r="54" spans="1:5" x14ac:dyDescent="0.3">
      <c r="A54" t="s">
        <v>499</v>
      </c>
      <c r="B54" t="s">
        <v>557</v>
      </c>
      <c r="C54" t="s">
        <v>562</v>
      </c>
      <c r="D54" s="2">
        <v>1574525.19288116</v>
      </c>
      <c r="E54">
        <v>53</v>
      </c>
    </row>
    <row r="55" spans="1:5" x14ac:dyDescent="0.3">
      <c r="A55" t="s">
        <v>940</v>
      </c>
      <c r="B55" t="s">
        <v>940</v>
      </c>
      <c r="C55" t="s">
        <v>1005</v>
      </c>
      <c r="D55" s="2">
        <v>1570421.508995703</v>
      </c>
      <c r="E55">
        <v>54</v>
      </c>
    </row>
    <row r="56" spans="1:5" x14ac:dyDescent="0.3">
      <c r="A56" t="s">
        <v>652</v>
      </c>
      <c r="B56" t="s">
        <v>817</v>
      </c>
      <c r="C56" t="s">
        <v>466</v>
      </c>
      <c r="D56" s="2">
        <v>1547807.760276526</v>
      </c>
      <c r="E56">
        <v>55</v>
      </c>
    </row>
    <row r="57" spans="1:5" x14ac:dyDescent="0.3">
      <c r="A57" t="s">
        <v>406</v>
      </c>
      <c r="B57" t="s">
        <v>298</v>
      </c>
      <c r="C57" t="s">
        <v>427</v>
      </c>
      <c r="D57" s="2">
        <v>1525618.3186049231</v>
      </c>
      <c r="E57">
        <v>56</v>
      </c>
    </row>
    <row r="58" spans="1:5" x14ac:dyDescent="0.3">
      <c r="A58" t="s">
        <v>20</v>
      </c>
      <c r="B58" t="s">
        <v>59</v>
      </c>
      <c r="C58" t="s">
        <v>61</v>
      </c>
      <c r="D58" s="2">
        <v>1499185.8129248109</v>
      </c>
      <c r="E58">
        <v>57</v>
      </c>
    </row>
    <row r="59" spans="1:5" x14ac:dyDescent="0.3">
      <c r="A59" t="s">
        <v>940</v>
      </c>
      <c r="B59" t="s">
        <v>101</v>
      </c>
      <c r="C59" t="s">
        <v>1009</v>
      </c>
      <c r="D59" s="2">
        <v>1472746.8402733931</v>
      </c>
      <c r="E59">
        <v>58</v>
      </c>
    </row>
    <row r="60" spans="1:5" x14ac:dyDescent="0.3">
      <c r="A60" t="s">
        <v>730</v>
      </c>
      <c r="B60" t="s">
        <v>743</v>
      </c>
      <c r="C60" t="s">
        <v>745</v>
      </c>
      <c r="D60" s="2">
        <v>1420786.392007319</v>
      </c>
      <c r="E60">
        <v>59</v>
      </c>
    </row>
    <row r="61" spans="1:5" x14ac:dyDescent="0.3">
      <c r="A61" t="s">
        <v>652</v>
      </c>
      <c r="B61" t="s">
        <v>772</v>
      </c>
      <c r="C61" t="s">
        <v>780</v>
      </c>
      <c r="D61" s="2">
        <v>1411273.3929823141</v>
      </c>
      <c r="E61">
        <v>60</v>
      </c>
    </row>
    <row r="62" spans="1:5" x14ac:dyDescent="0.3">
      <c r="A62" t="s">
        <v>191</v>
      </c>
      <c r="B62" t="s">
        <v>211</v>
      </c>
      <c r="C62" t="s">
        <v>213</v>
      </c>
      <c r="D62" s="2">
        <v>1370081.9483392159</v>
      </c>
      <c r="E62">
        <v>61</v>
      </c>
    </row>
    <row r="63" spans="1:5" x14ac:dyDescent="0.3">
      <c r="A63" t="s">
        <v>730</v>
      </c>
      <c r="B63" t="s">
        <v>748</v>
      </c>
      <c r="C63" t="s">
        <v>753</v>
      </c>
      <c r="D63" s="2">
        <v>1328402.4278027511</v>
      </c>
      <c r="E63">
        <v>62</v>
      </c>
    </row>
    <row r="64" spans="1:5" x14ac:dyDescent="0.3">
      <c r="A64" t="s">
        <v>124</v>
      </c>
      <c r="B64" t="s">
        <v>133</v>
      </c>
      <c r="C64" t="s">
        <v>136</v>
      </c>
      <c r="D64" s="2">
        <v>1268047.3905849941</v>
      </c>
      <c r="E64">
        <v>63</v>
      </c>
    </row>
    <row r="65" spans="1:5" x14ac:dyDescent="0.3">
      <c r="A65" t="s">
        <v>460</v>
      </c>
      <c r="B65" t="s">
        <v>461</v>
      </c>
      <c r="C65" t="s">
        <v>463</v>
      </c>
      <c r="D65" s="2">
        <v>1232629.339898135</v>
      </c>
      <c r="E65">
        <v>64</v>
      </c>
    </row>
    <row r="66" spans="1:5" x14ac:dyDescent="0.3">
      <c r="A66" t="s">
        <v>460</v>
      </c>
      <c r="B66" t="s">
        <v>468</v>
      </c>
      <c r="C66" t="s">
        <v>469</v>
      </c>
      <c r="D66" s="2">
        <v>1195624.1958637191</v>
      </c>
      <c r="E66">
        <v>65</v>
      </c>
    </row>
    <row r="67" spans="1:5" x14ac:dyDescent="0.3">
      <c r="A67" t="s">
        <v>586</v>
      </c>
      <c r="B67" t="s">
        <v>591</v>
      </c>
      <c r="C67" t="s">
        <v>591</v>
      </c>
      <c r="D67" s="2">
        <v>1191973.6927723819</v>
      </c>
      <c r="E67">
        <v>66</v>
      </c>
    </row>
    <row r="68" spans="1:5" x14ac:dyDescent="0.3">
      <c r="A68" t="s">
        <v>674</v>
      </c>
      <c r="B68" t="s">
        <v>121</v>
      </c>
      <c r="C68" t="s">
        <v>702</v>
      </c>
      <c r="D68" s="2">
        <v>1177805.8512893971</v>
      </c>
      <c r="E68">
        <v>67</v>
      </c>
    </row>
    <row r="69" spans="1:5" x14ac:dyDescent="0.3">
      <c r="A69" t="s">
        <v>874</v>
      </c>
      <c r="B69" t="s">
        <v>898</v>
      </c>
      <c r="C69" t="s">
        <v>900</v>
      </c>
      <c r="D69" s="2">
        <v>1163387.7441141531</v>
      </c>
      <c r="E69">
        <v>68</v>
      </c>
    </row>
    <row r="70" spans="1:5" x14ac:dyDescent="0.3">
      <c r="A70" t="s">
        <v>652</v>
      </c>
      <c r="B70" t="s">
        <v>772</v>
      </c>
      <c r="C70" t="s">
        <v>796</v>
      </c>
      <c r="D70" s="2">
        <v>1155078.5647270209</v>
      </c>
      <c r="E70">
        <v>69</v>
      </c>
    </row>
    <row r="71" spans="1:5" x14ac:dyDescent="0.3">
      <c r="A71" t="s">
        <v>460</v>
      </c>
      <c r="B71" t="s">
        <v>481</v>
      </c>
      <c r="C71" t="s">
        <v>482</v>
      </c>
      <c r="D71" s="2">
        <v>1154014.34042138</v>
      </c>
      <c r="E71">
        <v>70</v>
      </c>
    </row>
    <row r="72" spans="1:5" x14ac:dyDescent="0.3">
      <c r="A72" t="s">
        <v>652</v>
      </c>
      <c r="B72" t="s">
        <v>772</v>
      </c>
      <c r="C72" t="s">
        <v>25</v>
      </c>
      <c r="D72" s="2">
        <v>1141239.3355253041</v>
      </c>
      <c r="E72">
        <v>71</v>
      </c>
    </row>
    <row r="73" spans="1:5" x14ac:dyDescent="0.3">
      <c r="A73" t="s">
        <v>124</v>
      </c>
      <c r="B73" t="s">
        <v>124</v>
      </c>
      <c r="C73" t="s">
        <v>124</v>
      </c>
      <c r="D73" s="2">
        <v>1129922.9556225131</v>
      </c>
      <c r="E73">
        <v>72</v>
      </c>
    </row>
    <row r="74" spans="1:5" x14ac:dyDescent="0.3">
      <c r="A74" t="s">
        <v>156</v>
      </c>
      <c r="B74" t="s">
        <v>157</v>
      </c>
      <c r="C74" t="s">
        <v>159</v>
      </c>
      <c r="D74" s="2">
        <v>1128609.362609901</v>
      </c>
      <c r="E74">
        <v>73</v>
      </c>
    </row>
    <row r="75" spans="1:5" x14ac:dyDescent="0.3">
      <c r="A75" t="s">
        <v>959</v>
      </c>
      <c r="B75" t="s">
        <v>971</v>
      </c>
      <c r="C75" t="s">
        <v>976</v>
      </c>
      <c r="D75" s="2">
        <v>1127591.0962500379</v>
      </c>
      <c r="E75">
        <v>74</v>
      </c>
    </row>
    <row r="76" spans="1:5" x14ac:dyDescent="0.3">
      <c r="A76" t="s">
        <v>499</v>
      </c>
      <c r="B76" t="s">
        <v>499</v>
      </c>
      <c r="C76" t="s">
        <v>502</v>
      </c>
      <c r="D76" s="2">
        <v>1085948.6194961341</v>
      </c>
      <c r="E76">
        <v>75</v>
      </c>
    </row>
    <row r="77" spans="1:5" x14ac:dyDescent="0.3">
      <c r="A77" t="s">
        <v>97</v>
      </c>
      <c r="B77" t="s">
        <v>109</v>
      </c>
      <c r="C77" t="s">
        <v>110</v>
      </c>
      <c r="D77" s="2">
        <v>1079691.836967286</v>
      </c>
      <c r="E77">
        <v>76</v>
      </c>
    </row>
    <row r="78" spans="1:5" x14ac:dyDescent="0.3">
      <c r="A78" t="s">
        <v>20</v>
      </c>
      <c r="B78" t="s">
        <v>69</v>
      </c>
      <c r="C78" t="s">
        <v>69</v>
      </c>
      <c r="D78" s="2">
        <v>1027081.2119559631</v>
      </c>
      <c r="E78">
        <v>77</v>
      </c>
    </row>
    <row r="79" spans="1:5" x14ac:dyDescent="0.3">
      <c r="A79" t="s">
        <v>232</v>
      </c>
      <c r="B79" t="s">
        <v>244</v>
      </c>
      <c r="C79" t="s">
        <v>244</v>
      </c>
      <c r="D79" s="2">
        <v>975689.38460954104</v>
      </c>
      <c r="E79">
        <v>78</v>
      </c>
    </row>
    <row r="80" spans="1:5" x14ac:dyDescent="0.3">
      <c r="A80" t="s">
        <v>124</v>
      </c>
      <c r="B80" t="s">
        <v>133</v>
      </c>
      <c r="C80" t="s">
        <v>133</v>
      </c>
      <c r="D80" s="2">
        <v>933590.79434893501</v>
      </c>
      <c r="E80">
        <v>79</v>
      </c>
    </row>
    <row r="81" spans="1:5" x14ac:dyDescent="0.3">
      <c r="A81" t="s">
        <v>20</v>
      </c>
      <c r="B81" t="s">
        <v>46</v>
      </c>
      <c r="C81" t="s">
        <v>50</v>
      </c>
      <c r="D81" s="2">
        <v>918720.40698375076</v>
      </c>
      <c r="E81">
        <v>80</v>
      </c>
    </row>
    <row r="82" spans="1:5" x14ac:dyDescent="0.3">
      <c r="A82" t="s">
        <v>460</v>
      </c>
      <c r="B82" t="s">
        <v>461</v>
      </c>
      <c r="C82" t="s">
        <v>101</v>
      </c>
      <c r="D82" s="2">
        <v>899183.50879212038</v>
      </c>
      <c r="E82">
        <v>81</v>
      </c>
    </row>
    <row r="83" spans="1:5" x14ac:dyDescent="0.3">
      <c r="A83" t="s">
        <v>406</v>
      </c>
      <c r="B83" t="s">
        <v>454</v>
      </c>
      <c r="C83" t="s">
        <v>454</v>
      </c>
      <c r="D83" s="2">
        <v>877928.6015112293</v>
      </c>
      <c r="E83">
        <v>82</v>
      </c>
    </row>
    <row r="84" spans="1:5" x14ac:dyDescent="0.3">
      <c r="A84" t="s">
        <v>922</v>
      </c>
      <c r="B84" t="s">
        <v>935</v>
      </c>
      <c r="C84" t="s">
        <v>941</v>
      </c>
      <c r="D84" s="2">
        <v>874743.99091101834</v>
      </c>
      <c r="E84">
        <v>83</v>
      </c>
    </row>
    <row r="85" spans="1:5" x14ac:dyDescent="0.3">
      <c r="A85" t="s">
        <v>959</v>
      </c>
      <c r="B85" t="s">
        <v>977</v>
      </c>
      <c r="C85" t="s">
        <v>977</v>
      </c>
      <c r="D85" s="2">
        <v>852754.86533675657</v>
      </c>
      <c r="E85">
        <v>84</v>
      </c>
    </row>
    <row r="86" spans="1:5" x14ac:dyDescent="0.3">
      <c r="A86" t="s">
        <v>756</v>
      </c>
      <c r="B86" t="s">
        <v>769</v>
      </c>
      <c r="C86" t="s">
        <v>769</v>
      </c>
      <c r="D86" s="2">
        <v>820808.53380535613</v>
      </c>
      <c r="E86">
        <v>85</v>
      </c>
    </row>
    <row r="87" spans="1:5" x14ac:dyDescent="0.3">
      <c r="A87" t="s">
        <v>940</v>
      </c>
      <c r="B87" t="s">
        <v>101</v>
      </c>
      <c r="C87" t="s">
        <v>101</v>
      </c>
      <c r="D87" s="2">
        <v>809384.08868101123</v>
      </c>
      <c r="E87">
        <v>86</v>
      </c>
    </row>
    <row r="88" spans="1:5" x14ac:dyDescent="0.3">
      <c r="A88" t="s">
        <v>499</v>
      </c>
      <c r="B88" t="s">
        <v>557</v>
      </c>
      <c r="C88" t="s">
        <v>561</v>
      </c>
      <c r="D88" s="2">
        <v>745209.05458505056</v>
      </c>
      <c r="E88">
        <v>87</v>
      </c>
    </row>
    <row r="89" spans="1:5" x14ac:dyDescent="0.3">
      <c r="A89" t="s">
        <v>674</v>
      </c>
      <c r="B89" t="s">
        <v>121</v>
      </c>
      <c r="C89" t="s">
        <v>704</v>
      </c>
      <c r="D89" s="2">
        <v>741401.16074690316</v>
      </c>
      <c r="E89">
        <v>88</v>
      </c>
    </row>
    <row r="90" spans="1:5" x14ac:dyDescent="0.3">
      <c r="A90" t="s">
        <v>406</v>
      </c>
      <c r="B90" t="s">
        <v>446</v>
      </c>
      <c r="C90" t="s">
        <v>449</v>
      </c>
      <c r="D90" s="2">
        <v>727869.47278617765</v>
      </c>
      <c r="E90">
        <v>89</v>
      </c>
    </row>
    <row r="91" spans="1:5" x14ac:dyDescent="0.3">
      <c r="A91" t="s">
        <v>20</v>
      </c>
      <c r="B91" t="s">
        <v>43</v>
      </c>
      <c r="C91" t="s">
        <v>44</v>
      </c>
      <c r="D91" s="2">
        <v>721398.35340035835</v>
      </c>
      <c r="E91">
        <v>90</v>
      </c>
    </row>
    <row r="92" spans="1:5" x14ac:dyDescent="0.3">
      <c r="A92" t="s">
        <v>156</v>
      </c>
      <c r="B92" t="s">
        <v>172</v>
      </c>
      <c r="C92" t="s">
        <v>173</v>
      </c>
      <c r="D92" s="2">
        <v>714010.66212653113</v>
      </c>
      <c r="E92">
        <v>91</v>
      </c>
    </row>
    <row r="93" spans="1:5" x14ac:dyDescent="0.3">
      <c r="A93" t="s">
        <v>20</v>
      </c>
      <c r="B93" t="s">
        <v>21</v>
      </c>
      <c r="C93" t="s">
        <v>30</v>
      </c>
      <c r="D93" s="2">
        <v>682602.82057146681</v>
      </c>
      <c r="E93">
        <v>92</v>
      </c>
    </row>
    <row r="94" spans="1:5" x14ac:dyDescent="0.3">
      <c r="A94" t="s">
        <v>652</v>
      </c>
      <c r="B94" t="s">
        <v>772</v>
      </c>
      <c r="C94" t="s">
        <v>799</v>
      </c>
      <c r="D94" s="2">
        <v>678846.52559586661</v>
      </c>
      <c r="E94">
        <v>93</v>
      </c>
    </row>
    <row r="95" spans="1:5" x14ac:dyDescent="0.3">
      <c r="A95" t="s">
        <v>97</v>
      </c>
      <c r="B95" t="s">
        <v>98</v>
      </c>
      <c r="C95" t="s">
        <v>100</v>
      </c>
      <c r="D95" s="2">
        <v>666109.11846252973</v>
      </c>
      <c r="E95">
        <v>94</v>
      </c>
    </row>
    <row r="96" spans="1:5" x14ac:dyDescent="0.3">
      <c r="A96" t="s">
        <v>156</v>
      </c>
      <c r="B96" t="s">
        <v>157</v>
      </c>
      <c r="C96" t="s">
        <v>164</v>
      </c>
      <c r="D96" s="2">
        <v>637307.64548607846</v>
      </c>
      <c r="E96">
        <v>95</v>
      </c>
    </row>
    <row r="97" spans="1:5" x14ac:dyDescent="0.3">
      <c r="A97" t="s">
        <v>232</v>
      </c>
      <c r="B97" t="s">
        <v>233</v>
      </c>
      <c r="C97" t="s">
        <v>237</v>
      </c>
      <c r="D97" s="2">
        <v>626321.98644069524</v>
      </c>
      <c r="E97">
        <v>96</v>
      </c>
    </row>
    <row r="98" spans="1:5" x14ac:dyDescent="0.3">
      <c r="A98" t="s">
        <v>232</v>
      </c>
      <c r="B98" t="s">
        <v>254</v>
      </c>
      <c r="C98" t="s">
        <v>255</v>
      </c>
      <c r="D98" s="2">
        <v>619742.59016455628</v>
      </c>
      <c r="E98">
        <v>97</v>
      </c>
    </row>
    <row r="99" spans="1:5" x14ac:dyDescent="0.3">
      <c r="A99" t="s">
        <v>406</v>
      </c>
      <c r="B99" t="s">
        <v>436</v>
      </c>
      <c r="C99" t="s">
        <v>436</v>
      </c>
      <c r="D99" s="2">
        <v>619257.4892740614</v>
      </c>
      <c r="E99">
        <v>98</v>
      </c>
    </row>
    <row r="100" spans="1:5" x14ac:dyDescent="0.3">
      <c r="A100" t="s">
        <v>460</v>
      </c>
      <c r="B100" t="s">
        <v>481</v>
      </c>
      <c r="C100" t="s">
        <v>486</v>
      </c>
      <c r="D100" s="2">
        <v>612926.18161140557</v>
      </c>
      <c r="E100">
        <v>99</v>
      </c>
    </row>
    <row r="101" spans="1:5" x14ac:dyDescent="0.3">
      <c r="A101" t="s">
        <v>406</v>
      </c>
      <c r="B101" t="s">
        <v>439</v>
      </c>
      <c r="C101" t="s">
        <v>440</v>
      </c>
      <c r="D101" s="2">
        <v>600049.60926939035</v>
      </c>
      <c r="E101">
        <v>100</v>
      </c>
    </row>
    <row r="102" spans="1:5" x14ac:dyDescent="0.3">
      <c r="A102" t="s">
        <v>232</v>
      </c>
      <c r="B102" t="s">
        <v>233</v>
      </c>
      <c r="C102" t="s">
        <v>243</v>
      </c>
      <c r="D102" s="2">
        <v>597848.71477653552</v>
      </c>
      <c r="E102">
        <v>101</v>
      </c>
    </row>
    <row r="103" spans="1:5" x14ac:dyDescent="0.3">
      <c r="A103" t="s">
        <v>156</v>
      </c>
      <c r="B103" t="s">
        <v>188</v>
      </c>
      <c r="C103" t="s">
        <v>189</v>
      </c>
      <c r="D103" s="2">
        <v>572545.55653635354</v>
      </c>
      <c r="E103">
        <v>102</v>
      </c>
    </row>
    <row r="104" spans="1:5" x14ac:dyDescent="0.3">
      <c r="A104" t="s">
        <v>830</v>
      </c>
      <c r="B104" t="s">
        <v>857</v>
      </c>
      <c r="C104" t="s">
        <v>425</v>
      </c>
      <c r="D104" s="2">
        <v>562609.11096456531</v>
      </c>
      <c r="E104">
        <v>103</v>
      </c>
    </row>
    <row r="105" spans="1:5" x14ac:dyDescent="0.3">
      <c r="A105" t="s">
        <v>940</v>
      </c>
      <c r="B105" t="s">
        <v>175</v>
      </c>
      <c r="C105" t="s">
        <v>175</v>
      </c>
      <c r="D105" s="2">
        <v>544856.79082452157</v>
      </c>
      <c r="E105">
        <v>104</v>
      </c>
    </row>
    <row r="106" spans="1:5" x14ac:dyDescent="0.3">
      <c r="A106" t="s">
        <v>287</v>
      </c>
      <c r="B106" t="s">
        <v>330</v>
      </c>
      <c r="C106" t="s">
        <v>330</v>
      </c>
      <c r="D106" s="2">
        <v>522324.0155931965</v>
      </c>
      <c r="E106">
        <v>105</v>
      </c>
    </row>
    <row r="107" spans="1:5" x14ac:dyDescent="0.3">
      <c r="A107" t="s">
        <v>874</v>
      </c>
      <c r="B107" t="s">
        <v>892</v>
      </c>
      <c r="C107" t="s">
        <v>893</v>
      </c>
      <c r="D107" s="2">
        <v>519073.58305400232</v>
      </c>
      <c r="E107">
        <v>106</v>
      </c>
    </row>
    <row r="108" spans="1:5" x14ac:dyDescent="0.3">
      <c r="A108" t="s">
        <v>940</v>
      </c>
      <c r="B108" t="s">
        <v>940</v>
      </c>
      <c r="C108" t="s">
        <v>1007</v>
      </c>
      <c r="D108" s="2">
        <v>507547.9077851114</v>
      </c>
      <c r="E108">
        <v>107</v>
      </c>
    </row>
    <row r="109" spans="1:5" x14ac:dyDescent="0.3">
      <c r="A109" t="s">
        <v>460</v>
      </c>
      <c r="B109" t="s">
        <v>468</v>
      </c>
      <c r="C109" t="s">
        <v>471</v>
      </c>
      <c r="D109" s="2">
        <v>506289.10813979967</v>
      </c>
      <c r="E109">
        <v>108</v>
      </c>
    </row>
    <row r="110" spans="1:5" x14ac:dyDescent="0.3">
      <c r="A110" t="s">
        <v>674</v>
      </c>
      <c r="B110" t="s">
        <v>698</v>
      </c>
      <c r="C110" t="s">
        <v>698</v>
      </c>
      <c r="D110" s="2">
        <v>490988.45475165627</v>
      </c>
      <c r="E110">
        <v>109</v>
      </c>
    </row>
    <row r="111" spans="1:5" x14ac:dyDescent="0.3">
      <c r="A111" t="s">
        <v>156</v>
      </c>
      <c r="B111" t="s">
        <v>172</v>
      </c>
      <c r="C111" t="s">
        <v>176</v>
      </c>
      <c r="D111" s="2">
        <v>484876.68756514561</v>
      </c>
      <c r="E111">
        <v>110</v>
      </c>
    </row>
    <row r="112" spans="1:5" x14ac:dyDescent="0.3">
      <c r="A112" t="s">
        <v>499</v>
      </c>
      <c r="B112" t="s">
        <v>518</v>
      </c>
      <c r="C112" t="s">
        <v>518</v>
      </c>
      <c r="D112" s="2">
        <v>483830.96377593023</v>
      </c>
      <c r="E112">
        <v>111</v>
      </c>
    </row>
    <row r="113" spans="1:5" x14ac:dyDescent="0.3">
      <c r="A113" t="s">
        <v>652</v>
      </c>
      <c r="B113" t="s">
        <v>772</v>
      </c>
      <c r="C113" t="s">
        <v>789</v>
      </c>
      <c r="D113" s="2">
        <v>478003.12576709827</v>
      </c>
      <c r="E113">
        <v>112</v>
      </c>
    </row>
    <row r="114" spans="1:5" x14ac:dyDescent="0.3">
      <c r="A114" t="s">
        <v>586</v>
      </c>
      <c r="B114" t="s">
        <v>597</v>
      </c>
      <c r="C114" t="s">
        <v>466</v>
      </c>
      <c r="D114" s="2">
        <v>475547.79734862462</v>
      </c>
      <c r="E114">
        <v>113</v>
      </c>
    </row>
    <row r="115" spans="1:5" x14ac:dyDescent="0.3">
      <c r="A115" t="s">
        <v>20</v>
      </c>
      <c r="B115" t="s">
        <v>21</v>
      </c>
      <c r="C115" t="s">
        <v>25</v>
      </c>
      <c r="D115" s="2">
        <v>463271.97887775529</v>
      </c>
      <c r="E115">
        <v>114</v>
      </c>
    </row>
    <row r="116" spans="1:5" x14ac:dyDescent="0.3">
      <c r="A116" t="s">
        <v>287</v>
      </c>
      <c r="B116" t="s">
        <v>301</v>
      </c>
      <c r="C116" t="s">
        <v>301</v>
      </c>
      <c r="D116" s="2">
        <v>455235.61509311001</v>
      </c>
      <c r="E116">
        <v>115</v>
      </c>
    </row>
    <row r="117" spans="1:5" x14ac:dyDescent="0.3">
      <c r="A117" t="s">
        <v>730</v>
      </c>
      <c r="B117" t="s">
        <v>748</v>
      </c>
      <c r="C117" t="s">
        <v>749</v>
      </c>
      <c r="D117" s="2">
        <v>432935.6831054028</v>
      </c>
      <c r="E117">
        <v>116</v>
      </c>
    </row>
    <row r="118" spans="1:5" x14ac:dyDescent="0.3">
      <c r="A118" t="s">
        <v>97</v>
      </c>
      <c r="B118" t="s">
        <v>109</v>
      </c>
      <c r="C118" t="s">
        <v>113</v>
      </c>
      <c r="D118" s="2">
        <v>424283.71654470381</v>
      </c>
      <c r="E118">
        <v>117</v>
      </c>
    </row>
    <row r="119" spans="1:5" x14ac:dyDescent="0.3">
      <c r="A119" t="s">
        <v>287</v>
      </c>
      <c r="B119" t="s">
        <v>290</v>
      </c>
      <c r="C119" t="s">
        <v>290</v>
      </c>
      <c r="D119" s="2">
        <v>421825.52737399482</v>
      </c>
      <c r="E119">
        <v>118</v>
      </c>
    </row>
    <row r="120" spans="1:5" x14ac:dyDescent="0.3">
      <c r="A120" t="s">
        <v>20</v>
      </c>
      <c r="B120" t="s">
        <v>21</v>
      </c>
      <c r="C120" t="s">
        <v>38</v>
      </c>
      <c r="D120" s="2">
        <v>418408.69574824133</v>
      </c>
      <c r="E120">
        <v>119</v>
      </c>
    </row>
    <row r="121" spans="1:5" x14ac:dyDescent="0.3">
      <c r="A121" t="s">
        <v>922</v>
      </c>
      <c r="B121" t="s">
        <v>922</v>
      </c>
      <c r="C121" t="s">
        <v>951</v>
      </c>
      <c r="D121" s="2">
        <v>397905.78367427661</v>
      </c>
      <c r="E121">
        <v>120</v>
      </c>
    </row>
    <row r="122" spans="1:5" x14ac:dyDescent="0.3">
      <c r="A122" t="s">
        <v>406</v>
      </c>
      <c r="B122" t="s">
        <v>407</v>
      </c>
      <c r="C122" t="s">
        <v>410</v>
      </c>
      <c r="D122" s="2">
        <v>393672.69550736138</v>
      </c>
      <c r="E122">
        <v>121</v>
      </c>
    </row>
    <row r="123" spans="1:5" x14ac:dyDescent="0.3">
      <c r="A123" t="s">
        <v>674</v>
      </c>
      <c r="B123" t="s">
        <v>698</v>
      </c>
      <c r="C123" t="s">
        <v>700</v>
      </c>
      <c r="D123" s="2">
        <v>389147.85386502312</v>
      </c>
      <c r="E123">
        <v>122</v>
      </c>
    </row>
    <row r="124" spans="1:5" x14ac:dyDescent="0.3">
      <c r="A124" t="s">
        <v>406</v>
      </c>
      <c r="B124" t="s">
        <v>435</v>
      </c>
      <c r="C124" t="s">
        <v>435</v>
      </c>
      <c r="D124" s="2">
        <v>376765.74593504798</v>
      </c>
      <c r="E124">
        <v>123</v>
      </c>
    </row>
    <row r="125" spans="1:5" x14ac:dyDescent="0.3">
      <c r="A125" t="s">
        <v>124</v>
      </c>
      <c r="B125" t="s">
        <v>125</v>
      </c>
      <c r="C125" t="s">
        <v>125</v>
      </c>
      <c r="D125" s="2">
        <v>372470.26200946001</v>
      </c>
      <c r="E125">
        <v>124</v>
      </c>
    </row>
    <row r="126" spans="1:5" x14ac:dyDescent="0.3">
      <c r="A126" t="s">
        <v>191</v>
      </c>
      <c r="B126" t="s">
        <v>224</v>
      </c>
      <c r="C126" t="s">
        <v>225</v>
      </c>
      <c r="D126" s="2">
        <v>368832.63465038792</v>
      </c>
      <c r="E126">
        <v>125</v>
      </c>
    </row>
    <row r="127" spans="1:5" x14ac:dyDescent="0.3">
      <c r="A127" t="s">
        <v>830</v>
      </c>
      <c r="B127" t="s">
        <v>857</v>
      </c>
      <c r="C127" t="s">
        <v>167</v>
      </c>
      <c r="D127" s="2">
        <v>365179.11302959872</v>
      </c>
      <c r="E127">
        <v>126</v>
      </c>
    </row>
    <row r="128" spans="1:5" x14ac:dyDescent="0.3">
      <c r="A128" t="s">
        <v>406</v>
      </c>
      <c r="B128" t="s">
        <v>442</v>
      </c>
      <c r="C128" t="s">
        <v>443</v>
      </c>
      <c r="D128" s="2">
        <v>351553.30436088808</v>
      </c>
      <c r="E128">
        <v>127</v>
      </c>
    </row>
    <row r="129" spans="1:5" x14ac:dyDescent="0.3">
      <c r="A129" t="s">
        <v>460</v>
      </c>
      <c r="B129" t="s">
        <v>473</v>
      </c>
      <c r="C129" t="s">
        <v>473</v>
      </c>
      <c r="D129" s="2">
        <v>341527.33451383858</v>
      </c>
      <c r="E129">
        <v>128</v>
      </c>
    </row>
    <row r="130" spans="1:5" x14ac:dyDescent="0.3">
      <c r="A130" t="s">
        <v>348</v>
      </c>
      <c r="B130" t="s">
        <v>102</v>
      </c>
      <c r="C130" t="s">
        <v>178</v>
      </c>
      <c r="D130" s="2">
        <v>339249.22085231502</v>
      </c>
      <c r="E130">
        <v>129</v>
      </c>
    </row>
    <row r="131" spans="1:5" x14ac:dyDescent="0.3">
      <c r="A131" t="s">
        <v>191</v>
      </c>
      <c r="B131" t="s">
        <v>211</v>
      </c>
      <c r="C131" t="s">
        <v>214</v>
      </c>
      <c r="D131" s="2">
        <v>317149.83794280101</v>
      </c>
      <c r="E131">
        <v>130</v>
      </c>
    </row>
    <row r="132" spans="1:5" x14ac:dyDescent="0.3">
      <c r="A132" t="s">
        <v>156</v>
      </c>
      <c r="B132" t="s">
        <v>97</v>
      </c>
      <c r="C132" t="s">
        <v>97</v>
      </c>
      <c r="D132" s="2">
        <v>314107.96378620161</v>
      </c>
      <c r="E132">
        <v>131</v>
      </c>
    </row>
    <row r="133" spans="1:5" x14ac:dyDescent="0.3">
      <c r="A133" t="s">
        <v>406</v>
      </c>
      <c r="B133" t="s">
        <v>442</v>
      </c>
      <c r="C133" t="s">
        <v>444</v>
      </c>
      <c r="D133" s="2">
        <v>304343.07108332613</v>
      </c>
      <c r="E133">
        <v>132</v>
      </c>
    </row>
    <row r="134" spans="1:5" x14ac:dyDescent="0.3">
      <c r="A134" t="s">
        <v>830</v>
      </c>
      <c r="B134" t="s">
        <v>857</v>
      </c>
      <c r="C134" t="s">
        <v>859</v>
      </c>
      <c r="D134" s="2">
        <v>299551.81566150108</v>
      </c>
      <c r="E134">
        <v>133</v>
      </c>
    </row>
    <row r="135" spans="1:5" x14ac:dyDescent="0.3">
      <c r="A135" t="s">
        <v>959</v>
      </c>
      <c r="B135" t="s">
        <v>984</v>
      </c>
      <c r="C135" t="s">
        <v>988</v>
      </c>
      <c r="D135" s="2">
        <v>298039.76904928999</v>
      </c>
      <c r="E135">
        <v>134</v>
      </c>
    </row>
    <row r="136" spans="1:5" x14ac:dyDescent="0.3">
      <c r="A136" t="s">
        <v>232</v>
      </c>
      <c r="B136" t="s">
        <v>261</v>
      </c>
      <c r="C136" t="s">
        <v>261</v>
      </c>
      <c r="D136" s="2">
        <v>283362.16654837388</v>
      </c>
      <c r="E136">
        <v>135</v>
      </c>
    </row>
    <row r="137" spans="1:5" x14ac:dyDescent="0.3">
      <c r="A137" t="s">
        <v>156</v>
      </c>
      <c r="B137" t="s">
        <v>181</v>
      </c>
      <c r="C137" t="s">
        <v>182</v>
      </c>
      <c r="D137" s="2">
        <v>279331.17860413762</v>
      </c>
      <c r="E137">
        <v>136</v>
      </c>
    </row>
    <row r="138" spans="1:5" x14ac:dyDescent="0.3">
      <c r="A138" t="s">
        <v>156</v>
      </c>
      <c r="B138" t="s">
        <v>177</v>
      </c>
      <c r="C138" t="s">
        <v>177</v>
      </c>
      <c r="D138" s="2">
        <v>275533.51271680387</v>
      </c>
      <c r="E138">
        <v>137</v>
      </c>
    </row>
    <row r="139" spans="1:5" x14ac:dyDescent="0.3">
      <c r="A139" t="s">
        <v>652</v>
      </c>
      <c r="B139" t="s">
        <v>772</v>
      </c>
      <c r="C139" t="s">
        <v>797</v>
      </c>
      <c r="D139" s="2">
        <v>262898.38745464332</v>
      </c>
      <c r="E139">
        <v>138</v>
      </c>
    </row>
    <row r="140" spans="1:5" x14ac:dyDescent="0.3">
      <c r="A140" t="s">
        <v>922</v>
      </c>
      <c r="B140" t="s">
        <v>935</v>
      </c>
      <c r="C140" t="s">
        <v>936</v>
      </c>
      <c r="D140" s="2">
        <v>260759.4577104912</v>
      </c>
      <c r="E140">
        <v>139</v>
      </c>
    </row>
    <row r="141" spans="1:5" x14ac:dyDescent="0.3">
      <c r="A141" t="s">
        <v>348</v>
      </c>
      <c r="B141" t="s">
        <v>400</v>
      </c>
      <c r="C141" t="s">
        <v>405</v>
      </c>
      <c r="D141" s="2">
        <v>248399.9979391706</v>
      </c>
      <c r="E141">
        <v>140</v>
      </c>
    </row>
    <row r="142" spans="1:5" x14ac:dyDescent="0.3">
      <c r="A142" t="s">
        <v>191</v>
      </c>
      <c r="B142" t="s">
        <v>192</v>
      </c>
      <c r="C142" t="s">
        <v>198</v>
      </c>
      <c r="D142" s="2">
        <v>247617.4714186186</v>
      </c>
      <c r="E142">
        <v>141</v>
      </c>
    </row>
    <row r="143" spans="1:5" x14ac:dyDescent="0.3">
      <c r="A143" t="s">
        <v>406</v>
      </c>
      <c r="B143" t="s">
        <v>423</v>
      </c>
      <c r="C143" t="s">
        <v>425</v>
      </c>
      <c r="D143" s="2">
        <v>244666.34155491661</v>
      </c>
      <c r="E143">
        <v>142</v>
      </c>
    </row>
    <row r="144" spans="1:5" x14ac:dyDescent="0.3">
      <c r="A144" t="s">
        <v>287</v>
      </c>
      <c r="B144" t="s">
        <v>336</v>
      </c>
      <c r="C144" t="s">
        <v>341</v>
      </c>
      <c r="D144" s="2">
        <v>243796.8965665476</v>
      </c>
      <c r="E144">
        <v>143</v>
      </c>
    </row>
    <row r="145" spans="1:5" x14ac:dyDescent="0.3">
      <c r="A145" t="s">
        <v>652</v>
      </c>
      <c r="B145" t="s">
        <v>772</v>
      </c>
      <c r="C145" t="s">
        <v>795</v>
      </c>
      <c r="D145" s="2">
        <v>242224.0479895162</v>
      </c>
      <c r="E145">
        <v>144</v>
      </c>
    </row>
    <row r="146" spans="1:5" x14ac:dyDescent="0.3">
      <c r="A146" t="s">
        <v>124</v>
      </c>
      <c r="B146" t="s">
        <v>152</v>
      </c>
      <c r="C146" t="s">
        <v>152</v>
      </c>
      <c r="D146" s="2">
        <v>240149.23469166411</v>
      </c>
      <c r="E146">
        <v>145</v>
      </c>
    </row>
    <row r="147" spans="1:5" x14ac:dyDescent="0.3">
      <c r="A147" t="s">
        <v>756</v>
      </c>
      <c r="B147" t="s">
        <v>766</v>
      </c>
      <c r="C147" t="s">
        <v>768</v>
      </c>
      <c r="D147" s="2">
        <v>230591.1409271039</v>
      </c>
      <c r="E147">
        <v>146</v>
      </c>
    </row>
    <row r="148" spans="1:5" x14ac:dyDescent="0.3">
      <c r="A148" t="s">
        <v>287</v>
      </c>
      <c r="B148" t="s">
        <v>310</v>
      </c>
      <c r="C148" t="s">
        <v>310</v>
      </c>
      <c r="D148" s="2">
        <v>229106.6426245069</v>
      </c>
      <c r="E148">
        <v>147</v>
      </c>
    </row>
    <row r="149" spans="1:5" x14ac:dyDescent="0.3">
      <c r="A149" t="s">
        <v>830</v>
      </c>
      <c r="B149" t="s">
        <v>872</v>
      </c>
      <c r="C149" t="s">
        <v>873</v>
      </c>
      <c r="D149" s="2">
        <v>227328.33285382541</v>
      </c>
      <c r="E149">
        <v>148</v>
      </c>
    </row>
    <row r="150" spans="1:5" x14ac:dyDescent="0.3">
      <c r="A150" t="s">
        <v>460</v>
      </c>
      <c r="B150" t="s">
        <v>481</v>
      </c>
      <c r="C150" t="s">
        <v>483</v>
      </c>
      <c r="D150" s="2">
        <v>226101.54226620251</v>
      </c>
      <c r="E150">
        <v>149</v>
      </c>
    </row>
    <row r="151" spans="1:5" x14ac:dyDescent="0.3">
      <c r="A151" t="s">
        <v>20</v>
      </c>
      <c r="B151" t="s">
        <v>76</v>
      </c>
      <c r="C151" t="s">
        <v>76</v>
      </c>
      <c r="D151" s="2">
        <v>225953.62385510409</v>
      </c>
      <c r="E151">
        <v>150</v>
      </c>
    </row>
    <row r="152" spans="1:5" x14ac:dyDescent="0.3">
      <c r="A152" t="s">
        <v>406</v>
      </c>
      <c r="B152" t="s">
        <v>416</v>
      </c>
      <c r="C152" t="s">
        <v>416</v>
      </c>
      <c r="D152" s="2">
        <v>223173.43948576419</v>
      </c>
      <c r="E152">
        <v>151</v>
      </c>
    </row>
    <row r="153" spans="1:5" x14ac:dyDescent="0.3">
      <c r="A153" t="s">
        <v>922</v>
      </c>
      <c r="B153" t="s">
        <v>923</v>
      </c>
      <c r="C153" t="s">
        <v>924</v>
      </c>
      <c r="D153" s="2">
        <v>219693.02616348729</v>
      </c>
      <c r="E153">
        <v>152</v>
      </c>
    </row>
    <row r="154" spans="1:5" x14ac:dyDescent="0.3">
      <c r="A154" t="s">
        <v>922</v>
      </c>
      <c r="B154" t="s">
        <v>923</v>
      </c>
      <c r="C154" t="s">
        <v>929</v>
      </c>
      <c r="D154" s="2">
        <v>215732.3804154527</v>
      </c>
      <c r="E154">
        <v>153</v>
      </c>
    </row>
    <row r="155" spans="1:5" x14ac:dyDescent="0.3">
      <c r="A155" t="s">
        <v>20</v>
      </c>
      <c r="B155" t="s">
        <v>95</v>
      </c>
      <c r="C155" t="s">
        <v>95</v>
      </c>
      <c r="D155" s="2">
        <v>214250.33749061069</v>
      </c>
      <c r="E155">
        <v>154</v>
      </c>
    </row>
    <row r="156" spans="1:5" x14ac:dyDescent="0.3">
      <c r="A156" t="s">
        <v>232</v>
      </c>
      <c r="B156" t="s">
        <v>266</v>
      </c>
      <c r="C156" t="s">
        <v>268</v>
      </c>
      <c r="D156" s="2">
        <v>213808.41258623809</v>
      </c>
      <c r="E156">
        <v>155</v>
      </c>
    </row>
    <row r="157" spans="1:5" x14ac:dyDescent="0.3">
      <c r="A157" t="s">
        <v>460</v>
      </c>
      <c r="B157" t="s">
        <v>468</v>
      </c>
      <c r="C157" t="s">
        <v>324</v>
      </c>
      <c r="D157" s="2">
        <v>206763.12461532341</v>
      </c>
      <c r="E157">
        <v>156</v>
      </c>
    </row>
    <row r="158" spans="1:5" x14ac:dyDescent="0.3">
      <c r="A158" t="s">
        <v>20</v>
      </c>
      <c r="B158" t="s">
        <v>21</v>
      </c>
      <c r="C158" t="s">
        <v>41</v>
      </c>
      <c r="D158" s="2">
        <v>200578.97577107401</v>
      </c>
      <c r="E158">
        <v>157</v>
      </c>
    </row>
    <row r="159" spans="1:5" x14ac:dyDescent="0.3">
      <c r="A159" t="s">
        <v>287</v>
      </c>
      <c r="B159" t="s">
        <v>336</v>
      </c>
      <c r="C159" t="s">
        <v>336</v>
      </c>
      <c r="D159" s="2">
        <v>192986.6477915711</v>
      </c>
      <c r="E159">
        <v>158</v>
      </c>
    </row>
    <row r="160" spans="1:5" x14ac:dyDescent="0.3">
      <c r="A160" t="s">
        <v>652</v>
      </c>
      <c r="B160" t="s">
        <v>809</v>
      </c>
      <c r="C160" t="s">
        <v>812</v>
      </c>
      <c r="D160" s="2">
        <v>191955.59386017779</v>
      </c>
      <c r="E160">
        <v>159</v>
      </c>
    </row>
    <row r="161" spans="1:5" x14ac:dyDescent="0.3">
      <c r="A161" t="s">
        <v>499</v>
      </c>
      <c r="B161" t="s">
        <v>499</v>
      </c>
      <c r="C161" t="s">
        <v>506</v>
      </c>
      <c r="D161" s="2">
        <v>185905.53007866759</v>
      </c>
      <c r="E161">
        <v>160</v>
      </c>
    </row>
    <row r="162" spans="1:5" x14ac:dyDescent="0.3">
      <c r="A162" t="s">
        <v>20</v>
      </c>
      <c r="B162" t="s">
        <v>46</v>
      </c>
      <c r="C162" t="s">
        <v>53</v>
      </c>
      <c r="D162" s="2">
        <v>184702.60739187861</v>
      </c>
      <c r="E162">
        <v>161</v>
      </c>
    </row>
    <row r="163" spans="1:5" x14ac:dyDescent="0.3">
      <c r="A163" t="s">
        <v>406</v>
      </c>
      <c r="B163" t="s">
        <v>429</v>
      </c>
      <c r="C163" t="s">
        <v>431</v>
      </c>
      <c r="D163" s="2">
        <v>180576.69758365641</v>
      </c>
      <c r="E163">
        <v>162</v>
      </c>
    </row>
    <row r="164" spans="1:5" x14ac:dyDescent="0.3">
      <c r="A164" t="s">
        <v>124</v>
      </c>
      <c r="B164" t="s">
        <v>124</v>
      </c>
      <c r="C164" t="s">
        <v>141</v>
      </c>
      <c r="D164" s="2">
        <v>172399.61343572201</v>
      </c>
      <c r="E164">
        <v>163</v>
      </c>
    </row>
    <row r="165" spans="1:5" x14ac:dyDescent="0.3">
      <c r="A165" t="s">
        <v>191</v>
      </c>
      <c r="B165" t="s">
        <v>224</v>
      </c>
      <c r="C165" t="s">
        <v>1011</v>
      </c>
      <c r="D165" s="2">
        <v>170580.91570765269</v>
      </c>
      <c r="E165">
        <v>164</v>
      </c>
    </row>
    <row r="166" spans="1:5" x14ac:dyDescent="0.3">
      <c r="A166" t="s">
        <v>232</v>
      </c>
      <c r="B166" t="s">
        <v>254</v>
      </c>
      <c r="C166" t="s">
        <v>259</v>
      </c>
      <c r="D166" s="2">
        <v>170188.59787565019</v>
      </c>
      <c r="E166">
        <v>165</v>
      </c>
    </row>
    <row r="167" spans="1:5" x14ac:dyDescent="0.3">
      <c r="A167" t="s">
        <v>874</v>
      </c>
      <c r="B167" t="s">
        <v>895</v>
      </c>
      <c r="C167" t="s">
        <v>896</v>
      </c>
      <c r="D167" s="2">
        <v>170141.2064379004</v>
      </c>
      <c r="E167">
        <v>166</v>
      </c>
    </row>
    <row r="168" spans="1:5" x14ac:dyDescent="0.3">
      <c r="A168" t="s">
        <v>156</v>
      </c>
      <c r="B168" t="s">
        <v>97</v>
      </c>
      <c r="C168" t="s">
        <v>168</v>
      </c>
      <c r="D168" s="2">
        <v>166227.9683218362</v>
      </c>
      <c r="E168">
        <v>167</v>
      </c>
    </row>
    <row r="169" spans="1:5" x14ac:dyDescent="0.3">
      <c r="A169" t="s">
        <v>612</v>
      </c>
      <c r="B169" t="s">
        <v>635</v>
      </c>
      <c r="C169" t="s">
        <v>639</v>
      </c>
      <c r="D169" s="2">
        <v>163576.53279688081</v>
      </c>
      <c r="E169">
        <v>168</v>
      </c>
    </row>
    <row r="170" spans="1:5" x14ac:dyDescent="0.3">
      <c r="A170" t="s">
        <v>756</v>
      </c>
      <c r="B170" t="s">
        <v>766</v>
      </c>
      <c r="C170" t="s">
        <v>766</v>
      </c>
      <c r="D170" s="2">
        <v>163121.81343065959</v>
      </c>
      <c r="E170">
        <v>169</v>
      </c>
    </row>
    <row r="171" spans="1:5" x14ac:dyDescent="0.3">
      <c r="A171" t="s">
        <v>756</v>
      </c>
      <c r="B171" t="s">
        <v>770</v>
      </c>
      <c r="C171" t="s">
        <v>770</v>
      </c>
      <c r="D171" s="2">
        <v>160811.9951315058</v>
      </c>
      <c r="E171">
        <v>170</v>
      </c>
    </row>
    <row r="172" spans="1:5" x14ac:dyDescent="0.3">
      <c r="A172" t="s">
        <v>652</v>
      </c>
      <c r="B172" t="s">
        <v>772</v>
      </c>
      <c r="C172" t="s">
        <v>145</v>
      </c>
      <c r="D172" s="2">
        <v>160745.9902634639</v>
      </c>
      <c r="E172">
        <v>171</v>
      </c>
    </row>
    <row r="173" spans="1:5" x14ac:dyDescent="0.3">
      <c r="A173" t="s">
        <v>20</v>
      </c>
      <c r="B173" t="s">
        <v>21</v>
      </c>
      <c r="C173" t="s">
        <v>37</v>
      </c>
      <c r="D173" s="2">
        <v>159289.41201822789</v>
      </c>
      <c r="E173">
        <v>172</v>
      </c>
    </row>
    <row r="174" spans="1:5" x14ac:dyDescent="0.3">
      <c r="A174" t="s">
        <v>156</v>
      </c>
      <c r="B174" t="s">
        <v>177</v>
      </c>
      <c r="C174" t="s">
        <v>178</v>
      </c>
      <c r="D174" s="2">
        <v>153022.64504002209</v>
      </c>
      <c r="E174">
        <v>173</v>
      </c>
    </row>
    <row r="175" spans="1:5" x14ac:dyDescent="0.3">
      <c r="A175" t="s">
        <v>287</v>
      </c>
      <c r="B175" t="s">
        <v>336</v>
      </c>
      <c r="C175" t="s">
        <v>342</v>
      </c>
      <c r="D175" s="2">
        <v>147821.7988786468</v>
      </c>
      <c r="E175">
        <v>174</v>
      </c>
    </row>
    <row r="176" spans="1:5" x14ac:dyDescent="0.3">
      <c r="A176" t="s">
        <v>612</v>
      </c>
      <c r="B176" t="s">
        <v>668</v>
      </c>
      <c r="C176" t="s">
        <v>669</v>
      </c>
      <c r="D176" s="2">
        <v>147008.2023818396</v>
      </c>
      <c r="E176">
        <v>175</v>
      </c>
    </row>
    <row r="177" spans="1:5" x14ac:dyDescent="0.3">
      <c r="A177" t="s">
        <v>20</v>
      </c>
      <c r="B177" t="s">
        <v>46</v>
      </c>
      <c r="C177" t="s">
        <v>52</v>
      </c>
      <c r="D177" s="2">
        <v>141448.19250436951</v>
      </c>
      <c r="E177">
        <v>176</v>
      </c>
    </row>
    <row r="178" spans="1:5" x14ac:dyDescent="0.3">
      <c r="A178" t="s">
        <v>940</v>
      </c>
      <c r="B178" t="s">
        <v>940</v>
      </c>
      <c r="C178" t="s">
        <v>940</v>
      </c>
      <c r="D178" s="2">
        <v>140872.09759020031</v>
      </c>
      <c r="E178">
        <v>177</v>
      </c>
    </row>
    <row r="179" spans="1:5" x14ac:dyDescent="0.3">
      <c r="A179" t="s">
        <v>97</v>
      </c>
      <c r="B179" t="s">
        <v>109</v>
      </c>
      <c r="C179" t="s">
        <v>111</v>
      </c>
      <c r="D179" s="2">
        <v>137997.71538490069</v>
      </c>
      <c r="E179">
        <v>178</v>
      </c>
    </row>
    <row r="180" spans="1:5" x14ac:dyDescent="0.3">
      <c r="A180" t="s">
        <v>830</v>
      </c>
      <c r="B180" t="s">
        <v>831</v>
      </c>
      <c r="C180" t="s">
        <v>404</v>
      </c>
      <c r="D180" s="2">
        <v>136978.54943877429</v>
      </c>
      <c r="E180">
        <v>179</v>
      </c>
    </row>
    <row r="181" spans="1:5" x14ac:dyDescent="0.3">
      <c r="A181" t="s">
        <v>830</v>
      </c>
      <c r="B181" t="s">
        <v>857</v>
      </c>
      <c r="C181" t="s">
        <v>863</v>
      </c>
      <c r="D181" s="2">
        <v>136195.52367364871</v>
      </c>
      <c r="E181">
        <v>180</v>
      </c>
    </row>
    <row r="182" spans="1:5" x14ac:dyDescent="0.3">
      <c r="A182" t="s">
        <v>830</v>
      </c>
      <c r="B182" t="s">
        <v>831</v>
      </c>
      <c r="C182" t="s">
        <v>845</v>
      </c>
      <c r="D182" s="2">
        <v>135477.30649812179</v>
      </c>
      <c r="E182">
        <v>181</v>
      </c>
    </row>
    <row r="183" spans="1:5" x14ac:dyDescent="0.3">
      <c r="A183" t="s">
        <v>499</v>
      </c>
      <c r="B183" t="s">
        <v>550</v>
      </c>
      <c r="C183" t="s">
        <v>551</v>
      </c>
      <c r="D183" s="2">
        <v>132589.31382540221</v>
      </c>
      <c r="E183">
        <v>182</v>
      </c>
    </row>
    <row r="184" spans="1:5" x14ac:dyDescent="0.3">
      <c r="A184" t="s">
        <v>406</v>
      </c>
      <c r="B184" t="s">
        <v>441</v>
      </c>
      <c r="C184" t="s">
        <v>441</v>
      </c>
      <c r="D184" s="2">
        <v>132289.03361907351</v>
      </c>
      <c r="E184">
        <v>183</v>
      </c>
    </row>
    <row r="185" spans="1:5" x14ac:dyDescent="0.3">
      <c r="A185" t="s">
        <v>830</v>
      </c>
      <c r="B185" t="s">
        <v>831</v>
      </c>
      <c r="C185" t="s">
        <v>832</v>
      </c>
      <c r="D185" s="2">
        <v>128686.6232098335</v>
      </c>
      <c r="E185">
        <v>184</v>
      </c>
    </row>
    <row r="186" spans="1:5" x14ac:dyDescent="0.3">
      <c r="A186" t="s">
        <v>830</v>
      </c>
      <c r="B186" t="s">
        <v>831</v>
      </c>
      <c r="C186" t="s">
        <v>834</v>
      </c>
      <c r="D186" s="2">
        <v>126969.1996328535</v>
      </c>
      <c r="E186">
        <v>185</v>
      </c>
    </row>
    <row r="187" spans="1:5" x14ac:dyDescent="0.3">
      <c r="A187" t="s">
        <v>612</v>
      </c>
      <c r="B187" t="s">
        <v>627</v>
      </c>
      <c r="C187" t="s">
        <v>631</v>
      </c>
      <c r="D187" s="2">
        <v>123777.2656956303</v>
      </c>
      <c r="E187">
        <v>186</v>
      </c>
    </row>
    <row r="188" spans="1:5" x14ac:dyDescent="0.3">
      <c r="A188" t="s">
        <v>406</v>
      </c>
      <c r="B188" t="s">
        <v>434</v>
      </c>
      <c r="C188" t="s">
        <v>434</v>
      </c>
      <c r="D188" s="2">
        <v>117341.94515656721</v>
      </c>
      <c r="E188">
        <v>187</v>
      </c>
    </row>
    <row r="189" spans="1:5" x14ac:dyDescent="0.3">
      <c r="A189" t="s">
        <v>232</v>
      </c>
      <c r="B189" t="s">
        <v>260</v>
      </c>
      <c r="C189" t="s">
        <v>260</v>
      </c>
      <c r="D189" s="2">
        <v>114518.4438983771</v>
      </c>
      <c r="E189">
        <v>188</v>
      </c>
    </row>
    <row r="190" spans="1:5" x14ac:dyDescent="0.3">
      <c r="A190" t="s">
        <v>191</v>
      </c>
      <c r="B190" t="s">
        <v>218</v>
      </c>
      <c r="C190" t="s">
        <v>221</v>
      </c>
      <c r="D190" s="2">
        <v>113810.7207109492</v>
      </c>
      <c r="E190">
        <v>189</v>
      </c>
    </row>
    <row r="191" spans="1:5" x14ac:dyDescent="0.3">
      <c r="A191" t="s">
        <v>191</v>
      </c>
      <c r="B191" t="s">
        <v>218</v>
      </c>
      <c r="C191" t="s">
        <v>220</v>
      </c>
      <c r="D191" s="2">
        <v>109364.32029490051</v>
      </c>
      <c r="E191">
        <v>190</v>
      </c>
    </row>
    <row r="192" spans="1:5" x14ac:dyDescent="0.3">
      <c r="A192" t="s">
        <v>874</v>
      </c>
      <c r="B192" t="s">
        <v>895</v>
      </c>
      <c r="C192" t="s">
        <v>897</v>
      </c>
      <c r="D192" s="2">
        <v>109186.35268616769</v>
      </c>
      <c r="E192">
        <v>191</v>
      </c>
    </row>
    <row r="193" spans="1:5" x14ac:dyDescent="0.3">
      <c r="A193" t="s">
        <v>830</v>
      </c>
      <c r="B193" t="s">
        <v>831</v>
      </c>
      <c r="C193" t="s">
        <v>835</v>
      </c>
      <c r="D193" s="2">
        <v>107248.7716156899</v>
      </c>
      <c r="E193">
        <v>192</v>
      </c>
    </row>
    <row r="194" spans="1:5" x14ac:dyDescent="0.3">
      <c r="A194" t="s">
        <v>97</v>
      </c>
      <c r="B194" t="s">
        <v>98</v>
      </c>
      <c r="C194" t="s">
        <v>104</v>
      </c>
      <c r="D194" s="2">
        <v>106057.5057188403</v>
      </c>
      <c r="E194">
        <v>193</v>
      </c>
    </row>
    <row r="195" spans="1:5" x14ac:dyDescent="0.3">
      <c r="A195" t="s">
        <v>830</v>
      </c>
      <c r="B195" t="s">
        <v>831</v>
      </c>
      <c r="C195" t="s">
        <v>839</v>
      </c>
      <c r="D195" s="2">
        <v>103497.8767504545</v>
      </c>
      <c r="E195">
        <v>194</v>
      </c>
    </row>
    <row r="196" spans="1:5" x14ac:dyDescent="0.3">
      <c r="A196" t="s">
        <v>406</v>
      </c>
      <c r="B196" t="s">
        <v>429</v>
      </c>
      <c r="C196" t="s">
        <v>433</v>
      </c>
      <c r="D196" s="2">
        <v>95824.346780815977</v>
      </c>
      <c r="E196">
        <v>195</v>
      </c>
    </row>
    <row r="197" spans="1:5" x14ac:dyDescent="0.3">
      <c r="A197" t="s">
        <v>674</v>
      </c>
      <c r="B197" t="s">
        <v>698</v>
      </c>
      <c r="C197" t="s">
        <v>699</v>
      </c>
      <c r="D197" s="2">
        <v>94975.654618768283</v>
      </c>
      <c r="E197">
        <v>196</v>
      </c>
    </row>
    <row r="198" spans="1:5" x14ac:dyDescent="0.3">
      <c r="A198" t="s">
        <v>124</v>
      </c>
      <c r="B198" t="s">
        <v>149</v>
      </c>
      <c r="C198" t="s">
        <v>149</v>
      </c>
      <c r="D198" s="2">
        <v>94425.559874557293</v>
      </c>
      <c r="E198">
        <v>197</v>
      </c>
    </row>
    <row r="199" spans="1:5" x14ac:dyDescent="0.3">
      <c r="A199" t="s">
        <v>830</v>
      </c>
      <c r="B199" t="s">
        <v>864</v>
      </c>
      <c r="C199" t="s">
        <v>273</v>
      </c>
      <c r="D199" s="2">
        <v>92471.642418762101</v>
      </c>
      <c r="E199">
        <v>198</v>
      </c>
    </row>
    <row r="200" spans="1:5" x14ac:dyDescent="0.3">
      <c r="A200" t="s">
        <v>730</v>
      </c>
      <c r="B200" t="s">
        <v>731</v>
      </c>
      <c r="C200" t="s">
        <v>735</v>
      </c>
      <c r="D200" s="2">
        <v>91301.509773395694</v>
      </c>
      <c r="E200">
        <v>199</v>
      </c>
    </row>
    <row r="201" spans="1:5" x14ac:dyDescent="0.3">
      <c r="A201" t="s">
        <v>922</v>
      </c>
      <c r="B201" t="s">
        <v>942</v>
      </c>
      <c r="C201" t="s">
        <v>942</v>
      </c>
      <c r="D201" s="2">
        <v>91184.363744534276</v>
      </c>
      <c r="E201">
        <v>200</v>
      </c>
    </row>
    <row r="202" spans="1:5" x14ac:dyDescent="0.3">
      <c r="A202" t="s">
        <v>499</v>
      </c>
      <c r="B202" t="s">
        <v>499</v>
      </c>
      <c r="C202" t="s">
        <v>505</v>
      </c>
      <c r="D202" s="2">
        <v>90133.528429827638</v>
      </c>
      <c r="E202">
        <v>201</v>
      </c>
    </row>
    <row r="203" spans="1:5" x14ac:dyDescent="0.3">
      <c r="A203" t="s">
        <v>232</v>
      </c>
      <c r="B203" t="s">
        <v>269</v>
      </c>
      <c r="C203" t="s">
        <v>273</v>
      </c>
      <c r="D203" s="2">
        <v>89547.492882799095</v>
      </c>
      <c r="E203">
        <v>202</v>
      </c>
    </row>
    <row r="204" spans="1:5" x14ac:dyDescent="0.3">
      <c r="A204" t="s">
        <v>287</v>
      </c>
      <c r="B204" t="s">
        <v>326</v>
      </c>
      <c r="C204" t="s">
        <v>326</v>
      </c>
      <c r="D204" s="2">
        <v>85883.139435175704</v>
      </c>
      <c r="E204">
        <v>203</v>
      </c>
    </row>
    <row r="205" spans="1:5" x14ac:dyDescent="0.3">
      <c r="A205" t="s">
        <v>287</v>
      </c>
      <c r="B205" t="s">
        <v>290</v>
      </c>
      <c r="C205" t="s">
        <v>292</v>
      </c>
      <c r="D205" s="2">
        <v>85837.452662233132</v>
      </c>
      <c r="E205">
        <v>204</v>
      </c>
    </row>
    <row r="206" spans="1:5" x14ac:dyDescent="0.3">
      <c r="A206" t="s">
        <v>830</v>
      </c>
      <c r="B206" t="s">
        <v>831</v>
      </c>
      <c r="C206" t="s">
        <v>843</v>
      </c>
      <c r="D206" s="2">
        <v>85373.456272839598</v>
      </c>
      <c r="E206">
        <v>205</v>
      </c>
    </row>
    <row r="207" spans="1:5" x14ac:dyDescent="0.3">
      <c r="A207" t="s">
        <v>586</v>
      </c>
      <c r="B207" t="s">
        <v>606</v>
      </c>
      <c r="C207" t="s">
        <v>608</v>
      </c>
      <c r="D207" s="2">
        <v>84483.904804596459</v>
      </c>
      <c r="E207">
        <v>206</v>
      </c>
    </row>
    <row r="208" spans="1:5" x14ac:dyDescent="0.3">
      <c r="A208" t="s">
        <v>652</v>
      </c>
      <c r="B208" t="s">
        <v>772</v>
      </c>
      <c r="C208" t="s">
        <v>782</v>
      </c>
      <c r="D208" s="2">
        <v>83992.357466535774</v>
      </c>
      <c r="E208">
        <v>207</v>
      </c>
    </row>
    <row r="209" spans="1:5" x14ac:dyDescent="0.3">
      <c r="A209" t="s">
        <v>652</v>
      </c>
      <c r="B209" t="s">
        <v>772</v>
      </c>
      <c r="C209" t="s">
        <v>777</v>
      </c>
      <c r="D209" s="2">
        <v>83551.247613122687</v>
      </c>
      <c r="E209">
        <v>208</v>
      </c>
    </row>
    <row r="210" spans="1:5" x14ac:dyDescent="0.3">
      <c r="A210" t="s">
        <v>830</v>
      </c>
      <c r="B210" t="s">
        <v>831</v>
      </c>
      <c r="C210" t="s">
        <v>295</v>
      </c>
      <c r="D210" s="2">
        <v>83549.407851063967</v>
      </c>
      <c r="E210">
        <v>209</v>
      </c>
    </row>
    <row r="211" spans="1:5" x14ac:dyDescent="0.3">
      <c r="A211" t="s">
        <v>874</v>
      </c>
      <c r="B211" t="s">
        <v>895</v>
      </c>
      <c r="C211" t="s">
        <v>895</v>
      </c>
      <c r="D211" s="2">
        <v>82105.465573296635</v>
      </c>
      <c r="E211">
        <v>210</v>
      </c>
    </row>
    <row r="212" spans="1:5" x14ac:dyDescent="0.3">
      <c r="A212" t="s">
        <v>830</v>
      </c>
      <c r="B212" t="s">
        <v>851</v>
      </c>
      <c r="C212" t="s">
        <v>851</v>
      </c>
      <c r="D212" s="2">
        <v>81779.750551694509</v>
      </c>
      <c r="E212">
        <v>211</v>
      </c>
    </row>
    <row r="213" spans="1:5" x14ac:dyDescent="0.3">
      <c r="A213" t="s">
        <v>232</v>
      </c>
      <c r="B213" t="s">
        <v>266</v>
      </c>
      <c r="C213" t="s">
        <v>266</v>
      </c>
      <c r="D213" s="2">
        <v>81628.463245912426</v>
      </c>
      <c r="E213">
        <v>212</v>
      </c>
    </row>
    <row r="214" spans="1:5" x14ac:dyDescent="0.3">
      <c r="A214" t="s">
        <v>124</v>
      </c>
      <c r="B214" t="s">
        <v>133</v>
      </c>
      <c r="C214" t="s">
        <v>134</v>
      </c>
      <c r="D214" s="2">
        <v>76340.138015386052</v>
      </c>
      <c r="E214">
        <v>213</v>
      </c>
    </row>
    <row r="215" spans="1:5" x14ac:dyDescent="0.3">
      <c r="A215" t="s">
        <v>830</v>
      </c>
      <c r="B215" t="s">
        <v>831</v>
      </c>
      <c r="C215" t="s">
        <v>842</v>
      </c>
      <c r="D215" s="2">
        <v>74695.121044222309</v>
      </c>
      <c r="E215">
        <v>214</v>
      </c>
    </row>
    <row r="216" spans="1:5" x14ac:dyDescent="0.3">
      <c r="A216" t="s">
        <v>460</v>
      </c>
      <c r="B216" t="s">
        <v>481</v>
      </c>
      <c r="C216" t="s">
        <v>481</v>
      </c>
      <c r="D216" s="2">
        <v>70461.192995222184</v>
      </c>
      <c r="E216">
        <v>215</v>
      </c>
    </row>
    <row r="217" spans="1:5" x14ac:dyDescent="0.3">
      <c r="A217" t="s">
        <v>232</v>
      </c>
      <c r="B217" t="s">
        <v>233</v>
      </c>
      <c r="C217" t="s">
        <v>51</v>
      </c>
      <c r="D217" s="2">
        <v>65259.223776523577</v>
      </c>
      <c r="E217">
        <v>216</v>
      </c>
    </row>
    <row r="218" spans="1:5" x14ac:dyDescent="0.3">
      <c r="A218" t="s">
        <v>406</v>
      </c>
      <c r="B218" t="s">
        <v>373</v>
      </c>
      <c r="C218" t="s">
        <v>373</v>
      </c>
      <c r="D218" s="2">
        <v>63969.824663696032</v>
      </c>
      <c r="E218">
        <v>217</v>
      </c>
    </row>
    <row r="219" spans="1:5" x14ac:dyDescent="0.3">
      <c r="A219" t="s">
        <v>830</v>
      </c>
      <c r="B219" t="s">
        <v>831</v>
      </c>
      <c r="C219" t="s">
        <v>836</v>
      </c>
      <c r="D219" s="2">
        <v>63565.162455990321</v>
      </c>
      <c r="E219">
        <v>218</v>
      </c>
    </row>
    <row r="220" spans="1:5" x14ac:dyDescent="0.3">
      <c r="A220" t="s">
        <v>97</v>
      </c>
      <c r="B220" t="s">
        <v>116</v>
      </c>
      <c r="C220" t="s">
        <v>116</v>
      </c>
      <c r="D220" s="2">
        <v>62335.182647037509</v>
      </c>
      <c r="E220">
        <v>219</v>
      </c>
    </row>
    <row r="221" spans="1:5" x14ac:dyDescent="0.3">
      <c r="A221" t="s">
        <v>652</v>
      </c>
      <c r="B221" t="s">
        <v>772</v>
      </c>
      <c r="C221" t="s">
        <v>774</v>
      </c>
      <c r="D221" s="2">
        <v>61995.711108163741</v>
      </c>
      <c r="E221">
        <v>220</v>
      </c>
    </row>
    <row r="222" spans="1:5" x14ac:dyDescent="0.3">
      <c r="A222" t="s">
        <v>612</v>
      </c>
      <c r="B222" t="s">
        <v>635</v>
      </c>
      <c r="C222" t="s">
        <v>640</v>
      </c>
      <c r="D222" s="2">
        <v>60947.695826027288</v>
      </c>
      <c r="E222">
        <v>221</v>
      </c>
    </row>
    <row r="223" spans="1:5" x14ac:dyDescent="0.3">
      <c r="A223" t="s">
        <v>730</v>
      </c>
      <c r="B223" t="s">
        <v>731</v>
      </c>
      <c r="C223" t="s">
        <v>731</v>
      </c>
      <c r="D223" s="2">
        <v>60863.117867081899</v>
      </c>
      <c r="E223">
        <v>222</v>
      </c>
    </row>
    <row r="224" spans="1:5" x14ac:dyDescent="0.3">
      <c r="A224" t="s">
        <v>499</v>
      </c>
      <c r="B224" t="s">
        <v>534</v>
      </c>
      <c r="C224" t="s">
        <v>534</v>
      </c>
      <c r="D224" s="2">
        <v>60140.328289318531</v>
      </c>
      <c r="E224">
        <v>223</v>
      </c>
    </row>
    <row r="225" spans="1:5" x14ac:dyDescent="0.3">
      <c r="A225" t="s">
        <v>756</v>
      </c>
      <c r="B225" t="s">
        <v>756</v>
      </c>
      <c r="C225" t="s">
        <v>757</v>
      </c>
      <c r="D225" s="2">
        <v>59873.48899951858</v>
      </c>
      <c r="E225">
        <v>224</v>
      </c>
    </row>
    <row r="226" spans="1:5" x14ac:dyDescent="0.3">
      <c r="A226" t="s">
        <v>756</v>
      </c>
      <c r="B226" t="s">
        <v>756</v>
      </c>
      <c r="C226" t="s">
        <v>39</v>
      </c>
      <c r="D226" s="2">
        <v>59647.66567022902</v>
      </c>
      <c r="E226">
        <v>225</v>
      </c>
    </row>
    <row r="227" spans="1:5" x14ac:dyDescent="0.3">
      <c r="A227" t="s">
        <v>20</v>
      </c>
      <c r="B227" t="s">
        <v>21</v>
      </c>
      <c r="C227" t="s">
        <v>40</v>
      </c>
      <c r="D227" s="2">
        <v>58896.446346666977</v>
      </c>
      <c r="E227">
        <v>226</v>
      </c>
    </row>
    <row r="228" spans="1:5" x14ac:dyDescent="0.3">
      <c r="A228" t="s">
        <v>586</v>
      </c>
      <c r="B228" t="s">
        <v>603</v>
      </c>
      <c r="C228" t="s">
        <v>603</v>
      </c>
      <c r="D228" s="2">
        <v>58532.994399768439</v>
      </c>
      <c r="E228">
        <v>227</v>
      </c>
    </row>
    <row r="229" spans="1:5" x14ac:dyDescent="0.3">
      <c r="A229" t="s">
        <v>830</v>
      </c>
      <c r="B229" t="s">
        <v>857</v>
      </c>
      <c r="C229" t="s">
        <v>858</v>
      </c>
      <c r="D229" s="2">
        <v>57295.1904064927</v>
      </c>
      <c r="E229">
        <v>228</v>
      </c>
    </row>
    <row r="230" spans="1:5" x14ac:dyDescent="0.3">
      <c r="A230" t="s">
        <v>406</v>
      </c>
      <c r="B230" t="s">
        <v>298</v>
      </c>
      <c r="C230" t="s">
        <v>298</v>
      </c>
      <c r="D230" s="2">
        <v>56532.538635615812</v>
      </c>
      <c r="E230">
        <v>229</v>
      </c>
    </row>
    <row r="231" spans="1:5" x14ac:dyDescent="0.3">
      <c r="A231" t="s">
        <v>287</v>
      </c>
      <c r="B231" t="s">
        <v>288</v>
      </c>
      <c r="C231" t="s">
        <v>288</v>
      </c>
      <c r="D231" s="2">
        <v>55672.764346556563</v>
      </c>
      <c r="E231">
        <v>230</v>
      </c>
    </row>
    <row r="232" spans="1:5" x14ac:dyDescent="0.3">
      <c r="A232" t="s">
        <v>652</v>
      </c>
      <c r="B232" t="s">
        <v>772</v>
      </c>
      <c r="C232" t="s">
        <v>388</v>
      </c>
      <c r="D232" s="2">
        <v>55621.226864229982</v>
      </c>
      <c r="E232">
        <v>231</v>
      </c>
    </row>
    <row r="233" spans="1:5" x14ac:dyDescent="0.3">
      <c r="A233" t="s">
        <v>191</v>
      </c>
      <c r="B233" t="s">
        <v>224</v>
      </c>
      <c r="C233" t="s">
        <v>224</v>
      </c>
      <c r="D233" s="2">
        <v>54920.120736634322</v>
      </c>
      <c r="E233">
        <v>232</v>
      </c>
    </row>
    <row r="234" spans="1:5" x14ac:dyDescent="0.3">
      <c r="A234" t="s">
        <v>830</v>
      </c>
      <c r="B234" t="s">
        <v>831</v>
      </c>
      <c r="C234" t="s">
        <v>833</v>
      </c>
      <c r="D234" s="2">
        <v>53237.490515740443</v>
      </c>
      <c r="E234">
        <v>233</v>
      </c>
    </row>
    <row r="235" spans="1:5" x14ac:dyDescent="0.3">
      <c r="A235" t="s">
        <v>612</v>
      </c>
      <c r="B235" t="s">
        <v>668</v>
      </c>
      <c r="C235" t="s">
        <v>668</v>
      </c>
      <c r="D235" s="2">
        <v>52509.496205061601</v>
      </c>
      <c r="E235">
        <v>234</v>
      </c>
    </row>
    <row r="236" spans="1:5" x14ac:dyDescent="0.3">
      <c r="A236" t="s">
        <v>406</v>
      </c>
      <c r="B236" t="s">
        <v>426</v>
      </c>
      <c r="C236" t="s">
        <v>426</v>
      </c>
      <c r="D236" s="2">
        <v>52239.824929122369</v>
      </c>
      <c r="E236">
        <v>235</v>
      </c>
    </row>
    <row r="237" spans="1:5" x14ac:dyDescent="0.3">
      <c r="A237" t="s">
        <v>830</v>
      </c>
      <c r="B237" t="s">
        <v>864</v>
      </c>
      <c r="C237" t="s">
        <v>865</v>
      </c>
      <c r="D237" s="2">
        <v>51234.487792357198</v>
      </c>
      <c r="E237">
        <v>236</v>
      </c>
    </row>
    <row r="238" spans="1:5" x14ac:dyDescent="0.3">
      <c r="A238" t="s">
        <v>406</v>
      </c>
      <c r="B238" t="s">
        <v>415</v>
      </c>
      <c r="C238" t="s">
        <v>415</v>
      </c>
      <c r="D238" s="2">
        <v>50367.316760503811</v>
      </c>
      <c r="E238">
        <v>237</v>
      </c>
    </row>
    <row r="239" spans="1:5" x14ac:dyDescent="0.3">
      <c r="A239" t="s">
        <v>730</v>
      </c>
      <c r="B239" t="s">
        <v>755</v>
      </c>
      <c r="C239" t="s">
        <v>755</v>
      </c>
      <c r="D239" s="2">
        <v>49083.498892562769</v>
      </c>
      <c r="E239">
        <v>238</v>
      </c>
    </row>
    <row r="240" spans="1:5" x14ac:dyDescent="0.3">
      <c r="A240" t="s">
        <v>499</v>
      </c>
      <c r="B240" t="s">
        <v>577</v>
      </c>
      <c r="C240" t="s">
        <v>577</v>
      </c>
      <c r="D240" s="2">
        <v>49065.584217634663</v>
      </c>
      <c r="E240">
        <v>239</v>
      </c>
    </row>
    <row r="241" spans="1:5" x14ac:dyDescent="0.3">
      <c r="A241" t="s">
        <v>586</v>
      </c>
      <c r="B241" t="s">
        <v>595</v>
      </c>
      <c r="C241" t="s">
        <v>51</v>
      </c>
      <c r="D241" s="2">
        <v>47105.717670712736</v>
      </c>
      <c r="E241">
        <v>240</v>
      </c>
    </row>
    <row r="242" spans="1:5" x14ac:dyDescent="0.3">
      <c r="A242" t="s">
        <v>191</v>
      </c>
      <c r="B242" t="s">
        <v>218</v>
      </c>
      <c r="C242" t="s">
        <v>116</v>
      </c>
      <c r="D242" s="2">
        <v>45716.782130368389</v>
      </c>
      <c r="E242">
        <v>241</v>
      </c>
    </row>
    <row r="243" spans="1:5" x14ac:dyDescent="0.3">
      <c r="A243" t="s">
        <v>232</v>
      </c>
      <c r="B243" t="s">
        <v>269</v>
      </c>
      <c r="C243" t="s">
        <v>274</v>
      </c>
      <c r="D243" s="2">
        <v>42145.869748625453</v>
      </c>
      <c r="E243">
        <v>242</v>
      </c>
    </row>
    <row r="244" spans="1:5" x14ac:dyDescent="0.3">
      <c r="A244" t="s">
        <v>652</v>
      </c>
      <c r="B244" t="s">
        <v>772</v>
      </c>
      <c r="C244" t="s">
        <v>790</v>
      </c>
      <c r="D244" s="2">
        <v>41479.898953659103</v>
      </c>
      <c r="E244">
        <v>243</v>
      </c>
    </row>
    <row r="245" spans="1:5" x14ac:dyDescent="0.3">
      <c r="A245" t="s">
        <v>652</v>
      </c>
      <c r="B245" t="s">
        <v>817</v>
      </c>
      <c r="C245" t="s">
        <v>818</v>
      </c>
      <c r="D245" s="2">
        <v>40312.287640822353</v>
      </c>
      <c r="E245">
        <v>244</v>
      </c>
    </row>
    <row r="246" spans="1:5" x14ac:dyDescent="0.3">
      <c r="A246" t="s">
        <v>922</v>
      </c>
      <c r="B246" t="s">
        <v>956</v>
      </c>
      <c r="C246" t="s">
        <v>958</v>
      </c>
      <c r="D246" s="2">
        <v>40066.383368513591</v>
      </c>
      <c r="E246">
        <v>245</v>
      </c>
    </row>
    <row r="247" spans="1:5" x14ac:dyDescent="0.3">
      <c r="A247" t="s">
        <v>652</v>
      </c>
      <c r="B247" t="s">
        <v>822</v>
      </c>
      <c r="C247" t="s">
        <v>823</v>
      </c>
      <c r="D247" s="2">
        <v>39674.59409086535</v>
      </c>
      <c r="E247">
        <v>246</v>
      </c>
    </row>
    <row r="248" spans="1:5" x14ac:dyDescent="0.3">
      <c r="A248" t="s">
        <v>156</v>
      </c>
      <c r="B248" t="s">
        <v>177</v>
      </c>
      <c r="C248" t="s">
        <v>180</v>
      </c>
      <c r="D248" s="2">
        <v>39652.542836289227</v>
      </c>
      <c r="E248">
        <v>247</v>
      </c>
    </row>
    <row r="249" spans="1:5" x14ac:dyDescent="0.3">
      <c r="A249" t="s">
        <v>586</v>
      </c>
      <c r="B249" t="s">
        <v>587</v>
      </c>
      <c r="C249" t="s">
        <v>587</v>
      </c>
      <c r="D249" s="2">
        <v>39191.915543737618</v>
      </c>
      <c r="E249">
        <v>248</v>
      </c>
    </row>
    <row r="250" spans="1:5" x14ac:dyDescent="0.3">
      <c r="A250" t="s">
        <v>674</v>
      </c>
      <c r="B250" t="s">
        <v>712</v>
      </c>
      <c r="C250" t="s">
        <v>712</v>
      </c>
      <c r="D250" s="2">
        <v>38870.681198890808</v>
      </c>
      <c r="E250">
        <v>249</v>
      </c>
    </row>
    <row r="251" spans="1:5" x14ac:dyDescent="0.3">
      <c r="A251" t="s">
        <v>990</v>
      </c>
      <c r="B251" t="s">
        <v>1000</v>
      </c>
      <c r="C251" t="s">
        <v>1000</v>
      </c>
      <c r="D251" s="2">
        <v>37866.077957958238</v>
      </c>
      <c r="E251">
        <v>250</v>
      </c>
    </row>
    <row r="252" spans="1:5" x14ac:dyDescent="0.3">
      <c r="A252" t="s">
        <v>287</v>
      </c>
      <c r="B252" t="s">
        <v>304</v>
      </c>
      <c r="C252" t="s">
        <v>304</v>
      </c>
      <c r="D252" s="2">
        <v>36771.881200338823</v>
      </c>
      <c r="E252">
        <v>251</v>
      </c>
    </row>
    <row r="253" spans="1:5" x14ac:dyDescent="0.3">
      <c r="A253" t="s">
        <v>97</v>
      </c>
      <c r="B253" t="s">
        <v>98</v>
      </c>
      <c r="C253" t="s">
        <v>105</v>
      </c>
      <c r="D253" s="2">
        <v>36600.711502755221</v>
      </c>
      <c r="E253">
        <v>252</v>
      </c>
    </row>
    <row r="254" spans="1:5" x14ac:dyDescent="0.3">
      <c r="A254" t="s">
        <v>830</v>
      </c>
      <c r="B254" t="s">
        <v>831</v>
      </c>
      <c r="C254" t="s">
        <v>838</v>
      </c>
      <c r="D254" s="2">
        <v>36185.180302064582</v>
      </c>
      <c r="E254">
        <v>253</v>
      </c>
    </row>
    <row r="255" spans="1:5" x14ac:dyDescent="0.3">
      <c r="A255" t="s">
        <v>20</v>
      </c>
      <c r="B255" t="s">
        <v>55</v>
      </c>
      <c r="C255" t="s">
        <v>55</v>
      </c>
      <c r="D255" s="2">
        <v>35891.36744348635</v>
      </c>
      <c r="E255">
        <v>254</v>
      </c>
    </row>
    <row r="256" spans="1:5" x14ac:dyDescent="0.3">
      <c r="A256" t="s">
        <v>830</v>
      </c>
      <c r="B256" t="s">
        <v>854</v>
      </c>
      <c r="C256" t="s">
        <v>854</v>
      </c>
      <c r="D256" s="2">
        <v>34876.084701263579</v>
      </c>
      <c r="E256">
        <v>255</v>
      </c>
    </row>
    <row r="257" spans="1:5" x14ac:dyDescent="0.3">
      <c r="A257" t="s">
        <v>191</v>
      </c>
      <c r="B257" t="s">
        <v>192</v>
      </c>
      <c r="C257" t="s">
        <v>201</v>
      </c>
      <c r="D257" s="2">
        <v>34403.371707692677</v>
      </c>
      <c r="E257">
        <v>256</v>
      </c>
    </row>
    <row r="258" spans="1:5" x14ac:dyDescent="0.3">
      <c r="A258" t="s">
        <v>586</v>
      </c>
      <c r="B258" t="s">
        <v>597</v>
      </c>
      <c r="C258" t="s">
        <v>431</v>
      </c>
      <c r="D258" s="2">
        <v>34355.795429966733</v>
      </c>
      <c r="E258">
        <v>257</v>
      </c>
    </row>
    <row r="259" spans="1:5" x14ac:dyDescent="0.3">
      <c r="A259" t="s">
        <v>959</v>
      </c>
      <c r="B259" t="s">
        <v>984</v>
      </c>
      <c r="C259" t="s">
        <v>984</v>
      </c>
      <c r="D259" s="2">
        <v>33670.823513224452</v>
      </c>
      <c r="E259">
        <v>258</v>
      </c>
    </row>
    <row r="260" spans="1:5" x14ac:dyDescent="0.3">
      <c r="A260" t="s">
        <v>652</v>
      </c>
      <c r="B260" t="s">
        <v>772</v>
      </c>
      <c r="C260" t="s">
        <v>778</v>
      </c>
      <c r="D260" s="2">
        <v>33626.611388036777</v>
      </c>
      <c r="E260">
        <v>259</v>
      </c>
    </row>
    <row r="261" spans="1:5" x14ac:dyDescent="0.3">
      <c r="A261" t="s">
        <v>20</v>
      </c>
      <c r="B261" t="s">
        <v>21</v>
      </c>
      <c r="C261" t="s">
        <v>29</v>
      </c>
      <c r="D261" s="2">
        <v>33485.058123049421</v>
      </c>
      <c r="E261">
        <v>260</v>
      </c>
    </row>
    <row r="262" spans="1:5" x14ac:dyDescent="0.3">
      <c r="A262" t="s">
        <v>874</v>
      </c>
      <c r="B262" t="s">
        <v>898</v>
      </c>
      <c r="C262" t="s">
        <v>898</v>
      </c>
      <c r="D262" s="2">
        <v>32345.81444433596</v>
      </c>
      <c r="E262">
        <v>261</v>
      </c>
    </row>
    <row r="263" spans="1:5" x14ac:dyDescent="0.3">
      <c r="A263" t="s">
        <v>830</v>
      </c>
      <c r="B263" t="s">
        <v>852</v>
      </c>
      <c r="C263" t="s">
        <v>852</v>
      </c>
      <c r="D263" s="2">
        <v>32272.179980754921</v>
      </c>
      <c r="E263">
        <v>262</v>
      </c>
    </row>
    <row r="264" spans="1:5" x14ac:dyDescent="0.3">
      <c r="A264" t="s">
        <v>232</v>
      </c>
      <c r="B264" t="s">
        <v>254</v>
      </c>
      <c r="C264" t="s">
        <v>257</v>
      </c>
      <c r="D264" s="2">
        <v>31896.409127188621</v>
      </c>
      <c r="E264">
        <v>263</v>
      </c>
    </row>
    <row r="265" spans="1:5" x14ac:dyDescent="0.3">
      <c r="A265" t="s">
        <v>20</v>
      </c>
      <c r="B265" t="s">
        <v>46</v>
      </c>
      <c r="C265" t="s">
        <v>46</v>
      </c>
      <c r="D265" s="2">
        <v>31839.912590037049</v>
      </c>
      <c r="E265">
        <v>264</v>
      </c>
    </row>
    <row r="266" spans="1:5" x14ac:dyDescent="0.3">
      <c r="A266" t="s">
        <v>406</v>
      </c>
      <c r="B266" t="s">
        <v>439</v>
      </c>
      <c r="C266" t="s">
        <v>439</v>
      </c>
      <c r="D266" s="2">
        <v>31609.700115238011</v>
      </c>
      <c r="E266">
        <v>265</v>
      </c>
    </row>
    <row r="267" spans="1:5" x14ac:dyDescent="0.3">
      <c r="A267" t="s">
        <v>406</v>
      </c>
      <c r="B267" t="s">
        <v>450</v>
      </c>
      <c r="C267" t="s">
        <v>451</v>
      </c>
      <c r="D267" s="2">
        <v>31385.083358247859</v>
      </c>
      <c r="E267">
        <v>266</v>
      </c>
    </row>
    <row r="268" spans="1:5" x14ac:dyDescent="0.3">
      <c r="A268" t="s">
        <v>499</v>
      </c>
      <c r="B268" t="s">
        <v>557</v>
      </c>
      <c r="C268" t="s">
        <v>557</v>
      </c>
      <c r="D268" s="2">
        <v>31364.649912665769</v>
      </c>
      <c r="E268">
        <v>267</v>
      </c>
    </row>
    <row r="269" spans="1:5" x14ac:dyDescent="0.3">
      <c r="A269" t="s">
        <v>652</v>
      </c>
      <c r="B269" t="s">
        <v>772</v>
      </c>
      <c r="C269" t="s">
        <v>776</v>
      </c>
      <c r="D269" s="2">
        <v>30729.191324262971</v>
      </c>
      <c r="E269">
        <v>268</v>
      </c>
    </row>
    <row r="270" spans="1:5" x14ac:dyDescent="0.3">
      <c r="A270" t="s">
        <v>460</v>
      </c>
      <c r="B270" t="s">
        <v>461</v>
      </c>
      <c r="C270" t="s">
        <v>466</v>
      </c>
      <c r="D270" s="2">
        <v>30478.380385657641</v>
      </c>
      <c r="E270">
        <v>269</v>
      </c>
    </row>
    <row r="271" spans="1:5" x14ac:dyDescent="0.3">
      <c r="A271" t="s">
        <v>652</v>
      </c>
      <c r="B271" t="s">
        <v>809</v>
      </c>
      <c r="C271" t="s">
        <v>811</v>
      </c>
      <c r="D271" s="2">
        <v>30376.788247496981</v>
      </c>
      <c r="E271">
        <v>270</v>
      </c>
    </row>
    <row r="272" spans="1:5" x14ac:dyDescent="0.3">
      <c r="A272" t="s">
        <v>674</v>
      </c>
      <c r="B272" t="s">
        <v>684</v>
      </c>
      <c r="C272" t="s">
        <v>684</v>
      </c>
      <c r="D272" s="2">
        <v>30186.722512942211</v>
      </c>
      <c r="E272">
        <v>271</v>
      </c>
    </row>
    <row r="273" spans="1:5" x14ac:dyDescent="0.3">
      <c r="A273" t="s">
        <v>232</v>
      </c>
      <c r="B273" t="s">
        <v>269</v>
      </c>
      <c r="C273" t="s">
        <v>269</v>
      </c>
      <c r="D273" s="2">
        <v>28329.203760846071</v>
      </c>
      <c r="E273">
        <v>272</v>
      </c>
    </row>
    <row r="274" spans="1:5" x14ac:dyDescent="0.3">
      <c r="A274" t="s">
        <v>612</v>
      </c>
      <c r="B274" t="s">
        <v>662</v>
      </c>
      <c r="C274" t="s">
        <v>656</v>
      </c>
      <c r="D274" s="2">
        <v>27337.835914907999</v>
      </c>
      <c r="E274">
        <v>273</v>
      </c>
    </row>
    <row r="275" spans="1:5" x14ac:dyDescent="0.3">
      <c r="A275" t="s">
        <v>652</v>
      </c>
      <c r="B275" t="s">
        <v>772</v>
      </c>
      <c r="C275" t="s">
        <v>800</v>
      </c>
      <c r="D275" s="2">
        <v>27205.978780633039</v>
      </c>
      <c r="E275">
        <v>274</v>
      </c>
    </row>
    <row r="276" spans="1:5" x14ac:dyDescent="0.3">
      <c r="A276" t="s">
        <v>652</v>
      </c>
      <c r="B276" t="s">
        <v>809</v>
      </c>
      <c r="C276" t="s">
        <v>813</v>
      </c>
      <c r="D276" s="2">
        <v>26915.848586285221</v>
      </c>
      <c r="E276">
        <v>275</v>
      </c>
    </row>
    <row r="277" spans="1:5" x14ac:dyDescent="0.3">
      <c r="A277" t="s">
        <v>124</v>
      </c>
      <c r="B277" t="s">
        <v>153</v>
      </c>
      <c r="C277" t="s">
        <v>153</v>
      </c>
      <c r="D277" s="2">
        <v>26656.316965344031</v>
      </c>
      <c r="E277">
        <v>276</v>
      </c>
    </row>
    <row r="278" spans="1:5" x14ac:dyDescent="0.3">
      <c r="A278" t="s">
        <v>191</v>
      </c>
      <c r="B278" t="s">
        <v>192</v>
      </c>
      <c r="C278" t="s">
        <v>202</v>
      </c>
      <c r="D278" s="2">
        <v>26483.568382125919</v>
      </c>
      <c r="E278">
        <v>277</v>
      </c>
    </row>
    <row r="279" spans="1:5" x14ac:dyDescent="0.3">
      <c r="A279" t="s">
        <v>830</v>
      </c>
      <c r="B279" t="s">
        <v>831</v>
      </c>
      <c r="C279" t="s">
        <v>840</v>
      </c>
      <c r="D279" s="2">
        <v>26371.256451132009</v>
      </c>
      <c r="E279">
        <v>278</v>
      </c>
    </row>
    <row r="280" spans="1:5" x14ac:dyDescent="0.3">
      <c r="A280" t="s">
        <v>406</v>
      </c>
      <c r="B280" t="s">
        <v>414</v>
      </c>
      <c r="C280" t="s">
        <v>414</v>
      </c>
      <c r="D280" s="2">
        <v>25491.301148702179</v>
      </c>
      <c r="E280">
        <v>279</v>
      </c>
    </row>
    <row r="281" spans="1:5" x14ac:dyDescent="0.3">
      <c r="A281" t="s">
        <v>191</v>
      </c>
      <c r="B281" t="s">
        <v>218</v>
      </c>
      <c r="C281" t="s">
        <v>222</v>
      </c>
      <c r="D281" s="2">
        <v>25311.226702339569</v>
      </c>
      <c r="E281">
        <v>280</v>
      </c>
    </row>
    <row r="282" spans="1:5" x14ac:dyDescent="0.3">
      <c r="A282" t="s">
        <v>287</v>
      </c>
      <c r="B282" t="s">
        <v>312</v>
      </c>
      <c r="C282" t="s">
        <v>312</v>
      </c>
      <c r="D282" s="2">
        <v>25000.821448277231</v>
      </c>
      <c r="E282">
        <v>281</v>
      </c>
    </row>
    <row r="283" spans="1:5" x14ac:dyDescent="0.3">
      <c r="A283" t="s">
        <v>20</v>
      </c>
      <c r="B283" t="s">
        <v>82</v>
      </c>
      <c r="C283" t="s">
        <v>83</v>
      </c>
      <c r="D283" s="2">
        <v>24747.070155325269</v>
      </c>
      <c r="E283">
        <v>282</v>
      </c>
    </row>
    <row r="284" spans="1:5" x14ac:dyDescent="0.3">
      <c r="A284" t="s">
        <v>460</v>
      </c>
      <c r="B284" t="s">
        <v>488</v>
      </c>
      <c r="C284" t="s">
        <v>488</v>
      </c>
      <c r="D284" s="2">
        <v>24062.731603012631</v>
      </c>
      <c r="E284">
        <v>283</v>
      </c>
    </row>
    <row r="285" spans="1:5" x14ac:dyDescent="0.3">
      <c r="A285" t="s">
        <v>830</v>
      </c>
      <c r="B285" t="s">
        <v>831</v>
      </c>
      <c r="C285" t="s">
        <v>330</v>
      </c>
      <c r="D285" s="2">
        <v>23559.830364621281</v>
      </c>
      <c r="E285">
        <v>284</v>
      </c>
    </row>
    <row r="286" spans="1:5" x14ac:dyDescent="0.3">
      <c r="A286" t="s">
        <v>499</v>
      </c>
      <c r="B286" t="s">
        <v>570</v>
      </c>
      <c r="C286" t="s">
        <v>570</v>
      </c>
      <c r="D286" s="2">
        <v>23537.8372058434</v>
      </c>
      <c r="E286">
        <v>285</v>
      </c>
    </row>
    <row r="287" spans="1:5" x14ac:dyDescent="0.3">
      <c r="A287" t="s">
        <v>612</v>
      </c>
      <c r="B287" t="s">
        <v>668</v>
      </c>
      <c r="C287" t="s">
        <v>670</v>
      </c>
      <c r="D287" s="2">
        <v>21033.971987045628</v>
      </c>
      <c r="E287">
        <v>286</v>
      </c>
    </row>
    <row r="288" spans="1:5" x14ac:dyDescent="0.3">
      <c r="A288" t="s">
        <v>191</v>
      </c>
      <c r="B288" t="s">
        <v>227</v>
      </c>
      <c r="C288" t="s">
        <v>228</v>
      </c>
      <c r="D288" s="2">
        <v>20716.104453770498</v>
      </c>
      <c r="E288">
        <v>287</v>
      </c>
    </row>
    <row r="289" spans="1:5" x14ac:dyDescent="0.3">
      <c r="A289" t="s">
        <v>830</v>
      </c>
      <c r="B289" t="s">
        <v>831</v>
      </c>
      <c r="C289" t="s">
        <v>844</v>
      </c>
      <c r="D289" s="2">
        <v>20692.116524019639</v>
      </c>
      <c r="E289">
        <v>288</v>
      </c>
    </row>
    <row r="290" spans="1:5" x14ac:dyDescent="0.3">
      <c r="A290" t="s">
        <v>652</v>
      </c>
      <c r="B290" t="s">
        <v>772</v>
      </c>
      <c r="C290" t="s">
        <v>801</v>
      </c>
      <c r="D290" s="2">
        <v>20655.525978957889</v>
      </c>
      <c r="E290">
        <v>289</v>
      </c>
    </row>
    <row r="291" spans="1:5" x14ac:dyDescent="0.3">
      <c r="A291" t="s">
        <v>652</v>
      </c>
      <c r="B291" t="s">
        <v>772</v>
      </c>
      <c r="C291" t="s">
        <v>784</v>
      </c>
      <c r="D291" s="2">
        <v>20486.770861776131</v>
      </c>
      <c r="E291">
        <v>290</v>
      </c>
    </row>
    <row r="292" spans="1:5" x14ac:dyDescent="0.3">
      <c r="A292" t="s">
        <v>20</v>
      </c>
      <c r="B292" t="s">
        <v>21</v>
      </c>
      <c r="C292" t="s">
        <v>21</v>
      </c>
      <c r="D292" s="2">
        <v>19834.796442500861</v>
      </c>
      <c r="E292">
        <v>291</v>
      </c>
    </row>
    <row r="293" spans="1:5" x14ac:dyDescent="0.3">
      <c r="A293" t="s">
        <v>460</v>
      </c>
      <c r="B293" t="s">
        <v>492</v>
      </c>
      <c r="C293" t="s">
        <v>493</v>
      </c>
      <c r="D293" s="2">
        <v>19829.061387071801</v>
      </c>
      <c r="E293">
        <v>292</v>
      </c>
    </row>
    <row r="294" spans="1:5" x14ac:dyDescent="0.3">
      <c r="A294" t="s">
        <v>191</v>
      </c>
      <c r="B294" t="s">
        <v>192</v>
      </c>
      <c r="C294" t="s">
        <v>195</v>
      </c>
      <c r="D294" s="2">
        <v>18971.642012975892</v>
      </c>
      <c r="E294">
        <v>293</v>
      </c>
    </row>
    <row r="295" spans="1:5" x14ac:dyDescent="0.3">
      <c r="A295" t="s">
        <v>652</v>
      </c>
      <c r="B295" t="s">
        <v>803</v>
      </c>
      <c r="C295" t="s">
        <v>805</v>
      </c>
      <c r="D295" s="2">
        <v>17472.776214621019</v>
      </c>
      <c r="E295">
        <v>294</v>
      </c>
    </row>
    <row r="296" spans="1:5" x14ac:dyDescent="0.3">
      <c r="A296" t="s">
        <v>191</v>
      </c>
      <c r="B296" t="s">
        <v>203</v>
      </c>
      <c r="C296" t="s">
        <v>203</v>
      </c>
      <c r="D296" s="2">
        <v>17137.082292336268</v>
      </c>
      <c r="E296">
        <v>295</v>
      </c>
    </row>
    <row r="297" spans="1:5" x14ac:dyDescent="0.3">
      <c r="A297" t="s">
        <v>406</v>
      </c>
      <c r="B297" t="s">
        <v>459</v>
      </c>
      <c r="C297" t="s">
        <v>459</v>
      </c>
      <c r="D297" s="2">
        <v>17050.088884964342</v>
      </c>
      <c r="E297">
        <v>296</v>
      </c>
    </row>
    <row r="298" spans="1:5" x14ac:dyDescent="0.3">
      <c r="A298" t="s">
        <v>874</v>
      </c>
      <c r="B298" t="s">
        <v>881</v>
      </c>
      <c r="C298" t="s">
        <v>882</v>
      </c>
      <c r="D298" s="2">
        <v>17016.092460162239</v>
      </c>
      <c r="E298">
        <v>297</v>
      </c>
    </row>
    <row r="299" spans="1:5" x14ac:dyDescent="0.3">
      <c r="A299" t="s">
        <v>406</v>
      </c>
      <c r="B299" t="s">
        <v>422</v>
      </c>
      <c r="C299" t="s">
        <v>357</v>
      </c>
      <c r="D299" s="2">
        <v>16674.111869649911</v>
      </c>
      <c r="E299">
        <v>298</v>
      </c>
    </row>
    <row r="300" spans="1:5" x14ac:dyDescent="0.3">
      <c r="A300" t="s">
        <v>940</v>
      </c>
      <c r="B300" t="s">
        <v>940</v>
      </c>
      <c r="C300" t="s">
        <v>1004</v>
      </c>
      <c r="D300" s="2">
        <v>16646.313682953059</v>
      </c>
      <c r="E300">
        <v>299</v>
      </c>
    </row>
    <row r="301" spans="1:5" x14ac:dyDescent="0.3">
      <c r="A301" t="s">
        <v>20</v>
      </c>
      <c r="B301" t="s">
        <v>21</v>
      </c>
      <c r="C301" t="s">
        <v>28</v>
      </c>
      <c r="D301" s="2">
        <v>16571.753379279089</v>
      </c>
      <c r="E301">
        <v>300</v>
      </c>
    </row>
    <row r="302" spans="1:5" x14ac:dyDescent="0.3">
      <c r="A302" t="s">
        <v>20</v>
      </c>
      <c r="B302" t="s">
        <v>21</v>
      </c>
      <c r="C302" t="s">
        <v>31</v>
      </c>
      <c r="D302" s="2">
        <v>16243.232819629469</v>
      </c>
      <c r="E302">
        <v>301</v>
      </c>
    </row>
    <row r="303" spans="1:5" x14ac:dyDescent="0.3">
      <c r="A303" t="s">
        <v>586</v>
      </c>
      <c r="B303" t="s">
        <v>595</v>
      </c>
      <c r="C303" t="s">
        <v>595</v>
      </c>
      <c r="D303" s="2">
        <v>16127.10434004021</v>
      </c>
      <c r="E303">
        <v>302</v>
      </c>
    </row>
    <row r="304" spans="1:5" x14ac:dyDescent="0.3">
      <c r="A304" t="s">
        <v>499</v>
      </c>
      <c r="B304" t="s">
        <v>539</v>
      </c>
      <c r="C304" t="s">
        <v>539</v>
      </c>
      <c r="D304" s="2">
        <v>15565.20896763143</v>
      </c>
      <c r="E304">
        <v>303</v>
      </c>
    </row>
    <row r="305" spans="1:5" x14ac:dyDescent="0.3">
      <c r="A305" t="s">
        <v>191</v>
      </c>
      <c r="B305" t="s">
        <v>227</v>
      </c>
      <c r="C305" t="s">
        <v>227</v>
      </c>
      <c r="D305" s="2">
        <v>15358.105793356041</v>
      </c>
      <c r="E305">
        <v>304</v>
      </c>
    </row>
    <row r="306" spans="1:5" x14ac:dyDescent="0.3">
      <c r="A306" t="s">
        <v>674</v>
      </c>
      <c r="B306" t="s">
        <v>714</v>
      </c>
      <c r="C306" t="s">
        <v>714</v>
      </c>
      <c r="D306" s="2">
        <v>14804.293268158881</v>
      </c>
      <c r="E306">
        <v>305</v>
      </c>
    </row>
    <row r="307" spans="1:5" x14ac:dyDescent="0.3">
      <c r="A307" t="s">
        <v>612</v>
      </c>
      <c r="B307" t="s">
        <v>643</v>
      </c>
      <c r="C307" t="s">
        <v>644</v>
      </c>
      <c r="D307" s="2">
        <v>14633.54322122486</v>
      </c>
      <c r="E307">
        <v>306</v>
      </c>
    </row>
    <row r="308" spans="1:5" x14ac:dyDescent="0.3">
      <c r="A308" t="s">
        <v>674</v>
      </c>
      <c r="B308" t="s">
        <v>675</v>
      </c>
      <c r="C308" t="s">
        <v>676</v>
      </c>
      <c r="D308" s="2">
        <v>14427.53253442676</v>
      </c>
      <c r="E308">
        <v>307</v>
      </c>
    </row>
    <row r="309" spans="1:5" x14ac:dyDescent="0.3">
      <c r="A309" t="s">
        <v>232</v>
      </c>
      <c r="B309" t="s">
        <v>233</v>
      </c>
      <c r="C309" t="s">
        <v>233</v>
      </c>
      <c r="D309" s="2">
        <v>14380.784334163691</v>
      </c>
      <c r="E309">
        <v>308</v>
      </c>
    </row>
    <row r="310" spans="1:5" x14ac:dyDescent="0.3">
      <c r="A310" t="s">
        <v>460</v>
      </c>
      <c r="B310" t="s">
        <v>461</v>
      </c>
      <c r="C310" t="s">
        <v>462</v>
      </c>
      <c r="D310" s="2">
        <v>14367.705483528411</v>
      </c>
      <c r="E310">
        <v>309</v>
      </c>
    </row>
    <row r="311" spans="1:5" x14ac:dyDescent="0.3">
      <c r="A311" t="s">
        <v>830</v>
      </c>
      <c r="B311" t="s">
        <v>831</v>
      </c>
      <c r="C311" t="s">
        <v>837</v>
      </c>
      <c r="D311" s="2">
        <v>14323.05696194017</v>
      </c>
      <c r="E311">
        <v>310</v>
      </c>
    </row>
    <row r="312" spans="1:5" x14ac:dyDescent="0.3">
      <c r="A312" t="s">
        <v>287</v>
      </c>
      <c r="B312" t="s">
        <v>330</v>
      </c>
      <c r="C312" t="s">
        <v>331</v>
      </c>
      <c r="D312" s="2">
        <v>14149.030019189249</v>
      </c>
      <c r="E312">
        <v>311</v>
      </c>
    </row>
    <row r="313" spans="1:5" x14ac:dyDescent="0.3">
      <c r="A313" t="s">
        <v>97</v>
      </c>
      <c r="B313" t="s">
        <v>98</v>
      </c>
      <c r="C313" t="s">
        <v>98</v>
      </c>
      <c r="D313" s="2">
        <v>14122.504604788441</v>
      </c>
      <c r="E313">
        <v>312</v>
      </c>
    </row>
    <row r="314" spans="1:5" x14ac:dyDescent="0.3">
      <c r="A314" t="s">
        <v>191</v>
      </c>
      <c r="B314" t="s">
        <v>211</v>
      </c>
      <c r="C314" t="s">
        <v>211</v>
      </c>
      <c r="D314" s="2">
        <v>14050.985249177949</v>
      </c>
      <c r="E314">
        <v>313</v>
      </c>
    </row>
    <row r="315" spans="1:5" x14ac:dyDescent="0.3">
      <c r="A315" t="s">
        <v>830</v>
      </c>
      <c r="B315" t="s">
        <v>864</v>
      </c>
      <c r="C315" t="s">
        <v>868</v>
      </c>
      <c r="D315" s="2">
        <v>13523.054518966719</v>
      </c>
      <c r="E315">
        <v>314</v>
      </c>
    </row>
    <row r="316" spans="1:5" x14ac:dyDescent="0.3">
      <c r="A316" t="s">
        <v>830</v>
      </c>
      <c r="B316" t="s">
        <v>864</v>
      </c>
      <c r="C316" t="s">
        <v>869</v>
      </c>
      <c r="D316" s="2">
        <v>12795.62708881367</v>
      </c>
      <c r="E316">
        <v>315</v>
      </c>
    </row>
    <row r="317" spans="1:5" x14ac:dyDescent="0.3">
      <c r="A317" t="s">
        <v>990</v>
      </c>
      <c r="B317" t="s">
        <v>991</v>
      </c>
      <c r="C317" t="s">
        <v>994</v>
      </c>
      <c r="D317" s="2">
        <v>12677.488113556101</v>
      </c>
      <c r="E317">
        <v>316</v>
      </c>
    </row>
    <row r="318" spans="1:5" x14ac:dyDescent="0.3">
      <c r="A318" t="s">
        <v>499</v>
      </c>
      <c r="B318" t="s">
        <v>499</v>
      </c>
      <c r="C318" t="s">
        <v>499</v>
      </c>
      <c r="D318" s="2">
        <v>12512.762010218081</v>
      </c>
      <c r="E318">
        <v>317</v>
      </c>
    </row>
    <row r="319" spans="1:5" x14ac:dyDescent="0.3">
      <c r="A319" t="s">
        <v>612</v>
      </c>
      <c r="B319" t="s">
        <v>635</v>
      </c>
      <c r="C319" t="s">
        <v>635</v>
      </c>
      <c r="D319" s="2">
        <v>12506.846430317761</v>
      </c>
      <c r="E319">
        <v>318</v>
      </c>
    </row>
    <row r="320" spans="1:5" x14ac:dyDescent="0.3">
      <c r="A320" t="s">
        <v>191</v>
      </c>
      <c r="B320" t="s">
        <v>192</v>
      </c>
      <c r="C320" t="s">
        <v>194</v>
      </c>
      <c r="D320" s="2">
        <v>12442.59007647641</v>
      </c>
      <c r="E320">
        <v>319</v>
      </c>
    </row>
    <row r="321" spans="1:5" x14ac:dyDescent="0.3">
      <c r="A321" t="s">
        <v>652</v>
      </c>
      <c r="B321" t="s">
        <v>803</v>
      </c>
      <c r="C321" t="s">
        <v>803</v>
      </c>
      <c r="D321" s="2">
        <v>12191.64753146683</v>
      </c>
      <c r="E321">
        <v>320</v>
      </c>
    </row>
    <row r="322" spans="1:5" x14ac:dyDescent="0.3">
      <c r="A322" t="s">
        <v>586</v>
      </c>
      <c r="B322" t="s">
        <v>603</v>
      </c>
      <c r="C322" t="s">
        <v>604</v>
      </c>
      <c r="D322" s="2">
        <v>11808.11294556629</v>
      </c>
      <c r="E322">
        <v>321</v>
      </c>
    </row>
    <row r="323" spans="1:5" x14ac:dyDescent="0.3">
      <c r="A323" t="s">
        <v>191</v>
      </c>
      <c r="B323" t="s">
        <v>227</v>
      </c>
      <c r="C323" t="s">
        <v>229</v>
      </c>
      <c r="D323" s="2">
        <v>11648.887435687609</v>
      </c>
      <c r="E323">
        <v>322</v>
      </c>
    </row>
    <row r="324" spans="1:5" x14ac:dyDescent="0.3">
      <c r="A324" t="s">
        <v>20</v>
      </c>
      <c r="B324" t="s">
        <v>55</v>
      </c>
      <c r="C324" t="s">
        <v>57</v>
      </c>
      <c r="D324" s="2">
        <v>11641.019848075999</v>
      </c>
      <c r="E324">
        <v>323</v>
      </c>
    </row>
    <row r="325" spans="1:5" x14ac:dyDescent="0.3">
      <c r="A325" t="s">
        <v>730</v>
      </c>
      <c r="B325" t="s">
        <v>739</v>
      </c>
      <c r="C325" t="s">
        <v>739</v>
      </c>
      <c r="D325" s="2">
        <v>11122.78632676121</v>
      </c>
      <c r="E325">
        <v>324</v>
      </c>
    </row>
    <row r="326" spans="1:5" x14ac:dyDescent="0.3">
      <c r="A326" t="s">
        <v>922</v>
      </c>
      <c r="B326" t="s">
        <v>956</v>
      </c>
      <c r="C326" t="s">
        <v>957</v>
      </c>
      <c r="D326" s="2">
        <v>10573.56049104205</v>
      </c>
      <c r="E326">
        <v>325</v>
      </c>
    </row>
    <row r="327" spans="1:5" x14ac:dyDescent="0.3">
      <c r="A327" t="s">
        <v>830</v>
      </c>
      <c r="B327" t="s">
        <v>831</v>
      </c>
      <c r="C327" t="s">
        <v>831</v>
      </c>
      <c r="D327" s="2">
        <v>10113.81519169137</v>
      </c>
      <c r="E327">
        <v>326</v>
      </c>
    </row>
    <row r="328" spans="1:5" x14ac:dyDescent="0.3">
      <c r="A328" t="s">
        <v>348</v>
      </c>
      <c r="B328" t="s">
        <v>348</v>
      </c>
      <c r="C328" t="s">
        <v>355</v>
      </c>
      <c r="D328" s="2">
        <v>9937.1800186758592</v>
      </c>
      <c r="E328">
        <v>327</v>
      </c>
    </row>
    <row r="329" spans="1:5" x14ac:dyDescent="0.3">
      <c r="A329" t="s">
        <v>287</v>
      </c>
      <c r="B329" t="s">
        <v>346</v>
      </c>
      <c r="C329" t="s">
        <v>214</v>
      </c>
      <c r="D329" s="2">
        <v>9772.4314061058485</v>
      </c>
      <c r="E329">
        <v>328</v>
      </c>
    </row>
    <row r="330" spans="1:5" x14ac:dyDescent="0.3">
      <c r="A330" t="s">
        <v>652</v>
      </c>
      <c r="B330" t="s">
        <v>809</v>
      </c>
      <c r="C330" t="s">
        <v>810</v>
      </c>
      <c r="D330" s="2">
        <v>9644.6700117824003</v>
      </c>
      <c r="E330">
        <v>329</v>
      </c>
    </row>
    <row r="331" spans="1:5" x14ac:dyDescent="0.3">
      <c r="A331" t="s">
        <v>652</v>
      </c>
      <c r="B331" t="s">
        <v>772</v>
      </c>
      <c r="C331" t="s">
        <v>793</v>
      </c>
      <c r="D331" s="2">
        <v>9475.6001466516209</v>
      </c>
      <c r="E331">
        <v>330</v>
      </c>
    </row>
    <row r="332" spans="1:5" x14ac:dyDescent="0.3">
      <c r="A332" t="s">
        <v>20</v>
      </c>
      <c r="B332" t="s">
        <v>21</v>
      </c>
      <c r="C332" t="s">
        <v>34</v>
      </c>
      <c r="D332" s="2">
        <v>9384.7087348270725</v>
      </c>
      <c r="E332">
        <v>331</v>
      </c>
    </row>
    <row r="333" spans="1:5" x14ac:dyDescent="0.3">
      <c r="A333" t="s">
        <v>652</v>
      </c>
      <c r="B333" t="s">
        <v>822</v>
      </c>
      <c r="C333" t="s">
        <v>824</v>
      </c>
      <c r="D333" s="2">
        <v>9197.8129816562378</v>
      </c>
      <c r="E333">
        <v>332</v>
      </c>
    </row>
    <row r="334" spans="1:5" x14ac:dyDescent="0.3">
      <c r="A334" t="s">
        <v>830</v>
      </c>
      <c r="B334" t="s">
        <v>855</v>
      </c>
      <c r="C334" t="s">
        <v>855</v>
      </c>
      <c r="D334" s="2">
        <v>8737.4991749067067</v>
      </c>
      <c r="E334">
        <v>333</v>
      </c>
    </row>
    <row r="335" spans="1:5" x14ac:dyDescent="0.3">
      <c r="A335" t="s">
        <v>830</v>
      </c>
      <c r="B335" t="s">
        <v>831</v>
      </c>
      <c r="C335" t="s">
        <v>841</v>
      </c>
      <c r="D335" s="2">
        <v>8466.9147955691806</v>
      </c>
      <c r="E335">
        <v>334</v>
      </c>
    </row>
    <row r="336" spans="1:5" x14ac:dyDescent="0.3">
      <c r="A336" t="s">
        <v>406</v>
      </c>
      <c r="B336" t="s">
        <v>429</v>
      </c>
      <c r="C336" t="s">
        <v>429</v>
      </c>
      <c r="D336" s="2">
        <v>8295.6025251912979</v>
      </c>
      <c r="E336">
        <v>335</v>
      </c>
    </row>
    <row r="337" spans="1:5" x14ac:dyDescent="0.3">
      <c r="A337" t="s">
        <v>830</v>
      </c>
      <c r="B337" t="s">
        <v>872</v>
      </c>
      <c r="C337" t="s">
        <v>872</v>
      </c>
      <c r="D337" s="2">
        <v>8221.9635929919568</v>
      </c>
      <c r="E337">
        <v>336</v>
      </c>
    </row>
    <row r="338" spans="1:5" x14ac:dyDescent="0.3">
      <c r="A338" t="s">
        <v>874</v>
      </c>
      <c r="B338" t="s">
        <v>875</v>
      </c>
      <c r="C338" t="s">
        <v>875</v>
      </c>
      <c r="D338" s="2">
        <v>8091.6599928842443</v>
      </c>
      <c r="E338">
        <v>337</v>
      </c>
    </row>
    <row r="339" spans="1:5" x14ac:dyDescent="0.3">
      <c r="A339" t="s">
        <v>20</v>
      </c>
      <c r="B339" t="s">
        <v>82</v>
      </c>
      <c r="C339" t="s">
        <v>84</v>
      </c>
      <c r="D339" s="2">
        <v>8031.6542317205458</v>
      </c>
      <c r="E339">
        <v>338</v>
      </c>
    </row>
    <row r="340" spans="1:5" x14ac:dyDescent="0.3">
      <c r="A340" t="s">
        <v>406</v>
      </c>
      <c r="B340" t="s">
        <v>423</v>
      </c>
      <c r="C340" t="s">
        <v>424</v>
      </c>
      <c r="D340" s="2">
        <v>8008.1856598957665</v>
      </c>
      <c r="E340">
        <v>339</v>
      </c>
    </row>
    <row r="341" spans="1:5" x14ac:dyDescent="0.3">
      <c r="A341" t="s">
        <v>232</v>
      </c>
      <c r="B341" t="s">
        <v>233</v>
      </c>
      <c r="C341" t="s">
        <v>239</v>
      </c>
      <c r="D341" s="2">
        <v>7510.6386944319211</v>
      </c>
      <c r="E341">
        <v>340</v>
      </c>
    </row>
    <row r="342" spans="1:5" x14ac:dyDescent="0.3">
      <c r="A342" t="s">
        <v>612</v>
      </c>
      <c r="B342" t="s">
        <v>97</v>
      </c>
      <c r="C342" t="s">
        <v>478</v>
      </c>
      <c r="D342" s="2">
        <v>7445.7801721401966</v>
      </c>
      <c r="E342">
        <v>341</v>
      </c>
    </row>
    <row r="343" spans="1:5" x14ac:dyDescent="0.3">
      <c r="A343" t="s">
        <v>612</v>
      </c>
      <c r="B343" t="s">
        <v>672</v>
      </c>
      <c r="C343" t="s">
        <v>672</v>
      </c>
      <c r="D343" s="2">
        <v>6687.4586019890139</v>
      </c>
      <c r="E343">
        <v>342</v>
      </c>
    </row>
    <row r="344" spans="1:5" x14ac:dyDescent="0.3">
      <c r="A344" t="s">
        <v>406</v>
      </c>
      <c r="B344" t="s">
        <v>407</v>
      </c>
      <c r="C344" t="s">
        <v>411</v>
      </c>
      <c r="D344" s="2">
        <v>6419.0963492294732</v>
      </c>
      <c r="E344">
        <v>343</v>
      </c>
    </row>
    <row r="345" spans="1:5" x14ac:dyDescent="0.3">
      <c r="A345" t="s">
        <v>20</v>
      </c>
      <c r="B345" t="s">
        <v>21</v>
      </c>
      <c r="C345" t="s">
        <v>22</v>
      </c>
      <c r="D345" s="2">
        <v>6406.6923968802839</v>
      </c>
      <c r="E345">
        <v>344</v>
      </c>
    </row>
    <row r="346" spans="1:5" x14ac:dyDescent="0.3">
      <c r="A346" t="s">
        <v>612</v>
      </c>
      <c r="B346" t="s">
        <v>645</v>
      </c>
      <c r="C346" t="s">
        <v>646</v>
      </c>
      <c r="D346" s="2">
        <v>6365.9031354942481</v>
      </c>
      <c r="E346">
        <v>345</v>
      </c>
    </row>
    <row r="347" spans="1:5" x14ac:dyDescent="0.3">
      <c r="A347" t="s">
        <v>20</v>
      </c>
      <c r="B347" t="s">
        <v>71</v>
      </c>
      <c r="C347" t="s">
        <v>72</v>
      </c>
      <c r="D347" s="2">
        <v>6297.2781387741989</v>
      </c>
      <c r="E347">
        <v>346</v>
      </c>
    </row>
    <row r="348" spans="1:5" x14ac:dyDescent="0.3">
      <c r="A348" t="s">
        <v>406</v>
      </c>
      <c r="B348" t="s">
        <v>446</v>
      </c>
      <c r="C348" t="s">
        <v>446</v>
      </c>
      <c r="D348" s="2">
        <v>6150.1801018014758</v>
      </c>
      <c r="E348">
        <v>347</v>
      </c>
    </row>
    <row r="349" spans="1:5" x14ac:dyDescent="0.3">
      <c r="A349" t="s">
        <v>232</v>
      </c>
      <c r="B349" t="s">
        <v>278</v>
      </c>
      <c r="C349" t="s">
        <v>278</v>
      </c>
      <c r="D349" s="2">
        <v>6120.7786549148559</v>
      </c>
      <c r="E349">
        <v>348</v>
      </c>
    </row>
    <row r="350" spans="1:5" x14ac:dyDescent="0.3">
      <c r="A350" t="s">
        <v>460</v>
      </c>
      <c r="B350" t="s">
        <v>473</v>
      </c>
      <c r="C350" t="s">
        <v>475</v>
      </c>
      <c r="D350" s="2">
        <v>6118.0288923978624</v>
      </c>
      <c r="E350">
        <v>349</v>
      </c>
    </row>
    <row r="351" spans="1:5" x14ac:dyDescent="0.3">
      <c r="A351" t="s">
        <v>20</v>
      </c>
      <c r="B351" t="s">
        <v>21</v>
      </c>
      <c r="C351" t="s">
        <v>36</v>
      </c>
      <c r="D351" s="2">
        <v>6012.4534718843961</v>
      </c>
      <c r="E351">
        <v>350</v>
      </c>
    </row>
    <row r="352" spans="1:5" x14ac:dyDescent="0.3">
      <c r="A352" t="s">
        <v>674</v>
      </c>
      <c r="B352" t="s">
        <v>709</v>
      </c>
      <c r="C352" t="s">
        <v>709</v>
      </c>
      <c r="D352" s="2">
        <v>5838.891379421133</v>
      </c>
      <c r="E352">
        <v>351</v>
      </c>
    </row>
    <row r="353" spans="1:5" x14ac:dyDescent="0.3">
      <c r="A353" t="s">
        <v>191</v>
      </c>
      <c r="B353" t="s">
        <v>192</v>
      </c>
      <c r="C353" t="s">
        <v>193</v>
      </c>
      <c r="D353" s="2">
        <v>5719.8460389285428</v>
      </c>
      <c r="E353">
        <v>352</v>
      </c>
    </row>
    <row r="354" spans="1:5" x14ac:dyDescent="0.3">
      <c r="A354" t="s">
        <v>348</v>
      </c>
      <c r="B354" t="s">
        <v>102</v>
      </c>
      <c r="C354" t="s">
        <v>102</v>
      </c>
      <c r="D354" s="2">
        <v>5617.1701207674814</v>
      </c>
      <c r="E354">
        <v>353</v>
      </c>
    </row>
    <row r="355" spans="1:5" x14ac:dyDescent="0.3">
      <c r="A355" t="s">
        <v>612</v>
      </c>
      <c r="B355" t="s">
        <v>35</v>
      </c>
      <c r="C355" t="s">
        <v>654</v>
      </c>
      <c r="D355" s="2">
        <v>5268.0473894643164</v>
      </c>
      <c r="E355">
        <v>354</v>
      </c>
    </row>
    <row r="356" spans="1:5" x14ac:dyDescent="0.3">
      <c r="A356" t="s">
        <v>730</v>
      </c>
      <c r="B356" t="s">
        <v>743</v>
      </c>
      <c r="C356" t="s">
        <v>744</v>
      </c>
      <c r="D356" s="2">
        <v>5061.9956614408493</v>
      </c>
      <c r="E356">
        <v>355</v>
      </c>
    </row>
    <row r="357" spans="1:5" x14ac:dyDescent="0.3">
      <c r="A357" t="s">
        <v>612</v>
      </c>
      <c r="B357" t="s">
        <v>643</v>
      </c>
      <c r="C357" t="s">
        <v>102</v>
      </c>
      <c r="D357" s="2">
        <v>4976.4418618313703</v>
      </c>
      <c r="E357">
        <v>356</v>
      </c>
    </row>
    <row r="358" spans="1:5" x14ac:dyDescent="0.3">
      <c r="A358" t="s">
        <v>499</v>
      </c>
      <c r="B358" t="s">
        <v>522</v>
      </c>
      <c r="C358" t="s">
        <v>522</v>
      </c>
      <c r="D358" s="2">
        <v>4882.719383913015</v>
      </c>
      <c r="E358">
        <v>357</v>
      </c>
    </row>
    <row r="359" spans="1:5" x14ac:dyDescent="0.3">
      <c r="A359" t="s">
        <v>652</v>
      </c>
      <c r="B359" t="s">
        <v>772</v>
      </c>
      <c r="C359" t="s">
        <v>794</v>
      </c>
      <c r="D359" s="2">
        <v>4875.8612381002786</v>
      </c>
      <c r="E359">
        <v>358</v>
      </c>
    </row>
    <row r="360" spans="1:5" x14ac:dyDescent="0.3">
      <c r="A360" t="s">
        <v>191</v>
      </c>
      <c r="B360" t="s">
        <v>192</v>
      </c>
      <c r="C360" t="s">
        <v>199</v>
      </c>
      <c r="D360" s="2">
        <v>4863.6296277487027</v>
      </c>
      <c r="E360">
        <v>359</v>
      </c>
    </row>
    <row r="361" spans="1:5" x14ac:dyDescent="0.3">
      <c r="A361" t="s">
        <v>20</v>
      </c>
      <c r="B361" t="s">
        <v>43</v>
      </c>
      <c r="C361" t="s">
        <v>43</v>
      </c>
      <c r="D361" s="2">
        <v>4808.0093762407232</v>
      </c>
      <c r="E361">
        <v>360</v>
      </c>
    </row>
    <row r="362" spans="1:5" x14ac:dyDescent="0.3">
      <c r="A362" t="s">
        <v>348</v>
      </c>
      <c r="B362" t="s">
        <v>380</v>
      </c>
      <c r="C362" t="s">
        <v>381</v>
      </c>
      <c r="D362" s="2">
        <v>4796.2897768721059</v>
      </c>
      <c r="E362">
        <v>361</v>
      </c>
    </row>
    <row r="363" spans="1:5" x14ac:dyDescent="0.3">
      <c r="A363" t="s">
        <v>652</v>
      </c>
      <c r="B363" t="s">
        <v>772</v>
      </c>
      <c r="C363" t="s">
        <v>775</v>
      </c>
      <c r="D363" s="2">
        <v>4509.3027933823114</v>
      </c>
      <c r="E363">
        <v>362</v>
      </c>
    </row>
    <row r="364" spans="1:5" x14ac:dyDescent="0.3">
      <c r="A364" t="s">
        <v>586</v>
      </c>
      <c r="B364" t="s">
        <v>606</v>
      </c>
      <c r="C364" t="s">
        <v>607</v>
      </c>
      <c r="D364" s="2">
        <v>4362.8254591803252</v>
      </c>
      <c r="E364">
        <v>363</v>
      </c>
    </row>
    <row r="365" spans="1:5" x14ac:dyDescent="0.3">
      <c r="A365" t="s">
        <v>922</v>
      </c>
      <c r="B365" t="s">
        <v>931</v>
      </c>
      <c r="C365" t="s">
        <v>933</v>
      </c>
      <c r="D365" s="2">
        <v>4120.969556336162</v>
      </c>
      <c r="E365">
        <v>364</v>
      </c>
    </row>
    <row r="366" spans="1:5" x14ac:dyDescent="0.3">
      <c r="A366" t="s">
        <v>959</v>
      </c>
      <c r="B366" t="s">
        <v>984</v>
      </c>
      <c r="C366" t="s">
        <v>985</v>
      </c>
      <c r="D366" s="2">
        <v>4091.7266712816918</v>
      </c>
      <c r="E366">
        <v>365</v>
      </c>
    </row>
    <row r="367" spans="1:5" x14ac:dyDescent="0.3">
      <c r="A367" t="s">
        <v>959</v>
      </c>
      <c r="B367" t="s">
        <v>971</v>
      </c>
      <c r="C367" t="s">
        <v>972</v>
      </c>
      <c r="D367" s="2">
        <v>3963.9108391273662</v>
      </c>
      <c r="E367">
        <v>366</v>
      </c>
    </row>
    <row r="368" spans="1:5" x14ac:dyDescent="0.3">
      <c r="A368" t="s">
        <v>191</v>
      </c>
      <c r="B368" t="s">
        <v>192</v>
      </c>
      <c r="C368" t="s">
        <v>192</v>
      </c>
      <c r="D368" s="2">
        <v>3806.4345369211351</v>
      </c>
      <c r="E368">
        <v>367</v>
      </c>
    </row>
    <row r="369" spans="1:5" x14ac:dyDescent="0.3">
      <c r="A369" t="s">
        <v>830</v>
      </c>
      <c r="B369" t="s">
        <v>846</v>
      </c>
      <c r="C369" t="s">
        <v>22</v>
      </c>
      <c r="D369" s="2">
        <v>3799.5587214950701</v>
      </c>
      <c r="E369">
        <v>368</v>
      </c>
    </row>
    <row r="370" spans="1:5" x14ac:dyDescent="0.3">
      <c r="A370" t="s">
        <v>406</v>
      </c>
      <c r="B370" t="s">
        <v>373</v>
      </c>
      <c r="C370" t="s">
        <v>421</v>
      </c>
      <c r="D370" s="2">
        <v>3553.9124590040801</v>
      </c>
      <c r="E370">
        <v>369</v>
      </c>
    </row>
    <row r="371" spans="1:5" x14ac:dyDescent="0.3">
      <c r="A371" t="s">
        <v>830</v>
      </c>
      <c r="B371" t="s">
        <v>857</v>
      </c>
      <c r="C371" t="s">
        <v>861</v>
      </c>
      <c r="D371" s="2">
        <v>3464.097110754019</v>
      </c>
      <c r="E371">
        <v>370</v>
      </c>
    </row>
    <row r="372" spans="1:5" x14ac:dyDescent="0.3">
      <c r="A372" t="s">
        <v>406</v>
      </c>
      <c r="B372" t="s">
        <v>455</v>
      </c>
      <c r="C372" t="s">
        <v>456</v>
      </c>
      <c r="D372" s="2">
        <v>3021.769847877169</v>
      </c>
      <c r="E372">
        <v>371</v>
      </c>
    </row>
    <row r="373" spans="1:5" x14ac:dyDescent="0.3">
      <c r="A373" t="s">
        <v>922</v>
      </c>
      <c r="B373" t="s">
        <v>931</v>
      </c>
      <c r="C373" t="s">
        <v>932</v>
      </c>
      <c r="D373" s="2">
        <v>2988.4019547933872</v>
      </c>
      <c r="E373">
        <v>372</v>
      </c>
    </row>
    <row r="374" spans="1:5" x14ac:dyDescent="0.3">
      <c r="A374" t="s">
        <v>586</v>
      </c>
      <c r="B374" t="s">
        <v>610</v>
      </c>
      <c r="C374" t="s">
        <v>610</v>
      </c>
      <c r="D374" s="2">
        <v>2945.178854100197</v>
      </c>
      <c r="E374">
        <v>373</v>
      </c>
    </row>
    <row r="375" spans="1:5" x14ac:dyDescent="0.3">
      <c r="A375" t="s">
        <v>232</v>
      </c>
      <c r="B375" t="s">
        <v>233</v>
      </c>
      <c r="C375" t="s">
        <v>242</v>
      </c>
      <c r="D375" s="2">
        <v>2822.9207304557272</v>
      </c>
      <c r="E375">
        <v>374</v>
      </c>
    </row>
    <row r="376" spans="1:5" x14ac:dyDescent="0.3">
      <c r="A376" t="s">
        <v>612</v>
      </c>
      <c r="B376" t="s">
        <v>613</v>
      </c>
      <c r="C376" t="s">
        <v>615</v>
      </c>
      <c r="D376" s="2">
        <v>2802.9195477394578</v>
      </c>
      <c r="E376">
        <v>375</v>
      </c>
    </row>
    <row r="377" spans="1:5" x14ac:dyDescent="0.3">
      <c r="A377" t="s">
        <v>652</v>
      </c>
      <c r="B377" t="s">
        <v>809</v>
      </c>
      <c r="C377" t="s">
        <v>816</v>
      </c>
      <c r="D377" s="2">
        <v>2770.1419149221169</v>
      </c>
      <c r="E377">
        <v>376</v>
      </c>
    </row>
    <row r="378" spans="1:5" x14ac:dyDescent="0.3">
      <c r="A378" t="s">
        <v>460</v>
      </c>
      <c r="B378" t="s">
        <v>473</v>
      </c>
      <c r="C378" t="s">
        <v>167</v>
      </c>
      <c r="D378" s="2">
        <v>2768.6480822772951</v>
      </c>
      <c r="E378">
        <v>377</v>
      </c>
    </row>
    <row r="379" spans="1:5" x14ac:dyDescent="0.3">
      <c r="A379" t="s">
        <v>191</v>
      </c>
      <c r="B379" t="s">
        <v>211</v>
      </c>
      <c r="C379" t="s">
        <v>217</v>
      </c>
      <c r="D379" s="2">
        <v>2586.7112276805642</v>
      </c>
      <c r="E379">
        <v>378</v>
      </c>
    </row>
    <row r="380" spans="1:5" x14ac:dyDescent="0.3">
      <c r="A380" t="s">
        <v>652</v>
      </c>
      <c r="B380" t="s">
        <v>809</v>
      </c>
      <c r="C380" t="s">
        <v>394</v>
      </c>
      <c r="D380" s="2">
        <v>2450.0969396179639</v>
      </c>
      <c r="E380">
        <v>379</v>
      </c>
    </row>
    <row r="381" spans="1:5" x14ac:dyDescent="0.3">
      <c r="A381" t="s">
        <v>586</v>
      </c>
      <c r="B381" t="s">
        <v>587</v>
      </c>
      <c r="C381" t="s">
        <v>590</v>
      </c>
      <c r="D381" s="2">
        <v>2447.2480628791068</v>
      </c>
      <c r="E381">
        <v>380</v>
      </c>
    </row>
    <row r="382" spans="1:5" x14ac:dyDescent="0.3">
      <c r="A382" t="s">
        <v>730</v>
      </c>
      <c r="B382" t="s">
        <v>731</v>
      </c>
      <c r="C382" t="s">
        <v>736</v>
      </c>
      <c r="D382" s="2">
        <v>2443.2791322317162</v>
      </c>
      <c r="E382">
        <v>381</v>
      </c>
    </row>
    <row r="383" spans="1:5" x14ac:dyDescent="0.3">
      <c r="A383" t="s">
        <v>612</v>
      </c>
      <c r="B383" t="s">
        <v>635</v>
      </c>
      <c r="C383" t="s">
        <v>641</v>
      </c>
      <c r="D383" s="2">
        <v>2300.3561291830142</v>
      </c>
      <c r="E383">
        <v>382</v>
      </c>
    </row>
    <row r="384" spans="1:5" x14ac:dyDescent="0.3">
      <c r="A384" t="s">
        <v>191</v>
      </c>
      <c r="B384" t="s">
        <v>192</v>
      </c>
      <c r="C384" t="s">
        <v>197</v>
      </c>
      <c r="D384" s="2">
        <v>2230.3467404248031</v>
      </c>
      <c r="E384">
        <v>383</v>
      </c>
    </row>
    <row r="385" spans="1:5" x14ac:dyDescent="0.3">
      <c r="A385" t="s">
        <v>612</v>
      </c>
      <c r="B385" t="s">
        <v>652</v>
      </c>
      <c r="C385" t="s">
        <v>652</v>
      </c>
      <c r="D385" s="2">
        <v>2204.4300924690001</v>
      </c>
      <c r="E385">
        <v>384</v>
      </c>
    </row>
    <row r="386" spans="1:5" x14ac:dyDescent="0.3">
      <c r="A386" t="s">
        <v>940</v>
      </c>
      <c r="B386" t="s">
        <v>940</v>
      </c>
      <c r="C386" t="s">
        <v>1006</v>
      </c>
      <c r="D386" s="2">
        <v>1938.5715925957579</v>
      </c>
      <c r="E386">
        <v>385</v>
      </c>
    </row>
    <row r="387" spans="1:5" x14ac:dyDescent="0.3">
      <c r="A387" t="s">
        <v>156</v>
      </c>
      <c r="B387" t="s">
        <v>157</v>
      </c>
      <c r="C387" t="s">
        <v>157</v>
      </c>
      <c r="D387" s="2">
        <v>1869.27798129332</v>
      </c>
      <c r="E387">
        <v>386</v>
      </c>
    </row>
    <row r="388" spans="1:5" x14ac:dyDescent="0.3">
      <c r="A388" t="s">
        <v>586</v>
      </c>
      <c r="B388" t="s">
        <v>597</v>
      </c>
      <c r="C388" t="s">
        <v>597</v>
      </c>
      <c r="D388" s="2">
        <v>1854.5817741233</v>
      </c>
      <c r="E388">
        <v>387</v>
      </c>
    </row>
    <row r="389" spans="1:5" x14ac:dyDescent="0.3">
      <c r="A389" t="s">
        <v>232</v>
      </c>
      <c r="B389" t="s">
        <v>244</v>
      </c>
      <c r="C389" t="s">
        <v>245</v>
      </c>
      <c r="D389" s="2">
        <v>1821.1212071980899</v>
      </c>
      <c r="E389">
        <v>388</v>
      </c>
    </row>
    <row r="390" spans="1:5" x14ac:dyDescent="0.3">
      <c r="A390" t="s">
        <v>612</v>
      </c>
      <c r="B390" t="s">
        <v>35</v>
      </c>
      <c r="C390" t="s">
        <v>142</v>
      </c>
      <c r="D390" s="2">
        <v>1790.107191710448</v>
      </c>
      <c r="E390">
        <v>389</v>
      </c>
    </row>
    <row r="391" spans="1:5" x14ac:dyDescent="0.3">
      <c r="A391" t="s">
        <v>612</v>
      </c>
      <c r="B391" t="s">
        <v>627</v>
      </c>
      <c r="C391" t="s">
        <v>627</v>
      </c>
      <c r="D391" s="2">
        <v>1593.7866855484181</v>
      </c>
      <c r="E391">
        <v>390</v>
      </c>
    </row>
    <row r="392" spans="1:5" x14ac:dyDescent="0.3">
      <c r="A392" t="s">
        <v>612</v>
      </c>
      <c r="B392" t="s">
        <v>643</v>
      </c>
      <c r="C392" t="s">
        <v>643</v>
      </c>
      <c r="D392" s="2">
        <v>1509.5666349041121</v>
      </c>
      <c r="E392">
        <v>391</v>
      </c>
    </row>
    <row r="393" spans="1:5" x14ac:dyDescent="0.3">
      <c r="A393" t="s">
        <v>730</v>
      </c>
      <c r="B393" t="s">
        <v>743</v>
      </c>
      <c r="C393" t="s">
        <v>330</v>
      </c>
      <c r="D393" s="2">
        <v>1470.481087792768</v>
      </c>
      <c r="E393">
        <v>392</v>
      </c>
    </row>
    <row r="394" spans="1:5" x14ac:dyDescent="0.3">
      <c r="A394" t="s">
        <v>499</v>
      </c>
      <c r="B394" t="s">
        <v>499</v>
      </c>
      <c r="C394" t="s">
        <v>509</v>
      </c>
      <c r="D394" s="2">
        <v>1285.0090084610929</v>
      </c>
      <c r="E394">
        <v>393</v>
      </c>
    </row>
    <row r="395" spans="1:5" x14ac:dyDescent="0.3">
      <c r="A395" t="s">
        <v>652</v>
      </c>
      <c r="B395" t="s">
        <v>803</v>
      </c>
      <c r="C395" t="s">
        <v>808</v>
      </c>
      <c r="D395" s="2">
        <v>1192.202244388212</v>
      </c>
      <c r="E395">
        <v>394</v>
      </c>
    </row>
    <row r="396" spans="1:5" x14ac:dyDescent="0.3">
      <c r="A396" t="s">
        <v>612</v>
      </c>
      <c r="B396" t="s">
        <v>97</v>
      </c>
      <c r="C396" t="s">
        <v>620</v>
      </c>
      <c r="D396" s="2">
        <v>1064.9969747138041</v>
      </c>
      <c r="E396">
        <v>395</v>
      </c>
    </row>
    <row r="397" spans="1:5" x14ac:dyDescent="0.3">
      <c r="A397" t="s">
        <v>287</v>
      </c>
      <c r="B397" t="s">
        <v>309</v>
      </c>
      <c r="C397" t="s">
        <v>309</v>
      </c>
      <c r="D397" s="2">
        <v>1042.9081158388681</v>
      </c>
      <c r="E397">
        <v>396</v>
      </c>
    </row>
    <row r="398" spans="1:5" x14ac:dyDescent="0.3">
      <c r="A398" t="s">
        <v>959</v>
      </c>
      <c r="B398" t="s">
        <v>960</v>
      </c>
      <c r="C398" t="s">
        <v>961</v>
      </c>
      <c r="D398" s="2">
        <v>1033.567417239741</v>
      </c>
      <c r="E398">
        <v>397</v>
      </c>
    </row>
    <row r="399" spans="1:5" x14ac:dyDescent="0.3">
      <c r="A399" t="s">
        <v>499</v>
      </c>
      <c r="B399" t="s">
        <v>512</v>
      </c>
      <c r="C399" t="s">
        <v>513</v>
      </c>
      <c r="D399" s="2">
        <v>999.86995473729962</v>
      </c>
      <c r="E399">
        <v>398</v>
      </c>
    </row>
    <row r="400" spans="1:5" x14ac:dyDescent="0.3">
      <c r="A400" t="s">
        <v>612</v>
      </c>
      <c r="B400" t="s">
        <v>584</v>
      </c>
      <c r="C400" t="s">
        <v>584</v>
      </c>
      <c r="D400" s="2">
        <v>945.88958126511079</v>
      </c>
      <c r="E400">
        <v>399</v>
      </c>
    </row>
    <row r="401" spans="1:5" x14ac:dyDescent="0.3">
      <c r="A401" t="s">
        <v>652</v>
      </c>
      <c r="B401" t="s">
        <v>772</v>
      </c>
      <c r="C401" t="s">
        <v>773</v>
      </c>
      <c r="D401" s="2">
        <v>944.07833585930337</v>
      </c>
      <c r="E401">
        <v>400</v>
      </c>
    </row>
    <row r="402" spans="1:5" x14ac:dyDescent="0.3">
      <c r="A402" t="s">
        <v>348</v>
      </c>
      <c r="B402" t="s">
        <v>348</v>
      </c>
      <c r="C402" t="s">
        <v>356</v>
      </c>
      <c r="D402" s="2">
        <v>922.35949883333001</v>
      </c>
      <c r="E402">
        <v>401</v>
      </c>
    </row>
    <row r="403" spans="1:5" x14ac:dyDescent="0.3">
      <c r="A403" t="s">
        <v>348</v>
      </c>
      <c r="B403" t="s">
        <v>348</v>
      </c>
      <c r="C403" t="s">
        <v>348</v>
      </c>
      <c r="D403" s="2">
        <v>895.02249356130233</v>
      </c>
      <c r="E403">
        <v>402</v>
      </c>
    </row>
    <row r="404" spans="1:5" s="3" customFormat="1" x14ac:dyDescent="0.3">
      <c r="A404" s="3" t="s">
        <v>406</v>
      </c>
      <c r="B404" s="3" t="s">
        <v>407</v>
      </c>
      <c r="C404" s="3" t="s">
        <v>407</v>
      </c>
      <c r="D404" s="4">
        <v>887.62490296324927</v>
      </c>
      <c r="E404">
        <v>403</v>
      </c>
    </row>
    <row r="405" spans="1:5" x14ac:dyDescent="0.3">
      <c r="A405" t="s">
        <v>612</v>
      </c>
      <c r="B405" t="s">
        <v>656</v>
      </c>
      <c r="C405" t="s">
        <v>658</v>
      </c>
      <c r="D405" s="2">
        <v>805.49055642965197</v>
      </c>
      <c r="E405">
        <v>404</v>
      </c>
    </row>
    <row r="406" spans="1:5" x14ac:dyDescent="0.3">
      <c r="A406" t="s">
        <v>612</v>
      </c>
      <c r="B406" t="s">
        <v>656</v>
      </c>
      <c r="C406" t="s">
        <v>657</v>
      </c>
      <c r="D406" s="2">
        <v>775.7065662036772</v>
      </c>
      <c r="E406">
        <v>405</v>
      </c>
    </row>
    <row r="407" spans="1:5" x14ac:dyDescent="0.3">
      <c r="A407" t="s">
        <v>348</v>
      </c>
      <c r="B407" t="s">
        <v>396</v>
      </c>
      <c r="C407" t="s">
        <v>396</v>
      </c>
      <c r="D407" s="2">
        <v>736.7328398030013</v>
      </c>
      <c r="E407">
        <v>406</v>
      </c>
    </row>
    <row r="408" spans="1:5" x14ac:dyDescent="0.3">
      <c r="A408" t="s">
        <v>348</v>
      </c>
      <c r="B408" t="s">
        <v>372</v>
      </c>
      <c r="C408" t="s">
        <v>377</v>
      </c>
      <c r="D408" s="2">
        <v>632.35442319772778</v>
      </c>
      <c r="E408">
        <v>407</v>
      </c>
    </row>
    <row r="409" spans="1:5" x14ac:dyDescent="0.3">
      <c r="A409" t="s">
        <v>612</v>
      </c>
      <c r="B409" t="s">
        <v>645</v>
      </c>
      <c r="C409" t="s">
        <v>645</v>
      </c>
      <c r="D409" s="2">
        <v>611.52642391111851</v>
      </c>
      <c r="E409">
        <v>408</v>
      </c>
    </row>
    <row r="410" spans="1:5" x14ac:dyDescent="0.3">
      <c r="A410" t="s">
        <v>612</v>
      </c>
      <c r="B410" t="s">
        <v>632</v>
      </c>
      <c r="C410" t="s">
        <v>632</v>
      </c>
      <c r="D410" s="2">
        <v>495.12688134016872</v>
      </c>
      <c r="E410">
        <v>409</v>
      </c>
    </row>
    <row r="411" spans="1:5" x14ac:dyDescent="0.3">
      <c r="A411" t="s">
        <v>348</v>
      </c>
      <c r="B411" t="s">
        <v>372</v>
      </c>
      <c r="C411" t="s">
        <v>372</v>
      </c>
      <c r="D411" s="2">
        <v>385.57607004731727</v>
      </c>
      <c r="E411">
        <v>410</v>
      </c>
    </row>
    <row r="412" spans="1:5" x14ac:dyDescent="0.3">
      <c r="A412" t="s">
        <v>612</v>
      </c>
      <c r="B412" t="s">
        <v>405</v>
      </c>
      <c r="C412" t="s">
        <v>405</v>
      </c>
      <c r="D412" s="2">
        <v>356.11028136226571</v>
      </c>
      <c r="E412">
        <v>411</v>
      </c>
    </row>
    <row r="413" spans="1:5" x14ac:dyDescent="0.3">
      <c r="A413" t="s">
        <v>232</v>
      </c>
      <c r="B413" t="s">
        <v>244</v>
      </c>
      <c r="C413" t="s">
        <v>253</v>
      </c>
      <c r="D413" s="2">
        <v>341.31491655755968</v>
      </c>
      <c r="E413">
        <v>412</v>
      </c>
    </row>
    <row r="414" spans="1:5" x14ac:dyDescent="0.3">
      <c r="A414" t="s">
        <v>612</v>
      </c>
      <c r="B414" t="s">
        <v>613</v>
      </c>
      <c r="C414" t="s">
        <v>613</v>
      </c>
      <c r="D414" s="2">
        <v>335.03982179628298</v>
      </c>
      <c r="E414">
        <v>413</v>
      </c>
    </row>
    <row r="415" spans="1:5" x14ac:dyDescent="0.3">
      <c r="A415" t="s">
        <v>612</v>
      </c>
      <c r="B415" t="s">
        <v>613</v>
      </c>
      <c r="C415" t="s">
        <v>72</v>
      </c>
      <c r="D415" s="2">
        <v>334.97282241887319</v>
      </c>
      <c r="E415">
        <v>414</v>
      </c>
    </row>
    <row r="416" spans="1:5" x14ac:dyDescent="0.3">
      <c r="A416" t="s">
        <v>612</v>
      </c>
      <c r="B416" t="s">
        <v>613</v>
      </c>
      <c r="C416" t="s">
        <v>618</v>
      </c>
      <c r="D416" s="2">
        <v>301.32123834119682</v>
      </c>
      <c r="E416">
        <v>415</v>
      </c>
    </row>
    <row r="417" spans="1:5" x14ac:dyDescent="0.3">
      <c r="A417" t="s">
        <v>191</v>
      </c>
      <c r="B417" t="s">
        <v>192</v>
      </c>
      <c r="C417" t="s">
        <v>196</v>
      </c>
      <c r="D417" s="2">
        <v>280.90655706961428</v>
      </c>
      <c r="E417">
        <v>416</v>
      </c>
    </row>
    <row r="418" spans="1:5" x14ac:dyDescent="0.3">
      <c r="A418" t="s">
        <v>652</v>
      </c>
      <c r="B418" t="s">
        <v>829</v>
      </c>
      <c r="C418" t="s">
        <v>829</v>
      </c>
      <c r="D418" s="2">
        <v>235.77457795932631</v>
      </c>
      <c r="E418">
        <v>417</v>
      </c>
    </row>
    <row r="419" spans="1:5" x14ac:dyDescent="0.3">
      <c r="A419" t="s">
        <v>612</v>
      </c>
      <c r="B419" t="s">
        <v>671</v>
      </c>
      <c r="C419" t="s">
        <v>671</v>
      </c>
      <c r="D419" s="2">
        <v>175.32829698544131</v>
      </c>
      <c r="E419">
        <v>418</v>
      </c>
    </row>
    <row r="420" spans="1:5" x14ac:dyDescent="0.3">
      <c r="A420" t="s">
        <v>612</v>
      </c>
      <c r="B420" t="s">
        <v>622</v>
      </c>
      <c r="C420" t="s">
        <v>624</v>
      </c>
      <c r="D420" s="2">
        <v>174.23715781930301</v>
      </c>
      <c r="E420">
        <v>419</v>
      </c>
    </row>
    <row r="421" spans="1:5" x14ac:dyDescent="0.3">
      <c r="A421" t="s">
        <v>612</v>
      </c>
      <c r="B421" t="s">
        <v>665</v>
      </c>
      <c r="C421" t="s">
        <v>667</v>
      </c>
      <c r="D421" s="2">
        <v>160.6619245858825</v>
      </c>
      <c r="E421">
        <v>420</v>
      </c>
    </row>
    <row r="422" spans="1:5" x14ac:dyDescent="0.3">
      <c r="A422" t="s">
        <v>612</v>
      </c>
      <c r="B422" t="s">
        <v>659</v>
      </c>
      <c r="C422" t="s">
        <v>659</v>
      </c>
      <c r="D422" s="2">
        <v>155.9002433483044</v>
      </c>
      <c r="E422">
        <v>421</v>
      </c>
    </row>
    <row r="423" spans="1:5" x14ac:dyDescent="0.3">
      <c r="A423" t="s">
        <v>674</v>
      </c>
      <c r="B423" t="s">
        <v>719</v>
      </c>
      <c r="C423" t="s">
        <v>719</v>
      </c>
      <c r="D423" s="2">
        <v>140.03198865373781</v>
      </c>
      <c r="E423">
        <v>422</v>
      </c>
    </row>
    <row r="424" spans="1:5" x14ac:dyDescent="0.3">
      <c r="A424" t="s">
        <v>612</v>
      </c>
      <c r="B424" t="s">
        <v>656</v>
      </c>
      <c r="C424" t="s">
        <v>176</v>
      </c>
      <c r="D424" s="2">
        <v>135.33813308792151</v>
      </c>
      <c r="E424">
        <v>423</v>
      </c>
    </row>
    <row r="425" spans="1:5" x14ac:dyDescent="0.3">
      <c r="A425" t="s">
        <v>612</v>
      </c>
      <c r="B425" t="s">
        <v>642</v>
      </c>
      <c r="C425" t="s">
        <v>642</v>
      </c>
      <c r="D425" s="2">
        <v>132.9079787982441</v>
      </c>
      <c r="E425">
        <v>424</v>
      </c>
    </row>
    <row r="426" spans="1:5" x14ac:dyDescent="0.3">
      <c r="A426" t="s">
        <v>586</v>
      </c>
      <c r="B426" t="s">
        <v>609</v>
      </c>
      <c r="C426" t="s">
        <v>609</v>
      </c>
      <c r="D426" s="2">
        <v>123.8056770799365</v>
      </c>
      <c r="E426">
        <v>425</v>
      </c>
    </row>
    <row r="427" spans="1:5" x14ac:dyDescent="0.3">
      <c r="A427" t="s">
        <v>612</v>
      </c>
      <c r="B427" t="s">
        <v>622</v>
      </c>
      <c r="C427" t="s">
        <v>357</v>
      </c>
      <c r="D427" s="2">
        <v>116.73187669602289</v>
      </c>
      <c r="E427">
        <v>426</v>
      </c>
    </row>
    <row r="428" spans="1:5" x14ac:dyDescent="0.3">
      <c r="A428" t="s">
        <v>612</v>
      </c>
      <c r="B428" t="s">
        <v>622</v>
      </c>
      <c r="C428" t="s">
        <v>622</v>
      </c>
      <c r="D428" s="2">
        <v>106.4617241715294</v>
      </c>
      <c r="E428">
        <v>427</v>
      </c>
    </row>
    <row r="429" spans="1:5" x14ac:dyDescent="0.3">
      <c r="A429" t="s">
        <v>612</v>
      </c>
      <c r="B429" t="s">
        <v>91</v>
      </c>
      <c r="C429" t="s">
        <v>91</v>
      </c>
      <c r="D429" s="2">
        <v>78.800148805981507</v>
      </c>
      <c r="E429">
        <v>428</v>
      </c>
    </row>
    <row r="430" spans="1:5" x14ac:dyDescent="0.3">
      <c r="A430" t="s">
        <v>612</v>
      </c>
      <c r="B430" t="s">
        <v>665</v>
      </c>
      <c r="C430" t="s">
        <v>665</v>
      </c>
      <c r="D430" s="2">
        <v>73.429912846563511</v>
      </c>
      <c r="E430">
        <v>429</v>
      </c>
    </row>
    <row r="431" spans="1:5" x14ac:dyDescent="0.3">
      <c r="A431" t="s">
        <v>990</v>
      </c>
      <c r="B431" t="s">
        <v>991</v>
      </c>
      <c r="C431" t="s">
        <v>992</v>
      </c>
      <c r="D431" s="2">
        <v>24.943054560939661</v>
      </c>
      <c r="E431">
        <v>430</v>
      </c>
    </row>
    <row r="432" spans="1:5" x14ac:dyDescent="0.3">
      <c r="A432" t="s">
        <v>191</v>
      </c>
      <c r="B432" t="s">
        <v>192</v>
      </c>
      <c r="C432" t="s">
        <v>200</v>
      </c>
      <c r="D432" s="2">
        <v>17.517310854774021</v>
      </c>
      <c r="E432">
        <v>431</v>
      </c>
    </row>
    <row r="433" spans="1:5" x14ac:dyDescent="0.3">
      <c r="A433" t="s">
        <v>922</v>
      </c>
      <c r="B433" t="s">
        <v>931</v>
      </c>
      <c r="C433" t="s">
        <v>931</v>
      </c>
      <c r="D433" s="2">
        <v>2.228687412522921</v>
      </c>
      <c r="E433">
        <v>432</v>
      </c>
    </row>
  </sheetData>
  <autoFilter ref="A1:D433" xr:uid="{A1AC4385-D2B3-4D93-BACF-21AF88A7A5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testing</vt:lpstr>
      <vt:lpstr>index</vt:lpstr>
      <vt:lpstr>orden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Joseph Peñafiel Falcón</cp:lastModifiedBy>
  <dcterms:created xsi:type="dcterms:W3CDTF">2025-10-16T01:36:15Z</dcterms:created>
  <dcterms:modified xsi:type="dcterms:W3CDTF">2025-11-27T16:43:03Z</dcterms:modified>
</cp:coreProperties>
</file>